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Dashboard" sheetId="2" state="visible" r:id="rId2"/>
    <sheet name="Gap Analysis" sheetId="3" state="visible" r:id="rId3"/>
    <sheet name="Automation (existing MTP)" sheetId="4" state="visible" r:id="rId4"/>
    <sheet name=" Test Tracker" sheetId="5" state="visible" r:id="rId5"/>
    <sheet name="Login page" sheetId="6" state="visible" r:id="rId6"/>
    <sheet name="Programs List page" sheetId="7" state="visible" r:id="rId7"/>
    <sheet name="Opportunity creation" sheetId="8" state="visible" r:id="rId8"/>
    <sheet name="Opportunity List page" sheetId="9" state="visible" r:id="rId9"/>
    <sheet name="Opportunity dashboard" sheetId="10" state="visible" r:id="rId10"/>
    <sheet name="Connect workers page" sheetId="11" state="visible" r:id="rId11"/>
    <sheet name="Visit verification page" sheetId="12" state="visible" r:id="rId12"/>
    <sheet name="Invoices List page" sheetId="13" state="visible" r:id="rId13"/>
    <sheet name="Connect Messaging" sheetId="14" state="visible" r:id="rId14"/>
    <sheet name="Delivery Reminder Mails" sheetId="15" state="visible" r:id="rId15"/>
    <sheet name="App Credentials" sheetId="16" state="visible" r:id="rId16"/>
    <sheet name="Re-Learn Task" sheetId="17" state="visible" r:id="rId17"/>
    <sheet name="Microplanning" sheetId="18" state="visible" r:id="rId18"/>
    <sheet name="Test Tracker Horizontal" sheetId="19" state="hidden" r:id="rId19"/>
  </sheets>
  <definedNames/>
  <calcPr calcId="124519" fullCalcOnLoad="1"/>
</workbook>
</file>

<file path=xl/styles.xml><?xml version="1.0" encoding="utf-8"?>
<styleSheet xmlns="http://schemas.openxmlformats.org/spreadsheetml/2006/main">
  <numFmts count="1">
    <numFmt numFmtId="164" formatCode="mm/dd/yyyy"/>
  </numFmts>
  <fonts count="32">
    <font>
      <name val="Arial"/>
      <color rgb="FF000000"/>
      <sz val="10"/>
      <scheme val="minor"/>
    </font>
    <font>
      <name val="Arial"/>
      <b val="1"/>
      <color theme="1"/>
      <sz val="10"/>
      <scheme val="minor"/>
    </font>
    <font>
      <name val="Arial"/>
      <b val="1"/>
      <color theme="1"/>
    </font>
    <font/>
    <font>
      <name val="Arial"/>
      <color theme="1"/>
      <scheme val="minor"/>
    </font>
    <font>
      <name val="Arial"/>
      <color theme="1"/>
    </font>
    <font>
      <name val="&quot;Nunito Sans&quot;"/>
      <color theme="1"/>
      <sz val="11"/>
    </font>
    <font>
      <name val="Arial"/>
      <color rgb="FF000000"/>
      <scheme val="minor"/>
    </font>
    <font>
      <name val="Arial"/>
      <b val="1"/>
      <color rgb="FFFFFFFF"/>
    </font>
    <font>
      <name val="Arial"/>
      <color rgb="FF000000"/>
      <sz val="11"/>
    </font>
    <font>
      <name val="Roboto"/>
      <b val="1"/>
      <color rgb="FFFFFFFF"/>
      <sz val="11"/>
    </font>
    <font>
      <name val="Roboto"/>
      <color theme="1"/>
      <sz val="11"/>
    </font>
    <font>
      <name val="Roboto"/>
      <color rgb="FFFFFFFF"/>
      <sz val="11"/>
    </font>
    <font>
      <name val="Arial"/>
      <b val="1"/>
      <color rgb="FF000000"/>
      <sz val="10"/>
    </font>
    <font>
      <name val="Arial"/>
      <color theme="1"/>
      <sz val="10"/>
    </font>
    <font>
      <name val="Arial"/>
      <color rgb="FF0000FF"/>
      <u val="single"/>
    </font>
    <font>
      <name val="Arial"/>
      <color rgb="FF000000"/>
      <sz val="10"/>
    </font>
    <font>
      <name val="Arial"/>
      <b val="1"/>
      <color theme="1"/>
      <sz val="10"/>
    </font>
    <font>
      <name val="Nunito Sans"/>
      <color theme="1"/>
      <sz val="11"/>
    </font>
    <font>
      <name val="Arial"/>
      <color rgb="FF1155CC"/>
      <u val="single"/>
    </font>
    <font>
      <name val="Calibri"/>
      <color rgb="FF000000"/>
      <sz val="11"/>
    </font>
    <font>
      <name val="Calibri"/>
      <b val="1"/>
      <color rgb="FF222222"/>
      <sz val="11"/>
    </font>
    <font>
      <name val="Arial"/>
      <b val="1"/>
      <color rgb="FF222222"/>
    </font>
    <font>
      <name val="Arial"/>
      <b val="1"/>
      <color rgb="FFFFFFFF"/>
      <sz val="10"/>
      <scheme val="minor"/>
    </font>
    <font>
      <name val="Arial"/>
      <color theme="1"/>
      <sz val="10"/>
      <scheme val="minor"/>
    </font>
    <font>
      <b val="1"/>
    </font>
    <font>
      <b val="1"/>
      <sz val="14"/>
    </font>
    <font>
      <b val="1"/>
      <sz val="15"/>
    </font>
    <font>
      <i val="1"/>
      <color rgb="00555555"/>
    </font>
    <font>
      <b val="1"/>
      <sz val="13"/>
    </font>
    <font>
      <i val="1"/>
    </font>
    <font>
      <name val="Arial"/>
      <sz val="10"/>
    </font>
  </fonts>
  <fills count="24">
    <fill>
      <patternFill/>
    </fill>
    <fill>
      <patternFill patternType="lightGray"/>
    </fill>
    <fill>
      <patternFill patternType="solid">
        <fgColor rgb="FFB10202"/>
        <bgColor rgb="FFB10202"/>
      </patternFill>
    </fill>
    <fill>
      <patternFill patternType="solid">
        <fgColor rgb="FF073763"/>
        <bgColor rgb="FF073763"/>
      </patternFill>
    </fill>
    <fill>
      <patternFill patternType="solid">
        <fgColor rgb="FF999999"/>
        <bgColor rgb="FF999999"/>
      </patternFill>
    </fill>
    <fill>
      <patternFill patternType="solid">
        <fgColor rgb="FFD4EDBC"/>
        <bgColor rgb="FFD4EDBC"/>
      </patternFill>
    </fill>
    <fill>
      <patternFill patternType="solid">
        <fgColor rgb="FFFFCFC9"/>
        <bgColor rgb="FFFFCFC9"/>
      </patternFill>
    </fill>
    <fill>
      <patternFill patternType="solid">
        <fgColor rgb="FFFFE599"/>
        <bgColor rgb="FFFFE599"/>
      </patternFill>
    </fill>
    <fill>
      <patternFill patternType="solid">
        <fgColor rgb="FF9FC5E8"/>
        <bgColor rgb="FF9FC5E8"/>
      </patternFill>
    </fill>
    <fill>
      <patternFill patternType="solid">
        <fgColor rgb="FFFFD966"/>
        <bgColor rgb="FFFFD966"/>
      </patternFill>
    </fill>
    <fill>
      <patternFill patternType="solid">
        <fgColor rgb="FFFFFFFF"/>
        <bgColor rgb="FFFFFFFF"/>
      </patternFill>
    </fill>
    <fill>
      <patternFill patternType="solid">
        <fgColor rgb="FFF6B26B"/>
        <bgColor rgb="FFF6B26B"/>
      </patternFill>
    </fill>
    <fill>
      <patternFill patternType="solid">
        <fgColor rgb="FFFFFF00"/>
        <bgColor rgb="FFFFFF00"/>
      </patternFill>
    </fill>
    <fill>
      <patternFill patternType="solid">
        <fgColor rgb="FFB7E1CD"/>
        <bgColor rgb="FFB7E1CD"/>
      </patternFill>
    </fill>
    <fill>
      <patternFill patternType="solid">
        <fgColor rgb="FFF4C7C3"/>
        <bgColor rgb="FFF4C7C3"/>
      </patternFill>
    </fill>
    <fill>
      <patternFill patternType="solid">
        <fgColor rgb="FFFFF2CC"/>
        <bgColor rgb="FFFFF2CC"/>
      </patternFill>
    </fill>
    <fill>
      <patternFill patternType="solid">
        <fgColor rgb="FFA61C00"/>
        <bgColor rgb="FFA61C00"/>
      </patternFill>
    </fill>
    <fill>
      <patternFill patternType="solid">
        <fgColor rgb="FFFCE8B2"/>
        <bgColor rgb="FFFCE8B2"/>
      </patternFill>
    </fill>
    <fill>
      <patternFill patternType="solid">
        <fgColor rgb="FF980000"/>
        <bgColor rgb="FF980000"/>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FFE2EFDA"/>
      </patternFill>
    </fill>
  </fills>
  <borders count="17">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style="thin"/>
      <right style="thin"/>
      <top style="thin"/>
      <bottom style="thin"/>
    </border>
  </borders>
  <cellStyleXfs count="1">
    <xf numFmtId="0" fontId="0" fillId="0" borderId="0"/>
  </cellStyleXfs>
  <cellXfs count="192">
    <xf numFmtId="0" fontId="0" fillId="0" borderId="0" applyAlignment="1" pivotButton="0" quotePrefix="0" xfId="0">
      <alignment vertical="bottom"/>
    </xf>
    <xf numFmtId="0" fontId="1" fillId="0" borderId="1" applyAlignment="1" pivotButton="0" quotePrefix="0" xfId="0">
      <alignment horizontal="center" vertical="center"/>
    </xf>
    <xf numFmtId="0" fontId="2" fillId="0" borderId="2" applyAlignment="1" pivotButton="0" quotePrefix="0" xfId="0">
      <alignment horizontal="center" vertical="center"/>
    </xf>
    <xf numFmtId="0" fontId="3" fillId="0" borderId="3" pivotButton="0" quotePrefix="0" xfId="0"/>
    <xf numFmtId="0" fontId="3" fillId="0" borderId="4" pivotButton="0" quotePrefix="0" xfId="0"/>
    <xf numFmtId="0" fontId="4" fillId="0" borderId="5" applyAlignment="1" pivotButton="0" quotePrefix="0" xfId="0">
      <alignment vertical="center"/>
    </xf>
    <xf numFmtId="0" fontId="2" fillId="0" borderId="6" applyAlignment="1" pivotButton="0" quotePrefix="0" xfId="0">
      <alignment horizontal="center" vertical="center"/>
    </xf>
    <xf numFmtId="0" fontId="3" fillId="0" borderId="7" pivotButton="0" quotePrefix="0" xfId="0"/>
    <xf numFmtId="0" fontId="3" fillId="0" borderId="8" pivotButton="0" quotePrefix="0" xfId="0"/>
    <xf numFmtId="0" fontId="5" fillId="0" borderId="5" applyAlignment="1" pivotButton="0" quotePrefix="0" xfId="0">
      <alignment horizontal="center" vertical="center"/>
    </xf>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6" fillId="0" borderId="6" applyAlignment="1" pivotButton="0" quotePrefix="0" xfId="0">
      <alignment vertical="center"/>
    </xf>
    <xf numFmtId="0" fontId="5" fillId="0" borderId="6" applyAlignment="1" pivotButton="0" quotePrefix="0" xfId="0">
      <alignment horizontal="left" vertical="center"/>
    </xf>
    <xf numFmtId="0" fontId="5" fillId="0" borderId="5" applyAlignment="1" pivotButton="0" quotePrefix="0" xfId="0">
      <alignment horizontal="left" vertical="center"/>
    </xf>
    <xf numFmtId="0" fontId="7" fillId="0" borderId="2" applyAlignment="1" pivotButton="0" quotePrefix="0" xfId="0">
      <alignment horizontal="left" vertical="center" wrapText="1"/>
    </xf>
    <xf numFmtId="0" fontId="3" fillId="0" borderId="13" pivotButton="0" quotePrefix="0" xfId="0"/>
    <xf numFmtId="0" fontId="3" fillId="0" borderId="14" pivotButton="0" quotePrefix="0" xfId="0"/>
    <xf numFmtId="0" fontId="3" fillId="0" borderId="15" pivotButton="0" quotePrefix="0" xfId="0"/>
    <xf numFmtId="0" fontId="6" fillId="2" borderId="6" applyAlignment="1" pivotButton="0" quotePrefix="0" xfId="0">
      <alignment vertical="center"/>
    </xf>
    <xf numFmtId="0" fontId="5" fillId="0" borderId="5" applyAlignment="1" pivotButton="0" quotePrefix="0" xfId="0">
      <alignment horizontal="left" vertical="center" wrapText="1"/>
    </xf>
    <xf numFmtId="0" fontId="8" fillId="3" borderId="5" applyAlignment="1" pivotButton="0" quotePrefix="0" xfId="0">
      <alignment horizontal="center" vertical="center"/>
    </xf>
    <xf numFmtId="0" fontId="9" fillId="4" borderId="6" applyAlignment="1" pivotButton="0" quotePrefix="0" xfId="0">
      <alignment horizontal="center" vertical="center"/>
    </xf>
    <xf numFmtId="0" fontId="5" fillId="0" borderId="5" applyAlignment="1" pivotButton="0" quotePrefix="0" xfId="0">
      <alignment horizontal="left" vertical="center"/>
    </xf>
    <xf numFmtId="0" fontId="4" fillId="0" borderId="5" applyAlignment="1" pivotButton="0" quotePrefix="0" xfId="0">
      <alignment horizontal="center" vertical="center"/>
    </xf>
    <xf numFmtId="14" fontId="4" fillId="0" borderId="5" applyAlignment="1" pivotButton="0" quotePrefix="0" xfId="0">
      <alignment horizontal="center" vertical="center"/>
    </xf>
    <xf numFmtId="164" fontId="4" fillId="0" borderId="5" applyAlignment="1" pivotButton="0" quotePrefix="0" xfId="0">
      <alignment horizontal="center" vertical="center"/>
    </xf>
    <xf numFmtId="0" fontId="4" fillId="0" borderId="5" applyAlignment="1" pivotButton="0" quotePrefix="0" xfId="0">
      <alignment horizontal="center" vertical="center"/>
    </xf>
    <xf numFmtId="0" fontId="10" fillId="3" borderId="5" applyAlignment="1" pivotButton="0" quotePrefix="0" xfId="0">
      <alignment horizontal="center" vertical="center" wrapText="1"/>
    </xf>
    <xf numFmtId="0" fontId="10" fillId="3" borderId="5" applyAlignment="1" pivotButton="0" quotePrefix="0" xfId="0">
      <alignment horizontal="center" vertical="center" wrapText="1"/>
    </xf>
    <xf numFmtId="0" fontId="10" fillId="3" borderId="5" applyAlignment="1" pivotButton="0" quotePrefix="0" xfId="0">
      <alignment horizontal="center" vertical="center" wrapText="1"/>
    </xf>
    <xf numFmtId="0" fontId="10" fillId="3" borderId="6" applyAlignment="1" pivotButton="0" quotePrefix="0" xfId="0">
      <alignment horizontal="center" vertical="center" wrapText="1"/>
    </xf>
    <xf numFmtId="0" fontId="5" fillId="0" borderId="5" applyAlignment="1" pivotButton="0" quotePrefix="0" xfId="0">
      <alignment vertical="center"/>
    </xf>
    <xf numFmtId="0" fontId="10" fillId="3" borderId="5" applyAlignment="1" pivotButton="0" quotePrefix="0" xfId="0">
      <alignment horizontal="center" wrapText="1"/>
    </xf>
    <xf numFmtId="0" fontId="5" fillId="0" borderId="5" pivotButton="0" quotePrefix="0" xfId="0"/>
    <xf numFmtId="0" fontId="5" fillId="0" borderId="5" pivotButton="0" quotePrefix="0" xfId="0"/>
    <xf numFmtId="0" fontId="11" fillId="5" borderId="5" applyAlignment="1" pivotButton="0" quotePrefix="0" xfId="0">
      <alignment horizontal="center" vertical="center" wrapText="1"/>
    </xf>
    <xf numFmtId="0" fontId="11" fillId="6" borderId="5" applyAlignment="1" pivotButton="0" quotePrefix="0" xfId="0">
      <alignment horizontal="center" vertical="center" wrapText="1"/>
    </xf>
    <xf numFmtId="0" fontId="11" fillId="7" borderId="5" applyAlignment="1" pivotButton="0" quotePrefix="0" xfId="0">
      <alignment horizontal="center" vertical="center" wrapText="1"/>
    </xf>
    <xf numFmtId="0" fontId="12" fillId="2" borderId="5" applyAlignment="1" pivotButton="0" quotePrefix="0" xfId="0">
      <alignment horizontal="center" vertical="center" wrapText="1"/>
    </xf>
    <xf numFmtId="0" fontId="11" fillId="4" borderId="5" applyAlignment="1" pivotButton="0" quotePrefix="0" xfId="0">
      <alignment horizontal="center" vertical="center" wrapText="1"/>
    </xf>
    <xf numFmtId="0" fontId="11" fillId="0" borderId="5" applyAlignment="1" pivotButton="0" quotePrefix="0" xfId="0">
      <alignment horizontal="center" vertical="center" wrapText="1"/>
    </xf>
    <xf numFmtId="0" fontId="5" fillId="0" borderId="0" pivotButton="0" quotePrefix="0" xfId="0"/>
    <xf numFmtId="0" fontId="5" fillId="0" borderId="0" pivotButton="0" quotePrefix="0" xfId="0"/>
    <xf numFmtId="0" fontId="5" fillId="0" borderId="0" applyAlignment="1" pivotButton="0" quotePrefix="0" xfId="0">
      <alignment vertical="center"/>
    </xf>
    <xf numFmtId="0" fontId="4" fillId="0" borderId="0" applyAlignment="1" pivotButton="0" quotePrefix="0" xfId="0">
      <alignment vertical="center"/>
    </xf>
    <xf numFmtId="0" fontId="11"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1" fillId="7" borderId="0" applyAlignment="1" pivotButton="0" quotePrefix="0" xfId="0">
      <alignment horizontal="center" vertical="center" wrapText="1"/>
    </xf>
    <xf numFmtId="0" fontId="12" fillId="2" borderId="0" applyAlignment="1" pivotButton="0" quotePrefix="0" xfId="0">
      <alignment horizontal="center" vertical="center" wrapText="1"/>
    </xf>
    <xf numFmtId="0" fontId="11" fillId="4" borderId="0" applyAlignment="1" pivotButton="0" quotePrefix="0" xfId="0">
      <alignment horizontal="center" vertical="center" wrapText="1"/>
    </xf>
    <xf numFmtId="0" fontId="11" fillId="0" borderId="0" applyAlignment="1" pivotButton="0" quotePrefix="0" xfId="0">
      <alignment horizontal="center" vertical="center" wrapText="1"/>
    </xf>
    <xf numFmtId="0" fontId="1" fillId="8" borderId="5" applyAlignment="1" pivotButton="0" quotePrefix="0" xfId="0">
      <alignment horizontal="center" vertical="center" wrapText="1"/>
    </xf>
    <xf numFmtId="0" fontId="13" fillId="8" borderId="5" applyAlignment="1" pivotButton="0" quotePrefix="0" xfId="0">
      <alignment horizontal="center" vertical="center" wrapText="1"/>
    </xf>
    <xf numFmtId="0" fontId="2" fillId="9" borderId="6" applyAlignment="1" pivotButton="0" quotePrefix="0" xfId="0">
      <alignment horizontal="center" vertical="center" wrapText="1"/>
    </xf>
    <xf numFmtId="0" fontId="2" fillId="9" borderId="5" applyAlignment="1" pivotButton="0" quotePrefix="0" xfId="0">
      <alignment horizontal="center" vertical="center" wrapText="1"/>
    </xf>
    <xf numFmtId="0" fontId="14" fillId="10" borderId="5" applyAlignment="1" pivotButton="0" quotePrefix="0" xfId="0">
      <alignment horizontal="center" vertical="center" wrapText="1"/>
    </xf>
    <xf numFmtId="0" fontId="5" fillId="10" borderId="5" applyAlignment="1" pivotButton="0" quotePrefix="0" xfId="0">
      <alignment horizontal="left" vertical="center" wrapText="1"/>
    </xf>
    <xf numFmtId="0" fontId="15" fillId="10" borderId="5" applyAlignment="1" pivotButton="0" quotePrefix="0" xfId="0">
      <alignment horizontal="left" vertical="bottom" wrapText="1"/>
    </xf>
    <xf numFmtId="0" fontId="5" fillId="10" borderId="5" applyAlignment="1" pivotButton="0" quotePrefix="0" xfId="0">
      <alignment horizontal="left" vertical="bottom" wrapText="1"/>
    </xf>
    <xf numFmtId="0" fontId="6" fillId="0" borderId="5" applyAlignment="1" pivotButton="0" quotePrefix="0" xfId="0">
      <alignment horizontal="center" vertical="center"/>
    </xf>
    <xf numFmtId="0" fontId="5" fillId="10" borderId="5" applyAlignment="1" pivotButton="0" quotePrefix="0" xfId="0">
      <alignment horizontal="center" vertical="center" wrapText="1"/>
    </xf>
    <xf numFmtId="0" fontId="4" fillId="0" borderId="5" applyAlignment="1" pivotButton="0" quotePrefix="0" xfId="0">
      <alignment horizontal="center" wrapText="1"/>
    </xf>
    <xf numFmtId="0" fontId="4" fillId="0" borderId="5" applyAlignment="1" pivotButton="0" quotePrefix="0" xfId="0">
      <alignment horizontal="left" vertical="bottom" wrapText="1"/>
    </xf>
    <xf numFmtId="0" fontId="6" fillId="0" borderId="5" applyAlignment="1" pivotButton="0" quotePrefix="0" xfId="0">
      <alignment horizontal="center" vertical="center" wrapText="1"/>
    </xf>
    <xf numFmtId="0" fontId="4" fillId="0" borderId="5" applyAlignment="1" pivotButton="0" quotePrefix="0" xfId="0">
      <alignment horizontal="center" wrapText="1"/>
    </xf>
    <xf numFmtId="0" fontId="5" fillId="10" borderId="5" applyAlignment="1" pivotButton="0" quotePrefix="0" xfId="0">
      <alignment horizontal="left" vertical="bottom" wrapText="1"/>
    </xf>
    <xf numFmtId="0" fontId="5" fillId="0" borderId="5" applyAlignment="1" pivotButton="0" quotePrefix="0" xfId="0">
      <alignment horizontal="center" vertical="center"/>
    </xf>
    <xf numFmtId="0" fontId="5" fillId="0" borderId="5" applyAlignment="1" pivotButton="0" quotePrefix="0" xfId="0">
      <alignment horizontal="left" vertical="bottom" wrapText="1"/>
    </xf>
    <xf numFmtId="0" fontId="5"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5" fillId="0" borderId="5" applyAlignment="1" pivotButton="0" quotePrefix="0" xfId="0">
      <alignment horizontal="left" vertical="bottom" wrapText="1"/>
    </xf>
    <xf numFmtId="0" fontId="4" fillId="0" borderId="5" applyAlignment="1" pivotButton="0" quotePrefix="0" xfId="0">
      <alignment horizontal="center"/>
    </xf>
    <xf numFmtId="0" fontId="2" fillId="9" borderId="5" applyAlignment="1" pivotButton="0" quotePrefix="0" xfId="0">
      <alignment horizontal="center" vertical="center" wrapText="1"/>
    </xf>
    <xf numFmtId="0" fontId="16" fillId="0" borderId="5" applyAlignment="1" pivotButton="0" quotePrefix="0" xfId="0">
      <alignment horizontal="left" vertical="bottom" wrapText="1"/>
    </xf>
    <xf numFmtId="0" fontId="16" fillId="0" borderId="5" applyAlignment="1" pivotButton="0" quotePrefix="0" xfId="0">
      <alignment horizontal="center" vertical="center" wrapText="1"/>
    </xf>
    <xf numFmtId="0" fontId="5" fillId="0" borderId="5" applyAlignment="1" pivotButton="0" quotePrefix="0" xfId="0">
      <alignment horizontal="center" vertical="center" wrapText="1"/>
    </xf>
    <xf numFmtId="0" fontId="5" fillId="10" borderId="5" applyAlignment="1" pivotButton="0" quotePrefix="0" xfId="0">
      <alignment horizontal="center" vertical="center" wrapText="1"/>
    </xf>
    <xf numFmtId="0" fontId="4" fillId="0" borderId="0" applyAlignment="1" pivotButton="0" quotePrefix="0" xfId="0">
      <alignment wrapText="1"/>
    </xf>
    <xf numFmtId="0" fontId="0" fillId="0" borderId="5" applyAlignment="1" pivotButton="0" quotePrefix="0" xfId="0">
      <alignment horizontal="center" vertical="center" wrapText="1"/>
    </xf>
    <xf numFmtId="0" fontId="9" fillId="0" borderId="5" applyAlignment="1" pivotButton="0" quotePrefix="0" xfId="0">
      <alignment horizontal="left" vertical="bottom" wrapText="1"/>
    </xf>
    <xf numFmtId="0" fontId="17" fillId="9" borderId="6" applyAlignment="1" pivotButton="0" quotePrefix="0" xfId="0">
      <alignment horizontal="center" vertical="center" wrapText="1"/>
    </xf>
    <xf numFmtId="0" fontId="16" fillId="0" borderId="5" applyAlignment="1" pivotButton="0" quotePrefix="0" xfId="0">
      <alignment horizontal="center" vertical="center" wrapText="1"/>
    </xf>
    <xf numFmtId="0" fontId="5" fillId="0" borderId="5" applyAlignment="1" pivotButton="0" quotePrefix="0" xfId="0">
      <alignment vertical="center" wrapText="1"/>
    </xf>
    <xf numFmtId="0" fontId="4" fillId="0" borderId="5" applyAlignment="1" pivotButton="0" quotePrefix="0" xfId="0">
      <alignment vertical="center" wrapText="1"/>
    </xf>
    <xf numFmtId="0" fontId="16" fillId="0" borderId="5" applyAlignment="1" pivotButton="0" quotePrefix="0" xfId="0">
      <alignment horizontal="left" vertical="bottom" wrapText="1"/>
    </xf>
    <xf numFmtId="0" fontId="4" fillId="0" borderId="5" pivotButton="0" quotePrefix="0" xfId="0"/>
    <xf numFmtId="0" fontId="4" fillId="0" borderId="0" applyAlignment="1" pivotButton="0" quotePrefix="0" xfId="0">
      <alignment horizontal="left" vertical="bottom"/>
    </xf>
    <xf numFmtId="0" fontId="1" fillId="11" borderId="0" applyAlignment="1" pivotButton="0" quotePrefix="0" xfId="0">
      <alignment horizontal="left" vertical="center" wrapText="1"/>
    </xf>
    <xf numFmtId="0" fontId="5" fillId="0" borderId="5" applyAlignment="1" pivotButton="0" quotePrefix="0" xfId="0">
      <alignment horizontal="left" vertical="center" wrapText="1"/>
    </xf>
    <xf numFmtId="0" fontId="5" fillId="0" borderId="5" applyAlignment="1" pivotButton="0" quotePrefix="0" xfId="0">
      <alignment horizontal="left" vertical="center" wrapText="1"/>
    </xf>
    <xf numFmtId="0" fontId="5" fillId="0" borderId="5" applyAlignment="1" pivotButton="0" quotePrefix="0" xfId="0">
      <alignment wrapText="1"/>
    </xf>
    <xf numFmtId="0" fontId="5" fillId="0" borderId="5" applyAlignment="1" pivotButton="0" quotePrefix="0" xfId="0">
      <alignment wrapText="1"/>
    </xf>
    <xf numFmtId="0" fontId="5" fillId="0" borderId="5" applyAlignment="1" pivotButton="0" quotePrefix="0" xfId="0">
      <alignment wrapText="1"/>
    </xf>
    <xf numFmtId="0" fontId="4" fillId="0" borderId="5" applyAlignment="1" pivotButton="0" quotePrefix="0" xfId="0">
      <alignment wrapText="1"/>
    </xf>
    <xf numFmtId="0" fontId="14" fillId="10" borderId="0" applyAlignment="1" pivotButton="0" quotePrefix="0" xfId="0">
      <alignment horizontal="center" vertical="center" wrapText="1"/>
    </xf>
    <xf numFmtId="0" fontId="5"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horizontal="center" vertical="center"/>
    </xf>
    <xf numFmtId="0" fontId="2" fillId="12" borderId="6" applyAlignment="1" pivotButton="0" quotePrefix="0" xfId="0">
      <alignment horizontal="center" vertical="center" wrapText="1"/>
    </xf>
    <xf numFmtId="0" fontId="2" fillId="8" borderId="5" applyAlignment="1" pivotButton="0" quotePrefix="0" xfId="0">
      <alignment horizontal="center" vertical="center" wrapText="1"/>
    </xf>
    <xf numFmtId="0" fontId="5" fillId="0" borderId="5" applyAlignment="1" pivotButton="0" quotePrefix="0" xfId="0">
      <alignment horizontal="center" vertical="center" wrapText="1"/>
    </xf>
    <xf numFmtId="0" fontId="18" fillId="0" borderId="5" applyAlignment="1" pivotButton="0" quotePrefix="0" xfId="0">
      <alignment horizontal="center" vertical="center" wrapText="1"/>
    </xf>
    <xf numFmtId="0" fontId="19" fillId="0" borderId="5" applyAlignment="1" pivotButton="0" quotePrefix="0" xfId="0">
      <alignment horizontal="center" vertical="center" wrapText="1"/>
    </xf>
    <xf numFmtId="0" fontId="5" fillId="0" borderId="5" applyAlignment="1" pivotButton="0" quotePrefix="0" xfId="0">
      <alignment vertical="bottom"/>
    </xf>
    <xf numFmtId="0" fontId="4" fillId="0" borderId="0" applyAlignment="1" pivotButton="0" quotePrefix="0" xfId="0">
      <alignment vertical="center" wrapText="1"/>
    </xf>
    <xf numFmtId="0" fontId="4" fillId="0" borderId="0" applyAlignment="1" pivotButton="0" quotePrefix="0" xfId="0">
      <alignment vertical="center" wrapText="1"/>
    </xf>
    <xf numFmtId="0" fontId="1" fillId="0" borderId="1" applyAlignment="1" pivotButton="0" quotePrefix="0" xfId="0">
      <alignment horizontal="center"/>
    </xf>
    <xf numFmtId="0" fontId="2" fillId="0" borderId="11" applyAlignment="1" pivotButton="0" quotePrefix="0" xfId="0">
      <alignment horizontal="center" vertical="bottom"/>
    </xf>
    <xf numFmtId="0" fontId="5" fillId="0" borderId="11" applyAlignment="1" pivotButton="0" quotePrefix="0" xfId="0">
      <alignment horizontal="center" vertical="bottom"/>
    </xf>
    <xf numFmtId="0" fontId="20" fillId="13" borderId="5" applyAlignment="1" pivotButton="0" quotePrefix="0" xfId="0">
      <alignment horizontal="center" vertical="top"/>
    </xf>
    <xf numFmtId="0" fontId="5" fillId="0" borderId="5" applyAlignment="1" pivotButton="0" quotePrefix="0" xfId="0">
      <alignment horizontal="left" vertical="bottom"/>
    </xf>
    <xf numFmtId="0" fontId="20" fillId="14" borderId="5" applyAlignment="1" pivotButton="0" quotePrefix="0" xfId="0">
      <alignment horizontal="center" vertical="top"/>
    </xf>
    <xf numFmtId="0" fontId="20" fillId="15" borderId="5" applyAlignment="1" pivotButton="0" quotePrefix="0" xfId="0">
      <alignment horizontal="center" vertical="top"/>
    </xf>
    <xf numFmtId="0" fontId="21" fillId="16" borderId="5" applyAlignment="1" pivotButton="0" quotePrefix="0" xfId="0">
      <alignment horizontal="center" vertical="top" wrapText="1"/>
    </xf>
    <xf numFmtId="0" fontId="5" fillId="0" borderId="5" applyAlignment="1" pivotButton="0" quotePrefix="0" xfId="0">
      <alignment horizontal="left" vertical="bottom" wrapText="1"/>
    </xf>
    <xf numFmtId="0" fontId="8" fillId="3" borderId="5" applyAlignment="1" pivotButton="0" quotePrefix="0" xfId="0">
      <alignment horizontal="center" vertical="bottom"/>
    </xf>
    <xf numFmtId="0" fontId="8" fillId="3" borderId="8" applyAlignment="1" pivotButton="0" quotePrefix="0" xfId="0">
      <alignment horizontal="center" vertical="bottom"/>
    </xf>
    <xf numFmtId="0" fontId="9" fillId="4" borderId="5" applyAlignment="1" pivotButton="0" quotePrefix="0" xfId="0">
      <alignment horizontal="center" vertical="top"/>
    </xf>
    <xf numFmtId="0" fontId="5" fillId="0" borderId="5" applyAlignment="1" pivotButton="0" quotePrefix="0" xfId="0">
      <alignment horizontal="left" vertical="bottom"/>
    </xf>
    <xf numFmtId="0" fontId="4" fillId="0" borderId="5" applyAlignment="1" pivotButton="0" quotePrefix="0" xfId="0">
      <alignment horizontal="center"/>
    </xf>
    <xf numFmtId="14" fontId="4" fillId="0" borderId="5" applyAlignment="1" pivotButton="0" quotePrefix="0" xfId="0">
      <alignment horizontal="center" vertical="bottom"/>
    </xf>
    <xf numFmtId="164" fontId="4" fillId="0" borderId="5" applyAlignment="1" pivotButton="0" quotePrefix="0" xfId="0">
      <alignment horizontal="center"/>
    </xf>
    <xf numFmtId="0" fontId="5" fillId="0" borderId="0" applyAlignment="1" pivotButton="0" quotePrefix="0" xfId="0">
      <alignment horizontal="center" vertical="bottom"/>
    </xf>
    <xf numFmtId="0" fontId="4" fillId="0" borderId="0" applyAlignment="1" pivotButton="0" quotePrefix="0" xfId="0">
      <alignment horizontal="center"/>
    </xf>
    <xf numFmtId="0" fontId="22" fillId="10" borderId="0" applyAlignment="1" pivotButton="0" quotePrefix="0" xfId="0">
      <alignment horizontal="center" vertical="center"/>
    </xf>
    <xf numFmtId="0" fontId="23" fillId="3" borderId="5" applyAlignment="1" pivotButton="0" quotePrefix="0" xfId="0">
      <alignment horizontal="center"/>
    </xf>
    <xf numFmtId="0" fontId="24" fillId="0" borderId="5" applyAlignment="1" pivotButton="0" quotePrefix="0" xfId="0">
      <alignment horizontal="center" vertical="top" wrapText="1"/>
    </xf>
    <xf numFmtId="0" fontId="23" fillId="3" borderId="0" applyAlignment="1" pivotButton="0" quotePrefix="0" xfId="0">
      <alignment horizontal="center"/>
    </xf>
    <xf numFmtId="0" fontId="23" fillId="3" borderId="1" applyAlignment="1" pivotButton="0" quotePrefix="0" xfId="0">
      <alignment horizontal="center" vertical="center"/>
    </xf>
    <xf numFmtId="0" fontId="16" fillId="13" borderId="5" applyAlignment="1" pivotButton="0" quotePrefix="0" xfId="0">
      <alignment horizontal="center"/>
    </xf>
    <xf numFmtId="0" fontId="16" fillId="13" borderId="5" applyAlignment="1" pivotButton="0" quotePrefix="0" xfId="0">
      <alignment horizontal="center"/>
    </xf>
    <xf numFmtId="0" fontId="16" fillId="13" borderId="5" applyAlignment="1" pivotButton="0" quotePrefix="0" xfId="0">
      <alignment horizontal="center" vertical="center"/>
    </xf>
    <xf numFmtId="0" fontId="14" fillId="14" borderId="5" applyAlignment="1" pivotButton="0" quotePrefix="0" xfId="0">
      <alignment horizontal="center"/>
    </xf>
    <xf numFmtId="0" fontId="14" fillId="14" borderId="5" applyAlignment="1" pivotButton="0" quotePrefix="0" xfId="0">
      <alignment horizontal="center"/>
    </xf>
    <xf numFmtId="0" fontId="14" fillId="14" borderId="5" applyAlignment="1" pivotButton="0" quotePrefix="0" xfId="0">
      <alignment horizontal="center" vertical="center"/>
    </xf>
    <xf numFmtId="0" fontId="14" fillId="17" borderId="5" applyAlignment="1" pivotButton="0" quotePrefix="0" xfId="0">
      <alignment horizontal="center"/>
    </xf>
    <xf numFmtId="0" fontId="14" fillId="17" borderId="5" applyAlignment="1" pivotButton="0" quotePrefix="0" xfId="0">
      <alignment horizontal="center"/>
    </xf>
    <xf numFmtId="0" fontId="14" fillId="17" borderId="5" applyAlignment="1" pivotButton="0" quotePrefix="0" xfId="0">
      <alignment horizontal="center" vertical="center"/>
    </xf>
    <xf numFmtId="0" fontId="14" fillId="18" borderId="5" applyAlignment="1" pivotButton="0" quotePrefix="0" xfId="0">
      <alignment horizontal="center"/>
    </xf>
    <xf numFmtId="0" fontId="14" fillId="18" borderId="5" applyAlignment="1" pivotButton="0" quotePrefix="0" xfId="0">
      <alignment horizontal="center"/>
    </xf>
    <xf numFmtId="0" fontId="14" fillId="18" borderId="5" applyAlignment="1" pivotButton="0" quotePrefix="0" xfId="0">
      <alignment horizontal="center" vertical="center"/>
    </xf>
    <xf numFmtId="0" fontId="22" fillId="10" borderId="13" applyAlignment="1" pivotButton="0" quotePrefix="0" xfId="0">
      <alignment horizontal="center" vertical="center"/>
    </xf>
    <xf numFmtId="0" fontId="4" fillId="0" borderId="14" applyAlignment="1" pivotButton="0" quotePrefix="0" xfId="0">
      <alignment vertical="center"/>
    </xf>
    <xf numFmtId="0" fontId="23" fillId="3" borderId="0" applyAlignment="1" pivotButton="0" quotePrefix="0" xfId="0">
      <alignment horizontal="center" vertical="center"/>
    </xf>
    <xf numFmtId="0" fontId="0" fillId="0" borderId="0" pivotButton="0" quotePrefix="0" xfId="0"/>
    <xf numFmtId="0" fontId="1" fillId="0" borderId="5" applyAlignment="1" pivotButton="0" quotePrefix="0" xfId="0">
      <alignment horizontal="center" vertical="center"/>
    </xf>
    <xf numFmtId="0" fontId="2" fillId="0" borderId="5" applyAlignment="1" pivotButton="0" quotePrefix="0" xfId="0">
      <alignment horizontal="center" vertical="center"/>
    </xf>
    <xf numFmtId="0" fontId="0" fillId="0" borderId="3" pivotButton="0" quotePrefix="0" xfId="0"/>
    <xf numFmtId="0" fontId="0" fillId="0" borderId="4"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6" fillId="0" borderId="5" applyAlignment="1" pivotButton="0" quotePrefix="0" xfId="0">
      <alignment vertical="center"/>
    </xf>
    <xf numFmtId="0" fontId="7" fillId="0" borderId="5" applyAlignment="1" pivotButton="0" quotePrefix="0" xfId="0">
      <alignment horizontal="left" vertical="center" wrapText="1"/>
    </xf>
    <xf numFmtId="0" fontId="0" fillId="0" borderId="13" pivotButton="0" quotePrefix="0" xfId="0"/>
    <xf numFmtId="0" fontId="0" fillId="0" borderId="14" pivotButton="0" quotePrefix="0" xfId="0"/>
    <xf numFmtId="0" fontId="0" fillId="0" borderId="15" pivotButton="0" quotePrefix="0" xfId="0"/>
    <xf numFmtId="0" fontId="6" fillId="2" borderId="5" applyAlignment="1" pivotButton="0" quotePrefix="0" xfId="0">
      <alignment vertical="center"/>
    </xf>
    <xf numFmtId="0" fontId="9" fillId="4" borderId="5" applyAlignment="1" pivotButton="0" quotePrefix="0" xfId="0">
      <alignment horizontal="center" vertical="center"/>
    </xf>
    <xf numFmtId="0" fontId="17" fillId="9" borderId="5" applyAlignment="1" pivotButton="0" quotePrefix="0" xfId="0">
      <alignment horizontal="center" vertical="center" wrapText="1"/>
    </xf>
    <xf numFmtId="0" fontId="2" fillId="12" borderId="5" applyAlignment="1" pivotButton="0" quotePrefix="0" xfId="0">
      <alignment horizontal="center" vertical="center" wrapText="1"/>
    </xf>
    <xf numFmtId="0" fontId="1" fillId="0" borderId="5" applyAlignment="1" pivotButton="0" quotePrefix="0" xfId="0">
      <alignment horizontal="center"/>
    </xf>
    <xf numFmtId="0" fontId="23" fillId="3" borderId="5" applyAlignment="1" pivotButton="0" quotePrefix="0" xfId="0">
      <alignment horizontal="center" vertical="center"/>
    </xf>
    <xf numFmtId="0" fontId="25" fillId="19" borderId="0" pivotButton="0" quotePrefix="0" xfId="0"/>
    <xf numFmtId="0" fontId="0" fillId="0" borderId="0" applyAlignment="1" pivotButton="0" quotePrefix="0" xfId="0">
      <alignment vertical="top" wrapText="1"/>
    </xf>
    <xf numFmtId="0" fontId="26" fillId="0" borderId="0" applyAlignment="1" pivotButton="0" quotePrefix="0" xfId="0">
      <alignment vertical="top" wrapText="1"/>
    </xf>
    <xf numFmtId="0" fontId="25" fillId="19" borderId="0" applyAlignment="1" pivotButton="0" quotePrefix="0" xfId="0">
      <alignment vertical="top" wrapText="1"/>
    </xf>
    <xf numFmtId="0" fontId="26" fillId="0" borderId="0" pivotButton="0" quotePrefix="0" xfId="0"/>
    <xf numFmtId="0" fontId="25" fillId="0" borderId="0" pivotButton="0" quotePrefix="0" xfId="0"/>
    <xf numFmtId="0" fontId="27" fillId="0" borderId="0" applyAlignment="1" pivotButton="0" quotePrefix="0" xfId="0">
      <alignment vertical="top" wrapText="1"/>
    </xf>
    <xf numFmtId="0" fontId="28" fillId="0" borderId="0" applyAlignment="1" pivotButton="0" quotePrefix="0" xfId="0">
      <alignment vertical="top" wrapText="1"/>
    </xf>
    <xf numFmtId="0" fontId="29" fillId="0" borderId="0" applyAlignment="1" pivotButton="0" quotePrefix="0" xfId="0">
      <alignment vertical="top" wrapText="1"/>
    </xf>
    <xf numFmtId="9" fontId="0" fillId="0" borderId="0" applyAlignment="1" pivotButton="0" quotePrefix="0" xfId="0">
      <alignment vertical="top" wrapText="1"/>
    </xf>
    <xf numFmtId="0" fontId="25" fillId="20" borderId="0" applyAlignment="1" pivotButton="0" quotePrefix="0" xfId="0">
      <alignment vertical="top" wrapText="1"/>
    </xf>
    <xf numFmtId="9" fontId="25" fillId="20" borderId="0" applyAlignment="1" pivotButton="0" quotePrefix="0" xfId="0">
      <alignment vertical="top" wrapText="1"/>
    </xf>
    <xf numFmtId="0" fontId="25" fillId="21" borderId="0" applyAlignment="1" pivotButton="0" quotePrefix="0" xfId="0">
      <alignment vertical="top" wrapText="1"/>
    </xf>
    <xf numFmtId="0" fontId="3" fillId="0" borderId="0" applyAlignment="1" pivotButton="0" quotePrefix="0" xfId="0">
      <alignment vertical="top" wrapText="1"/>
    </xf>
    <xf numFmtId="0" fontId="30" fillId="0" borderId="0" applyAlignment="1" pivotButton="0" quotePrefix="0" xfId="0">
      <alignment vertical="top" wrapText="1"/>
    </xf>
    <xf numFmtId="0" fontId="25" fillId="21" borderId="0" pivotButton="0" quotePrefix="0" xfId="0"/>
    <xf numFmtId="0" fontId="29" fillId="22" borderId="0" applyAlignment="1" pivotButton="0" quotePrefix="0" xfId="0">
      <alignment vertical="top" wrapText="1"/>
    </xf>
    <xf numFmtId="0" fontId="25" fillId="22" borderId="0" applyAlignment="1" pivotButton="0" quotePrefix="0" xfId="0">
      <alignment vertical="top" wrapText="1"/>
    </xf>
    <xf numFmtId="0" fontId="31" fillId="23" borderId="16" applyAlignment="1" pivotButton="0" quotePrefix="0" xfId="0">
      <alignment horizontal="center" vertical="center" wrapText="1"/>
    </xf>
    <xf numFmtId="0" fontId="31" fillId="23" borderId="16" applyAlignment="1" pivotButton="0" quotePrefix="0" xfId="0">
      <alignment horizontal="left" vertical="top" wrapText="1"/>
    </xf>
    <xf numFmtId="0" fontId="4" fillId="10" borderId="0" applyAlignment="1" pivotButton="0" quotePrefix="0" xfId="0">
      <alignment wrapText="1"/>
    </xf>
    <xf numFmtId="0" fontId="14" fillId="0" borderId="5" applyAlignment="1" pivotButton="0" quotePrefix="0" xfId="0">
      <alignment horizontal="center" vertical="center" wrapText="1"/>
    </xf>
  </cellXfs>
  <cellStyles count="1">
    <cellStyle name="Normal" xfId="0" builtinId="0"/>
  </cellStyles>
  <dxfs count="8">
    <dxf>
      <font/>
      <fill>
        <patternFill patternType="solid">
          <fgColor rgb="FFCC0000"/>
          <bgColor rgb="FFCC0000"/>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FF0000"/>
          <bgColor rgb="FFFF0000"/>
        </patternFill>
      </fill>
      <border/>
    </dxf>
    <dxf>
      <font/>
      <fill>
        <patternFill patternType="solid">
          <fgColor rgb="FF93C47D"/>
          <bgColor rgb="FF93C47D"/>
        </patternFill>
      </fill>
      <border/>
    </dxf>
    <dxf>
      <font/>
      <fill>
        <patternFill patternType="solid">
          <fgColor rgb="FFEA9999"/>
          <bgColor rgb="FFEA9999"/>
        </patternFill>
      </fill>
      <border/>
    </dxf>
    <dxf>
      <font/>
      <fill>
        <patternFill patternType="solid">
          <fgColor rgb="FFFFE599"/>
          <bgColor rgb="FFFFE599"/>
        </patternFill>
      </fill>
      <border/>
    </dxf>
    <dxf>
      <font/>
      <fill>
        <patternFill patternType="solid">
          <fgColor rgb="FFA61C00"/>
          <bgColor rgb="FFA61C00"/>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comments/comment1.xml><?xml version="1.0" encoding="utf-8"?>
<comments xmlns="http://schemas.openxmlformats.org/spreadsheetml/2006/main">
  <authors>
    <author>tc={fa34f92b-f147-4bb9-b1d8-6429b045b09b}</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@anshu.shaik@fissionlabs.com Please add what fields are we verifying/checking for and what should be the values
Assigned to anshu.shaik@fissionlabs.com
Reply:
	Added!
</t>
      </text>
    </comment>
  </commentList>
</comments>
</file>

<file path=xl/comments/comment2.xml><?xml version="1.0" encoding="utf-8"?>
<comments xmlns="http://schemas.openxmlformats.org/spreadsheetml/2006/main">
  <authors>
    <author>tc={14f3ba34-df99-4d1d-8482-0aae100cc6b7}</author>
  </authors>
  <commentList>
    <comment ref="B39" authorId="0" shapeId="0">
      <text>
        <t xml:space="preserve">[Threaded comment]
 Your version of Excel allows you to read this threaded comment; however, any edits to it will get removed if the file is opened in a newer version of Excel. Learn more: https://go.microsoft.com/fwlink/?linkid=870924
Comment:
	Hi @anshu.shaik@fissionlabs.com just like payments tab, could you also add tests for Connect Wrokers and Learn tab tests in this sheet? 
I believe for the Deliver tab we have coverage but if not do add that as well.
Assigned to anshu.shaik@fissionlabs.com
Reply:
	Hi @nsaxena@dimagi.com , I've separated and added missed TCs for learn tab. Could you please refer and let me know if anything else needs to be added?
Reassigned to nsaxena@dimagi.com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F9900"/>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https://connect-staging.dimagi.com/accounts/login" TargetMode="External" Id="rId1" /></Relationships>
</file>

<file path=xl/worksheets/_rels/sheet9.xml.rels><Relationships xmlns="http://schemas.openxmlformats.org/package/2006/relationships"><Relationship Type="http://schemas.openxmlformats.org/officeDocument/2006/relationships/hyperlink" Target="https://connect-staging.dimagi.com/accounts/login" TargetMode="External" Id="rId1"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2" customWidth="1" style="148" min="1" max="1"/>
    <col width="104" customWidth="1" style="148" min="2" max="2"/>
  </cols>
  <sheetData>
    <row r="1">
      <c r="A1" s="176" t="inlineStr">
        <is>
          <t>Read Me — Tab Guide &amp; Legend</t>
        </is>
      </c>
      <c r="B1" s="171" t="n"/>
    </row>
    <row r="2">
      <c r="A2" s="177" t="inlineStr">
        <is>
          <t>Connect QA Gap Analysis · Web Platform stream</t>
        </is>
      </c>
      <c r="B2" s="171" t="n"/>
    </row>
    <row r="3">
      <c r="A3" s="171" t="inlineStr"/>
      <c r="B3" s="171" t="n"/>
    </row>
    <row r="4">
      <c r="A4" s="173" t="inlineStr">
        <is>
          <t>TWO OUTPUTS OF THIS EXERCISE</t>
        </is>
      </c>
      <c r="B4" s="171" t="n"/>
    </row>
    <row r="5">
      <c r="A5" s="171" t="inlineStr">
        <is>
          <t>Output 1: MTP completeness</t>
        </is>
      </c>
      <c r="B5" s="171" t="inlineStr">
        <is>
          <t>Everything the product does that was NOT documented in this test plan. ALL functional gaps get added to the plan, whether or not engineering already tests them.</t>
        </is>
      </c>
    </row>
    <row r="6">
      <c r="A6" s="171" t="inlineStr">
        <is>
          <t>Output 2: QA automation backlog</t>
        </is>
      </c>
      <c r="B6" s="171" t="inlineStr">
        <is>
          <t>The subset QA still needs to automate — the ones engineering does NOT already cover. Filter the Gap Analysis Action column for "Automate".</t>
        </is>
      </c>
    </row>
    <row r="7">
      <c r="A7" s="171" t="inlineStr"/>
      <c r="B7" s="171" t="n"/>
    </row>
    <row r="8">
      <c r="A8" s="173" t="inlineStr">
        <is>
          <t>TAB GUIDE (4 analysis tabs)</t>
        </is>
      </c>
      <c r="B8" s="171" t="n"/>
    </row>
    <row r="9">
      <c r="A9" s="171" t="inlineStr">
        <is>
          <t>Read Me</t>
        </is>
      </c>
      <c r="B9" s="171" t="inlineStr">
        <is>
          <t>This tab. The key to the workbook.</t>
        </is>
      </c>
    </row>
    <row r="10">
      <c r="A10" s="171" t="inlineStr">
        <is>
          <t>Dashboard</t>
        </is>
      </c>
      <c r="B10" s="171" t="inlineStr">
        <is>
          <t>One-screen live dashboard: the two outputs (add-to-MTP / automate), dev + reconcile counts, AND the Coverage Tracker — per-surface automation % of existing MTP cases. Read this first.</t>
        </is>
      </c>
    </row>
    <row r="11">
      <c r="A11" s="171" t="inlineStr">
        <is>
          <t>Gap Analysis  (MAIN OUTPUT)</t>
        </is>
      </c>
      <c r="B11" s="171" t="inlineStr">
        <is>
          <t>Every coverage gap found — behaviour in the code with NO case in the test plan. Each row has its Bucket, Eng Coverage, and Action. Reviewers work here.</t>
        </is>
      </c>
    </row>
    <row r="12">
      <c r="A12" s="171" t="inlineStr">
        <is>
          <t>Automation (existing MTP)</t>
        </is>
      </c>
      <c r="B12" s="171" t="inlineStr">
        <is>
          <t>The existing master test cases and their automation status: Green = already automated, Yellow = automatable-not-built, Red = manual-only. (This is the pass-1 baseline; the Dashboard Coverage Tracker rolls it up.)</t>
        </is>
      </c>
    </row>
    <row r="13">
      <c r="A13" s="171" t="inlineStr"/>
      <c r="B13" s="171" t="n"/>
    </row>
    <row r="14">
      <c r="A14" s="173" t="inlineStr">
        <is>
          <t>ORIGINAL TABS (not from this exercise)</t>
        </is>
      </c>
      <c r="B14" s="171" t="n"/>
    </row>
    <row r="15">
      <c r="A15" s="171" t="inlineStr">
        <is>
          <t>Test Tracker / Test Tracker Horizontal</t>
        </is>
      </c>
      <c r="B15" s="171" t="inlineStr">
        <is>
          <t>Pre-existing manual-execution trackers (run pass/fail). Left untouched.</t>
        </is>
      </c>
    </row>
    <row r="16">
      <c r="A16" s="171" t="inlineStr">
        <is>
          <t>Surface tabs (Login, Opportunity creation, Visit verification, ...)</t>
        </is>
      </c>
      <c r="B16" s="171" t="inlineStr">
        <is>
          <t>The existing master test plan — documented cases by product area. The "before" picture the gap analysis was measured against.</t>
        </is>
      </c>
    </row>
    <row r="17">
      <c r="A17" s="171" t="inlineStr"/>
      <c r="B17" s="171" t="n"/>
    </row>
    <row r="18">
      <c r="A18" s="173" t="inlineStr">
        <is>
          <t>GAP ANALYSIS — 3 row types (by Gap ID prefix)</t>
        </is>
      </c>
      <c r="B18" s="171" t="n"/>
    </row>
    <row r="19">
      <c r="A19" s="171" t="inlineStr">
        <is>
          <t>Functional gap</t>
        </is>
      </c>
      <c r="B19" s="171" t="inlineStr">
        <is>
          <t>Behaviour in code with no MTP case. Core finding. IDs: GAP-SRC-*, GAP-BE-*, GAP-FE-*.</t>
        </is>
      </c>
    </row>
    <row r="20">
      <c r="A20" s="171" t="inlineStr">
        <is>
          <t>Unit-test-coverage gap (dev)</t>
        </is>
      </c>
      <c r="B20" s="171" t="inlineStr">
        <is>
          <t>Where ENG code lacks a unit test. For dev teams. IDs: GAP-UTC-*.</t>
        </is>
      </c>
    </row>
    <row r="21">
      <c r="A21" s="171" t="inlineStr">
        <is>
          <t>Cross-cutting</t>
        </is>
      </c>
      <c r="B21" s="171" t="inlineStr">
        <is>
          <t>Hygiene / MTP-vs-code discrepancy / automation note. IDs: GAP-MISC-*, GAP-MMISC-*.</t>
        </is>
      </c>
    </row>
    <row r="22">
      <c r="A22" s="171" t="inlineStr"/>
      <c r="B22" s="171" t="n"/>
    </row>
    <row r="23">
      <c r="A23" s="173" t="inlineStr">
        <is>
          <t>BUCKET column</t>
        </is>
      </c>
      <c r="B23" s="171" t="inlineStr">
        <is>
          <t>🟢 Already automated  ·  🟡 Automatable-not-done (backlog)  ·  🔴 Manual only (real SMS/OTP/push/camera/device)</t>
        </is>
      </c>
    </row>
    <row r="24">
      <c r="A24" s="171" t="inlineStr">
        <is>
          <t>ENG COVERAGE column</t>
        </is>
      </c>
      <c r="B24" s="171" t="inlineStr">
        <is>
          <t>Eng-covered (logic) = eng already tests it, QA e2e only if critical  ·  QA-owned = eng cannot cover  ·  Partial = confirm w/ eng  ·  Eng GAP = eng missing a unit test  ·  N/A</t>
        </is>
      </c>
    </row>
    <row r="25">
      <c r="A25" s="171" t="inlineStr">
        <is>
          <t>ACTION column</t>
        </is>
      </c>
      <c r="B25" s="171" t="inlineStr">
        <is>
          <t>Add to MTP only (eng-covered)  ·  Add to MTP + Automate (QA-owned)  ·  Add to MTP + Automate (confirm w/ eng)  ·  Dev: add unit test  ·  Reconcile (plan/code)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6" customWidth="1" style="148" min="1" max="1"/>
    <col width="20" customWidth="1" style="148" min="2" max="2"/>
    <col width="20" customWidth="1" style="148" min="3" max="3"/>
    <col width="20" customWidth="1" style="148" min="4" max="4"/>
    <col width="20" customWidth="1" style="148" min="5" max="5"/>
    <col width="20" customWidth="1" style="148" min="6" max="6"/>
  </cols>
  <sheetData>
    <row r="1">
      <c r="A1" s="172" t="inlineStr">
        <is>
          <t>Dashboard — conclusions, outputs &amp; coverage (live)</t>
        </is>
      </c>
      <c r="B1" s="171" t="n"/>
      <c r="C1" s="171" t="n"/>
      <c r="D1" s="171" t="n"/>
      <c r="E1" s="171" t="n"/>
      <c r="F1" s="171" t="n"/>
    </row>
    <row r="2">
      <c r="A2" s="171" t="inlineStr"/>
      <c r="B2" s="171" t="n"/>
      <c r="C2" s="171" t="n"/>
      <c r="D2" s="171" t="n"/>
      <c r="E2" s="171" t="n"/>
      <c r="F2" s="171" t="n"/>
    </row>
    <row r="3">
      <c r="A3" s="187" t="inlineStr">
        <is>
          <t>CONCLUSIONS / ANALYSIS NOTES</t>
        </is>
      </c>
      <c r="B3" s="171" t="n"/>
      <c r="C3" s="171" t="n"/>
      <c r="D3" s="171" t="n"/>
      <c r="E3" s="171" t="n"/>
      <c r="F3" s="171" t="n"/>
    </row>
    <row r="4">
      <c r="A4" s="171" t="inlineStr">
        <is>
          <t>• Method: audited the master test plans against the actual product code to find behaviour with no test case (functional gaps), then cross-referenced each against engineering PR-run tests so QA does not duplicate eng work.</t>
        </is>
      </c>
      <c r="B4" s="171" t="n"/>
      <c r="C4" s="171" t="n"/>
      <c r="D4" s="171" t="n"/>
      <c r="E4" s="171" t="n"/>
      <c r="F4" s="171" t="n"/>
    </row>
    <row r="5">
      <c r="A5" s="171" t="inlineStr">
        <is>
          <t>• Two outputs: (1) MTP completeness = ALL functional gaps get added to the plan; (2) QA automation backlog = only the gaps eng does NOT already cover.</t>
        </is>
      </c>
      <c r="B5" s="171" t="n"/>
      <c r="C5" s="171" t="n"/>
      <c r="D5" s="171" t="n"/>
      <c r="E5" s="171" t="n"/>
      <c r="F5" s="171" t="n"/>
    </row>
    <row r="6">
      <c r="A6" s="171" t="inlineStr">
        <is>
          <t>• New gaps are mostly eng-covered: the majority of functional gaps found in code are already tested by eng at the logic layer -&gt; add to MTP for completeness, but do NOT re-automate. QA new-automation shortlist is small (real device/SMS/push/cross-system).</t>
        </is>
      </c>
      <c r="B6" s="171" t="n"/>
      <c r="C6" s="171" t="n"/>
      <c r="D6" s="171" t="n"/>
      <c r="E6" s="171" t="n"/>
      <c r="F6" s="171" t="n"/>
    </row>
    <row r="7">
      <c r="A7" s="171" t="inlineStr">
        <is>
          <t>• Existing MTP backlog is the opposite: automatable-not-built existing cases are overwhelmingly UI / end-to-end journeys that eng unit tests do NOT cover -&gt; this backlog genuinely needs QA automation (not duplicative of eng).</t>
        </is>
      </c>
      <c r="B7" s="171" t="n"/>
      <c r="C7" s="171" t="n"/>
      <c r="D7" s="171" t="n"/>
      <c r="E7" s="171" t="n"/>
      <c r="F7" s="171" t="n"/>
    </row>
    <row r="8">
      <c r="A8" s="171" t="inlineStr">
        <is>
          <t>• Net: eng-overlap savings land almost entirely on the NEW gaps, not the existing backlog. Manual-only (red) items stay manual regardless of framework.</t>
        </is>
      </c>
      <c r="B8" s="171" t="n"/>
      <c r="C8" s="171" t="n"/>
      <c r="D8" s="171" t="n"/>
      <c r="E8" s="171" t="n"/>
      <c r="F8" s="171" t="n"/>
    </row>
    <row r="9">
      <c r="A9" s="171" t="inlineStr">
        <is>
          <t>• All eng-coverage tags are best-guess from reading eng test structure, not verified line coverage - confirm the Partial items with the dev teams.</t>
        </is>
      </c>
      <c r="B9" s="171" t="n"/>
      <c r="C9" s="171" t="n"/>
      <c r="D9" s="171" t="n"/>
      <c r="E9" s="171" t="n"/>
      <c r="F9" s="171" t="n"/>
    </row>
    <row r="10">
      <c r="A10" s="171" t="inlineStr"/>
      <c r="B10" s="171" t="n"/>
      <c r="C10" s="171" t="n"/>
      <c r="D10" s="171" t="n"/>
      <c r="E10" s="171" t="n"/>
      <c r="F10" s="171" t="n"/>
    </row>
    <row r="11">
      <c r="A11" s="182" t="inlineStr">
        <is>
          <t>OUTPUTS (from Gap Analysis)</t>
        </is>
      </c>
      <c r="B11" s="171" t="n"/>
      <c r="C11" s="171" t="n"/>
      <c r="D11" s="171" t="n"/>
      <c r="E11" s="171" t="n"/>
      <c r="F11" s="171" t="n"/>
    </row>
    <row r="12">
      <c r="A12" s="171" t="inlineStr">
        <is>
          <t>Output 1: functional gaps to ADD to MTP</t>
        </is>
      </c>
      <c r="B12" s="171">
        <f>COUNTIF('Gap Analysis'!$L:$L,"Add to MTP*")</f>
        <v/>
      </c>
      <c r="C12" s="171" t="n"/>
      <c r="D12" s="171" t="n"/>
      <c r="E12" s="171" t="n"/>
      <c r="F12" s="171" t="n"/>
    </row>
    <row r="13">
      <c r="A13" s="171" t="inlineStr">
        <is>
          <t xml:space="preserve">   ...of which eng-covered (add to MTP only, do NOT automate)</t>
        </is>
      </c>
      <c r="B13" s="171">
        <f>COUNTIF('Gap Analysis'!$L:$L,"Add to MTP only*")</f>
        <v/>
      </c>
      <c r="C13" s="171" t="n"/>
      <c r="D13" s="171" t="n"/>
      <c r="E13" s="171" t="n"/>
      <c r="F13" s="171" t="n"/>
    </row>
    <row r="14">
      <c r="A14" s="171" t="inlineStr">
        <is>
          <t>Output 2: functional gaps to AUTOMATE (QA backlog)</t>
        </is>
      </c>
      <c r="B14" s="171">
        <f>COUNTIF('Gap Analysis'!$L:$L,"*Automate*")</f>
        <v/>
      </c>
      <c r="C14" s="171" t="n"/>
      <c r="D14" s="171" t="n"/>
      <c r="E14" s="171" t="n"/>
      <c r="F14" s="171" t="n"/>
    </row>
    <row r="15">
      <c r="A15" s="171" t="inlineStr">
        <is>
          <t xml:space="preserve">   ...of which QA-owned (eng cannot cover)</t>
        </is>
      </c>
      <c r="B15" s="171">
        <f>COUNTIF('Gap Analysis'!$L:$L,"*QA-owned*")</f>
        <v/>
      </c>
      <c r="C15" s="171" t="n"/>
      <c r="D15" s="171" t="n"/>
      <c r="E15" s="171" t="n"/>
      <c r="F15" s="171" t="n"/>
    </row>
    <row r="16">
      <c r="A16" s="171" t="inlineStr">
        <is>
          <t>Dev: unit-test-coverage gaps</t>
        </is>
      </c>
      <c r="B16" s="171">
        <f>COUNTIF('Gap Analysis'!$L:$L,"Dev:*")</f>
        <v/>
      </c>
      <c r="C16" s="171" t="n"/>
      <c r="D16" s="171" t="n"/>
      <c r="E16" s="171" t="n"/>
      <c r="F16" s="171" t="n"/>
    </row>
    <row r="17">
      <c r="A17" s="171" t="inlineStr">
        <is>
          <t>Cross-cutting: reconcile plan/code</t>
        </is>
      </c>
      <c r="B17" s="171">
        <f>COUNTIF('Gap Analysis'!$L:$L,"Reconcile*")</f>
        <v/>
      </c>
      <c r="C17" s="171" t="n"/>
      <c r="D17" s="171" t="n"/>
      <c r="E17" s="171" t="n"/>
      <c r="F17" s="171" t="n"/>
    </row>
    <row r="18">
      <c r="A18" s="171" t="inlineStr"/>
      <c r="B18" s="171" t="n"/>
      <c r="C18" s="171" t="n"/>
      <c r="D18" s="171" t="n"/>
      <c r="E18" s="171" t="n"/>
      <c r="F18" s="171" t="n"/>
    </row>
    <row r="19">
      <c r="A19" s="182" t="inlineStr">
        <is>
          <t>COVERAGE TRACKER — automation of existing MTP cases</t>
        </is>
      </c>
      <c r="B19" s="171" t="n"/>
      <c r="C19" s="171" t="n"/>
      <c r="D19" s="171" t="n"/>
      <c r="E19" s="171" t="n"/>
      <c r="F19" s="171" t="n"/>
    </row>
    <row r="20">
      <c r="A20" s="173" t="inlineStr">
        <is>
          <t>Surface</t>
        </is>
      </c>
      <c r="B20" s="173" t="inlineStr">
        <is>
          <t>Automated (built)</t>
        </is>
      </c>
      <c r="C20" s="173" t="inlineStr">
        <is>
          <t>Automatable (not built)</t>
        </is>
      </c>
      <c r="D20" s="173" t="inlineStr">
        <is>
          <t>Manual only</t>
        </is>
      </c>
      <c r="E20" s="173" t="inlineStr">
        <is>
          <t>Total</t>
        </is>
      </c>
      <c r="F20" s="173" t="inlineStr">
        <is>
          <t>% Automated</t>
        </is>
      </c>
    </row>
    <row r="21">
      <c r="A21" s="171" t="inlineStr">
        <is>
          <t>Login page</t>
        </is>
      </c>
      <c r="B21" s="171">
        <f>COUNTIFS('Automation (existing MTP)'!$B:$B,$A21,'Automation (existing MTP)'!$D:$D,"🟢*")</f>
        <v/>
      </c>
      <c r="C21" s="171">
        <f>COUNTIFS('Automation (existing MTP)'!$B:$B,$A21,'Automation (existing MTP)'!$D:$D,"🟡*")</f>
        <v/>
      </c>
      <c r="D21" s="171">
        <f>COUNTIFS('Automation (existing MTP)'!$B:$B,$A21,'Automation (existing MTP)'!$D:$D,"🔴*")</f>
        <v/>
      </c>
      <c r="E21" s="171">
        <f>B21+C21+D21</f>
        <v/>
      </c>
      <c r="F21" s="179">
        <f>IF(E21&gt;0,B21/E21,0)</f>
        <v/>
      </c>
    </row>
    <row r="22">
      <c r="A22" s="171" t="inlineStr">
        <is>
          <t>Programs List page</t>
        </is>
      </c>
      <c r="B22" s="171">
        <f>COUNTIFS('Automation (existing MTP)'!$B:$B,$A22,'Automation (existing MTP)'!$D:$D,"🟢*")</f>
        <v/>
      </c>
      <c r="C22" s="171">
        <f>COUNTIFS('Automation (existing MTP)'!$B:$B,$A22,'Automation (existing MTP)'!$D:$D,"🟡*")</f>
        <v/>
      </c>
      <c r="D22" s="171">
        <f>COUNTIFS('Automation (existing MTP)'!$B:$B,$A22,'Automation (existing MTP)'!$D:$D,"🔴*")</f>
        <v/>
      </c>
      <c r="E22" s="171">
        <f>B22+C22+D22</f>
        <v/>
      </c>
      <c r="F22" s="179">
        <f>IF(E22&gt;0,B22/E22,0)</f>
        <v/>
      </c>
    </row>
    <row r="23">
      <c r="A23" s="171" t="inlineStr">
        <is>
          <t>Opportunity creation</t>
        </is>
      </c>
      <c r="B23" s="171">
        <f>COUNTIFS('Automation (existing MTP)'!$B:$B,$A23,'Automation (existing MTP)'!$D:$D,"🟢*")</f>
        <v/>
      </c>
      <c r="C23" s="171">
        <f>COUNTIFS('Automation (existing MTP)'!$B:$B,$A23,'Automation (existing MTP)'!$D:$D,"🟡*")</f>
        <v/>
      </c>
      <c r="D23" s="171">
        <f>COUNTIFS('Automation (existing MTP)'!$B:$B,$A23,'Automation (existing MTP)'!$D:$D,"🔴*")</f>
        <v/>
      </c>
      <c r="E23" s="171">
        <f>B23+C23+D23</f>
        <v/>
      </c>
      <c r="F23" s="179">
        <f>IF(E23&gt;0,B23/E23,0)</f>
        <v/>
      </c>
    </row>
    <row r="24">
      <c r="A24" s="171" t="inlineStr">
        <is>
          <t>Opportunity List page</t>
        </is>
      </c>
      <c r="B24" s="171">
        <f>COUNTIFS('Automation (existing MTP)'!$B:$B,$A24,'Automation (existing MTP)'!$D:$D,"🟢*")</f>
        <v/>
      </c>
      <c r="C24" s="171">
        <f>COUNTIFS('Automation (existing MTP)'!$B:$B,$A24,'Automation (existing MTP)'!$D:$D,"🟡*")</f>
        <v/>
      </c>
      <c r="D24" s="171">
        <f>COUNTIFS('Automation (existing MTP)'!$B:$B,$A24,'Automation (existing MTP)'!$D:$D,"🔴*")</f>
        <v/>
      </c>
      <c r="E24" s="171">
        <f>B24+C24+D24</f>
        <v/>
      </c>
      <c r="F24" s="179">
        <f>IF(E24&gt;0,B24/E24,0)</f>
        <v/>
      </c>
    </row>
    <row r="25">
      <c r="A25" s="171" t="inlineStr">
        <is>
          <t>Opportunity dashboard</t>
        </is>
      </c>
      <c r="B25" s="171">
        <f>COUNTIFS('Automation (existing MTP)'!$B:$B,$A25,'Automation (existing MTP)'!$D:$D,"🟢*")</f>
        <v/>
      </c>
      <c r="C25" s="171">
        <f>COUNTIFS('Automation (existing MTP)'!$B:$B,$A25,'Automation (existing MTP)'!$D:$D,"🟡*")</f>
        <v/>
      </c>
      <c r="D25" s="171">
        <f>COUNTIFS('Automation (existing MTP)'!$B:$B,$A25,'Automation (existing MTP)'!$D:$D,"🔴*")</f>
        <v/>
      </c>
      <c r="E25" s="171">
        <f>B25+C25+D25</f>
        <v/>
      </c>
      <c r="F25" s="179">
        <f>IF(E25&gt;0,B25/E25,0)</f>
        <v/>
      </c>
    </row>
    <row r="26">
      <c r="A26" s="171" t="inlineStr">
        <is>
          <t>Connect workers page</t>
        </is>
      </c>
      <c r="B26" s="171">
        <f>COUNTIFS('Automation (existing MTP)'!$B:$B,$A26,'Automation (existing MTP)'!$D:$D,"🟢*")</f>
        <v/>
      </c>
      <c r="C26" s="171">
        <f>COUNTIFS('Automation (existing MTP)'!$B:$B,$A26,'Automation (existing MTP)'!$D:$D,"🟡*")</f>
        <v/>
      </c>
      <c r="D26" s="171">
        <f>COUNTIFS('Automation (existing MTP)'!$B:$B,$A26,'Automation (existing MTP)'!$D:$D,"🔴*")</f>
        <v/>
      </c>
      <c r="E26" s="171">
        <f>B26+C26+D26</f>
        <v/>
      </c>
      <c r="F26" s="179">
        <f>IF(E26&gt;0,B26/E26,0)</f>
        <v/>
      </c>
    </row>
    <row r="27">
      <c r="A27" s="171" t="inlineStr">
        <is>
          <t>Visit verification page</t>
        </is>
      </c>
      <c r="B27" s="171">
        <f>COUNTIFS('Automation (existing MTP)'!$B:$B,$A27,'Automation (existing MTP)'!$D:$D,"🟢*")</f>
        <v/>
      </c>
      <c r="C27" s="171">
        <f>COUNTIFS('Automation (existing MTP)'!$B:$B,$A27,'Automation (existing MTP)'!$D:$D,"🟡*")</f>
        <v/>
      </c>
      <c r="D27" s="171">
        <f>COUNTIFS('Automation (existing MTP)'!$B:$B,$A27,'Automation (existing MTP)'!$D:$D,"🔴*")</f>
        <v/>
      </c>
      <c r="E27" s="171">
        <f>B27+C27+D27</f>
        <v/>
      </c>
      <c r="F27" s="179">
        <f>IF(E27&gt;0,B27/E27,0)</f>
        <v/>
      </c>
    </row>
    <row r="28">
      <c r="A28" s="171" t="inlineStr">
        <is>
          <t>Invoices List page</t>
        </is>
      </c>
      <c r="B28" s="171">
        <f>COUNTIFS('Automation (existing MTP)'!$B:$B,$A28,'Automation (existing MTP)'!$D:$D,"🟢*")</f>
        <v/>
      </c>
      <c r="C28" s="171">
        <f>COUNTIFS('Automation (existing MTP)'!$B:$B,$A28,'Automation (existing MTP)'!$D:$D,"🟡*")</f>
        <v/>
      </c>
      <c r="D28" s="171">
        <f>COUNTIFS('Automation (existing MTP)'!$B:$B,$A28,'Automation (existing MTP)'!$D:$D,"🔴*")</f>
        <v/>
      </c>
      <c r="E28" s="171">
        <f>B28+C28+D28</f>
        <v/>
      </c>
      <c r="F28" s="179">
        <f>IF(E28&gt;0,B28/E28,0)</f>
        <v/>
      </c>
    </row>
    <row r="29">
      <c r="A29" s="171" t="inlineStr">
        <is>
          <t>Connect Messaging</t>
        </is>
      </c>
      <c r="B29" s="171">
        <f>COUNTIFS('Automation (existing MTP)'!$B:$B,$A29,'Automation (existing MTP)'!$D:$D,"🟢*")</f>
        <v/>
      </c>
      <c r="C29" s="171">
        <f>COUNTIFS('Automation (existing MTP)'!$B:$B,$A29,'Automation (existing MTP)'!$D:$D,"🟡*")</f>
        <v/>
      </c>
      <c r="D29" s="171">
        <f>COUNTIFS('Automation (existing MTP)'!$B:$B,$A29,'Automation (existing MTP)'!$D:$D,"🔴*")</f>
        <v/>
      </c>
      <c r="E29" s="171">
        <f>B29+C29+D29</f>
        <v/>
      </c>
      <c r="F29" s="179">
        <f>IF(E29&gt;0,B29/E29,0)</f>
        <v/>
      </c>
    </row>
    <row r="30">
      <c r="A30" s="171" t="inlineStr">
        <is>
          <t>Delivery Reminder Mails</t>
        </is>
      </c>
      <c r="B30" s="171">
        <f>COUNTIFS('Automation (existing MTP)'!$B:$B,$A30,'Automation (existing MTP)'!$D:$D,"🟢*")</f>
        <v/>
      </c>
      <c r="C30" s="171">
        <f>COUNTIFS('Automation (existing MTP)'!$B:$B,$A30,'Automation (existing MTP)'!$D:$D,"🟡*")</f>
        <v/>
      </c>
      <c r="D30" s="171">
        <f>COUNTIFS('Automation (existing MTP)'!$B:$B,$A30,'Automation (existing MTP)'!$D:$D,"🔴*")</f>
        <v/>
      </c>
      <c r="E30" s="171">
        <f>B30+C30+D30</f>
        <v/>
      </c>
      <c r="F30" s="179">
        <f>IF(E30&gt;0,B30/E30,0)</f>
        <v/>
      </c>
    </row>
    <row r="31">
      <c r="A31" s="171" t="inlineStr">
        <is>
          <t>App Credentials</t>
        </is>
      </c>
      <c r="B31" s="171">
        <f>COUNTIFS('Automation (existing MTP)'!$B:$B,$A31,'Automation (existing MTP)'!$D:$D,"🟢*")</f>
        <v/>
      </c>
      <c r="C31" s="171">
        <f>COUNTIFS('Automation (existing MTP)'!$B:$B,$A31,'Automation (existing MTP)'!$D:$D,"🟡*")</f>
        <v/>
      </c>
      <c r="D31" s="171">
        <f>COUNTIFS('Automation (existing MTP)'!$B:$B,$A31,'Automation (existing MTP)'!$D:$D,"🔴*")</f>
        <v/>
      </c>
      <c r="E31" s="171">
        <f>B31+C31+D31</f>
        <v/>
      </c>
      <c r="F31" s="179">
        <f>IF(E31&gt;0,B31/E31,0)</f>
        <v/>
      </c>
    </row>
    <row r="32">
      <c r="A32" s="171" t="inlineStr">
        <is>
          <t>Re-Learn Task</t>
        </is>
      </c>
      <c r="B32" s="171">
        <f>COUNTIFS('Automation (existing MTP)'!$B:$B,$A32,'Automation (existing MTP)'!$D:$D,"🟢*")</f>
        <v/>
      </c>
      <c r="C32" s="171">
        <f>COUNTIFS('Automation (existing MTP)'!$B:$B,$A32,'Automation (existing MTP)'!$D:$D,"🟡*")</f>
        <v/>
      </c>
      <c r="D32" s="171">
        <f>COUNTIFS('Automation (existing MTP)'!$B:$B,$A32,'Automation (existing MTP)'!$D:$D,"🔴*")</f>
        <v/>
      </c>
      <c r="E32" s="171">
        <f>B32+C32+D32</f>
        <v/>
      </c>
      <c r="F32" s="179">
        <f>IF(E32&gt;0,B32/E32,0)</f>
        <v/>
      </c>
    </row>
    <row r="33">
      <c r="A33" s="171" t="inlineStr">
        <is>
          <t>Microplanning</t>
        </is>
      </c>
      <c r="B33" s="171">
        <f>COUNTIFS('Automation (existing MTP)'!$B:$B,$A33,'Automation (existing MTP)'!$D:$D,"🟢*")</f>
        <v/>
      </c>
      <c r="C33" s="171">
        <f>COUNTIFS('Automation (existing MTP)'!$B:$B,$A33,'Automation (existing MTP)'!$D:$D,"🟡*")</f>
        <v/>
      </c>
      <c r="D33" s="171">
        <f>COUNTIFS('Automation (existing MTP)'!$B:$B,$A33,'Automation (existing MTP)'!$D:$D,"🔴*")</f>
        <v/>
      </c>
      <c r="E33" s="171">
        <f>B33+C33+D33</f>
        <v/>
      </c>
      <c r="F33" s="179">
        <f>IF(E33&gt;0,B33/E33,0)</f>
        <v/>
      </c>
    </row>
    <row r="34">
      <c r="A34" s="180" t="inlineStr">
        <is>
          <t>TOTAL</t>
        </is>
      </c>
      <c r="B34" s="180">
        <f>SUM(B21:B33)</f>
        <v/>
      </c>
      <c r="C34" s="180">
        <f>SUM(C21:C33)</f>
        <v/>
      </c>
      <c r="D34" s="180">
        <f>SUM(D21:D33)</f>
        <v/>
      </c>
      <c r="E34" s="180">
        <f>SUM(E21:E33)</f>
        <v/>
      </c>
      <c r="F34" s="181">
        <f>IF(E34&gt;0,B34/E34,0)</f>
        <v/>
      </c>
    </row>
    <row r="35">
      <c r="A35" s="171" t="inlineStr"/>
      <c r="B35" s="171" t="n"/>
      <c r="C35" s="171" t="n"/>
      <c r="D35" s="171" t="n"/>
      <c r="E35" s="171" t="n"/>
      <c r="F35" s="171" t="n"/>
    </row>
    <row r="36">
      <c r="A36" s="182" t="inlineStr">
        <is>
          <t>EXISTING automatable-not-built cases — do they need automating?</t>
        </is>
      </c>
      <c r="B36" s="171" t="n"/>
      <c r="C36" s="171" t="n"/>
      <c r="D36" s="171" t="n"/>
      <c r="E36" s="171" t="n"/>
      <c r="F36" s="171" t="n"/>
    </row>
    <row r="37">
      <c r="A37" s="171" t="inlineStr">
        <is>
          <t>QA-owned (UI/e2e - need automating)</t>
        </is>
      </c>
      <c r="B37" s="171">
        <f>COUNTIF('Automation (existing MTP)'!$G:$G,"QA-owned (UI*")</f>
        <v/>
      </c>
      <c r="C37" s="171" t="n"/>
      <c r="D37" s="171" t="n"/>
      <c r="E37" s="171" t="n"/>
      <c r="F37" s="171" t="n"/>
    </row>
    <row r="38">
      <c r="A38" s="171" t="inlineStr">
        <is>
          <t>Likely already eng-covered (confirm - may NOT need automating)</t>
        </is>
      </c>
      <c r="B38" s="171">
        <f>COUNTIF('Automation (existing MTP)'!$G:$G,"Partial*")</f>
        <v/>
      </c>
      <c r="C38" s="171" t="n"/>
      <c r="D38" s="171" t="n"/>
      <c r="E38" s="171" t="n"/>
      <c r="F38" s="171"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5"/>
  <sheetViews>
    <sheetView workbookViewId="0">
      <selection activeCell="A1" sqref="A1"/>
    </sheetView>
  </sheetViews>
  <sheetFormatPr baseColWidth="8" defaultRowHeight="15"/>
  <cols>
    <col width="14" customWidth="1" style="148" min="1" max="1"/>
    <col width="26" customWidth="1" style="148" min="2" max="2"/>
    <col width="70" customWidth="1" style="148" min="3" max="3"/>
    <col width="26" customWidth="1" style="148" min="4" max="4"/>
    <col width="48" customWidth="1" style="148" min="5" max="5"/>
    <col width="9" customWidth="1" style="148" min="6" max="6"/>
    <col width="9" customWidth="1" style="148" min="7" max="7"/>
    <col width="12" customWidth="1" style="148" min="8" max="8"/>
    <col width="40" customWidth="1" style="148" min="9" max="9"/>
    <col width="28" customWidth="1" style="148" min="10" max="10"/>
    <col width="46" customWidth="1" style="148" min="11" max="11"/>
    <col width="40" customWidth="1" style="148" min="12" max="12"/>
  </cols>
  <sheetData>
    <row r="1">
      <c r="A1" s="170" t="inlineStr">
        <is>
          <t>Gap ID</t>
        </is>
      </c>
      <c r="B1" s="170" t="inlineStr">
        <is>
          <t>Surface</t>
        </is>
      </c>
      <c r="C1" s="170" t="inlineStr">
        <is>
          <t>Description</t>
        </is>
      </c>
      <c r="D1" s="170" t="inlineStr">
        <is>
          <t>Bucket</t>
        </is>
      </c>
      <c r="E1" s="170" t="inlineStr">
        <is>
          <t>Rationale/Source</t>
        </is>
      </c>
      <c r="F1" s="170" t="inlineStr">
        <is>
          <t>Priority</t>
        </is>
      </c>
      <c r="G1" s="170" t="inlineStr">
        <is>
          <t>Status</t>
        </is>
      </c>
      <c r="H1" s="170" t="inlineStr">
        <is>
          <t>Assignee</t>
        </is>
      </c>
      <c r="I1" s="170" t="inlineStr">
        <is>
          <t>Reviewer's Notes</t>
        </is>
      </c>
      <c r="J1" s="170" t="inlineStr">
        <is>
          <t>Source</t>
        </is>
      </c>
      <c r="K1" s="170" t="inlineStr">
        <is>
          <t>Eng Coverage</t>
        </is>
      </c>
      <c r="L1" s="170" t="inlineStr">
        <is>
          <t>Action</t>
        </is>
      </c>
    </row>
    <row r="2">
      <c r="A2" s="171" t="inlineStr">
        <is>
          <t>GAP-MISC-01</t>
        </is>
      </c>
      <c r="B2" s="171" t="inlineStr">
        <is>
          <t>Cross-cutting</t>
        </is>
      </c>
      <c r="C2" s="171" t="inlineStr">
        <is>
          <t>Suite covers 'revoke suspension' (test_worker_visit_verification_page_03) but MTP has no such case - add to MTP</t>
        </is>
      </c>
      <c r="D2" s="171" t="inlineStr">
        <is>
          <t>🟡 Automatable - not yet done</t>
        </is>
      </c>
      <c r="E2" s="171" t="inlineStr">
        <is>
          <t>Reverse gap: automated behaviour missing from MTP</t>
        </is>
      </c>
      <c r="F2" s="171" t="inlineStr">
        <is>
          <t>Medium</t>
        </is>
      </c>
      <c r="G2" s="171" t="inlineStr">
        <is>
          <t>New</t>
        </is>
      </c>
      <c r="H2" s="171" t="n"/>
      <c r="I2" s="171" t="n"/>
      <c r="J2" s="171" t="inlineStr">
        <is>
          <t>Pass 1: MTP vs test suite</t>
        </is>
      </c>
      <c r="K2" s="171" t="inlineStr">
        <is>
          <t>N/A (hygiene/discrepancy/automation note)</t>
        </is>
      </c>
      <c r="L2" s="171" t="inlineStr">
        <is>
          <t>Reconcile (plan/code)</t>
        </is>
      </c>
    </row>
    <row r="3">
      <c r="A3" s="171" t="inlineStr">
        <is>
          <t>GAP-MISC-02</t>
        </is>
      </c>
      <c r="B3" s="171" t="inlineStr">
        <is>
          <t>Cross-cutting</t>
        </is>
      </c>
      <c r="C3" s="171" t="inlineStr">
        <is>
          <t>Suite asserts Total-row count breakdown (test_worker_list_view_05) but MTP has no matching case - add to MTP</t>
        </is>
      </c>
      <c r="D3" s="171" t="inlineStr">
        <is>
          <t>🟡 Automatable - not yet done</t>
        </is>
      </c>
      <c r="E3" s="171" t="inlineStr">
        <is>
          <t>Reverse gap: automated behaviour missing from MTP</t>
        </is>
      </c>
      <c r="F3" s="171" t="inlineStr">
        <is>
          <t>Medium</t>
        </is>
      </c>
      <c r="G3" s="171" t="inlineStr">
        <is>
          <t>New</t>
        </is>
      </c>
      <c r="H3" s="171" t="n"/>
      <c r="I3" s="171" t="n"/>
      <c r="J3" s="171" t="inlineStr">
        <is>
          <t>Pass 1: MTP vs test suite</t>
        </is>
      </c>
      <c r="K3" s="171" t="inlineStr">
        <is>
          <t>N/A (hygiene/discrepancy/automation note)</t>
        </is>
      </c>
      <c r="L3" s="171" t="inlineStr">
        <is>
          <t>Reconcile (plan/code)</t>
        </is>
      </c>
    </row>
    <row r="4">
      <c r="A4" s="171" t="inlineStr">
        <is>
          <t>GAP-MISC-03</t>
        </is>
      </c>
      <c r="B4" s="171" t="inlineStr">
        <is>
          <t>Cross-cutting</t>
        </is>
      </c>
      <c r="C4" s="171" t="inlineStr">
        <is>
          <t>test_worker_visit_verification_page_01_02 and _04_05_06_07 wrap assertions in bare try/except - tests can pass silently</t>
        </is>
      </c>
      <c r="D4" s="171" t="inlineStr">
        <is>
          <t>🟡 Automatable - not yet done</t>
        </is>
      </c>
      <c r="E4" s="171" t="inlineStr">
        <is>
          <t>Suite quality: assertions swallowed; fix in automation repo</t>
        </is>
      </c>
      <c r="F4" s="171" t="inlineStr">
        <is>
          <t>High</t>
        </is>
      </c>
      <c r="G4" s="171" t="inlineStr">
        <is>
          <t>New</t>
        </is>
      </c>
      <c r="H4" s="171" t="n"/>
      <c r="I4" s="171" t="n"/>
      <c r="J4" s="171" t="inlineStr">
        <is>
          <t>Pass 1: MTP vs test suite</t>
        </is>
      </c>
      <c r="K4" s="171" t="inlineStr">
        <is>
          <t>N/A (hygiene/discrepancy/automation note)</t>
        </is>
      </c>
      <c r="L4" s="171" t="inlineStr">
        <is>
          <t>Reconcile (plan/code)</t>
        </is>
      </c>
    </row>
    <row r="5">
      <c r="A5" s="171" t="inlineStr">
        <is>
          <t>GAP-MISC-04</t>
        </is>
      </c>
      <c r="B5" s="171" t="inlineStr">
        <is>
          <t>Cross-cutting</t>
        </is>
      </c>
      <c r="C5" s="171" t="inlineStr">
        <is>
          <t>Allure tags/descriptions reference an older MTP numbering (e.g. suite OLP_1 = opportunity creation vs current MTP OLP_01 = landing page) - IDs need reconciliation</t>
        </is>
      </c>
      <c r="D5" s="171" t="inlineStr">
        <is>
          <t>🟡 Automatable - not yet done</t>
        </is>
      </c>
      <c r="E5" s="171" t="inlineStr">
        <is>
          <t>Suite/MTP ID drift discovered in pass 1</t>
        </is>
      </c>
      <c r="F5" s="171" t="inlineStr">
        <is>
          <t>High</t>
        </is>
      </c>
      <c r="G5" s="171" t="inlineStr">
        <is>
          <t>New</t>
        </is>
      </c>
      <c r="H5" s="171" t="n"/>
      <c r="I5" s="171" t="n"/>
      <c r="J5" s="171" t="inlineStr">
        <is>
          <t>Pass 1: MTP vs test suite</t>
        </is>
      </c>
      <c r="K5" s="171" t="inlineStr">
        <is>
          <t>N/A (hygiene/discrepancy/automation note)</t>
        </is>
      </c>
      <c r="L5" s="171" t="inlineStr">
        <is>
          <t>Reconcile (plan/code)</t>
        </is>
      </c>
    </row>
    <row r="6">
      <c r="A6" s="171" t="inlineStr">
        <is>
          <t>GAP-MISC-05</t>
        </is>
      </c>
      <c r="B6" s="171" t="inlineStr">
        <is>
          <t>Cross-cutting</t>
        </is>
      </c>
      <c r="C6" s="171" t="inlineStr">
        <is>
          <t>MTP has duplicate case ID OD_18 (learn/deliver apps info AND inactive-workers pre-filter)</t>
        </is>
      </c>
      <c r="D6" s="171" t="inlineStr">
        <is>
          <t>🟡 Automatable - not yet done</t>
        </is>
      </c>
      <c r="E6" s="171" t="inlineStr">
        <is>
          <t>MTP hygiene: duplicate ID to fix on sheet</t>
        </is>
      </c>
      <c r="F6" s="171" t="inlineStr">
        <is>
          <t>Medium</t>
        </is>
      </c>
      <c r="G6" s="171" t="inlineStr">
        <is>
          <t>New</t>
        </is>
      </c>
      <c r="H6" s="171" t="n"/>
      <c r="I6" s="171" t="n"/>
      <c r="J6" s="171" t="inlineStr">
        <is>
          <t>Pass 1: MTP vs test suite</t>
        </is>
      </c>
      <c r="K6" s="171" t="inlineStr">
        <is>
          <t>N/A (hygiene/discrepancy/automation note)</t>
        </is>
      </c>
      <c r="L6" s="171" t="inlineStr">
        <is>
          <t>Reconcile (plan/code)</t>
        </is>
      </c>
    </row>
    <row r="7">
      <c r="A7" s="171" t="inlineStr">
        <is>
          <t>GAP-MISC-06</t>
        </is>
      </c>
      <c r="B7" s="171" t="inlineStr">
        <is>
          <t>Cross-cutting</t>
        </is>
      </c>
      <c r="C7" s="171" t="inlineStr">
        <is>
          <t>MTP rows without case IDs: Connect-worker search case, OLP_05 PM-user variant, Microplanning core-metrics download case</t>
        </is>
      </c>
      <c r="D7" s="171" t="inlineStr">
        <is>
          <t>🟡 Automatable - not yet done</t>
        </is>
      </c>
      <c r="E7" s="171" t="inlineStr">
        <is>
          <t>MTP hygiene: assign IDs so cases are trackable</t>
        </is>
      </c>
      <c r="F7" s="171" t="inlineStr">
        <is>
          <t>Medium</t>
        </is>
      </c>
      <c r="G7" s="171" t="inlineStr">
        <is>
          <t>New</t>
        </is>
      </c>
      <c r="H7" s="171" t="n"/>
      <c r="I7" s="171" t="n"/>
      <c r="J7" s="171" t="inlineStr">
        <is>
          <t>Pass 1: MTP vs test suite</t>
        </is>
      </c>
      <c r="K7" s="171" t="inlineStr">
        <is>
          <t>N/A (hygiene/discrepancy/automation note)</t>
        </is>
      </c>
      <c r="L7" s="171" t="inlineStr">
        <is>
          <t>Reconcile (plan/code)</t>
        </is>
      </c>
    </row>
    <row r="8">
      <c r="A8" s="171" t="inlineStr">
        <is>
          <t>GAP-SRC-W-01</t>
        </is>
      </c>
      <c r="B8" s="171" t="inlineStr">
        <is>
          <t>Visit verification page</t>
        </is>
      </c>
      <c r="C8" s="171" t="inlineStr">
        <is>
          <t>Audio attachments on visits with server-side transcription + translation (AudioAttachment.transcript/translation; audio_attachment/&lt;pk&gt;/transcribe endpoint)</t>
        </is>
      </c>
      <c r="D8" s="171" t="inlineStr">
        <is>
          <t>🟡 Automatable - not yet done</t>
        </is>
      </c>
      <c r="E8" s="171" t="inlineStr">
        <is>
          <t>MISSING from MTP (WVV covers image carousel only, not audio/transcription). Src: opportunity AudioAttachment + AudioAttachmentTranscribe</t>
        </is>
      </c>
      <c r="F8" s="171" t="inlineStr">
        <is>
          <t>High</t>
        </is>
      </c>
      <c r="G8" s="171" t="inlineStr">
        <is>
          <t>New</t>
        </is>
      </c>
      <c r="H8" s="171" t="inlineStr"/>
      <c r="I8" s="171" t="inlineStr"/>
      <c r="J8" s="171" t="inlineStr">
        <is>
          <t>Web pass 4/5 batch 1: commcare-connect opportunity spine (urls+models)</t>
        </is>
      </c>
      <c r="K8" s="171" t="inlineStr">
        <is>
          <t>Partial (some eng coverage; confirm with eng)</t>
        </is>
      </c>
      <c r="L8" s="171" t="inlineStr">
        <is>
          <t>Add to MTP + Automate (confirm w/ eng)</t>
        </is>
      </c>
    </row>
    <row r="9">
      <c r="A9" s="171" t="inlineStr">
        <is>
          <t>GAP-SRC-W-02</t>
        </is>
      </c>
      <c r="B9" s="171" t="inlineStr">
        <is>
          <t>Visit verification page</t>
        </is>
      </c>
      <c r="C9" s="171" t="inlineStr">
        <is>
          <t>Granular verification-flag types configured per opportunity: gps, duplicate, location-radius, form-submission time window (start/end), catchment_areas, duration</t>
        </is>
      </c>
      <c r="D9" s="171" t="inlineStr">
        <is>
          <t>🟡 Automatable - not yet done</t>
        </is>
      </c>
      <c r="E9" s="171" t="inlineStr">
        <is>
          <t>PARTIAL vs OD_7 (generic 'verification flags'). Each flag type not a case. Src: OpportunityVerificationFlags model</t>
        </is>
      </c>
      <c r="F9" s="171" t="inlineStr">
        <is>
          <t>High</t>
        </is>
      </c>
      <c r="G9" s="171" t="inlineStr">
        <is>
          <t>New</t>
        </is>
      </c>
      <c r="H9" s="171" t="inlineStr"/>
      <c r="I9" s="171" t="inlineStr"/>
      <c r="J9" s="171" t="inlineStr">
        <is>
          <t>Web pass 4/5 batch 1: commcare-connect opportunity spine (urls+models)</t>
        </is>
      </c>
      <c r="K9" s="171" t="inlineStr">
        <is>
          <t>Eng-covered (logic) - QA e2e only if critical journey</t>
        </is>
      </c>
      <c r="L9" s="171" t="inlineStr">
        <is>
          <t>Add to MTP only (eng-covered)</t>
        </is>
      </c>
    </row>
    <row r="10">
      <c r="A10" s="171" t="inlineStr">
        <is>
          <t>GAP-SRC-W-03</t>
        </is>
      </c>
      <c r="B10" s="171" t="inlineStr">
        <is>
          <t>Visit verification page</t>
        </is>
      </c>
      <c r="C10" s="171" t="inlineStr">
        <is>
          <t>Catchment-area based verification: import/export catchment areas (CSV) and flag visits outside the area (CatchmentArea model, import/export_catchment_area)</t>
        </is>
      </c>
      <c r="D10" s="171" t="inlineStr">
        <is>
          <t>🟡 Automatable - not yet done</t>
        </is>
      </c>
      <c r="E10" s="171" t="inlineStr">
        <is>
          <t>MISSING from MTP. Src: opportunity CatchmentArea + import_catchment_area/export_catchment_area</t>
        </is>
      </c>
      <c r="F10" s="171" t="inlineStr">
        <is>
          <t>Medium</t>
        </is>
      </c>
      <c r="G10" s="171" t="inlineStr">
        <is>
          <t>New</t>
        </is>
      </c>
      <c r="H10" s="171" t="inlineStr"/>
      <c r="I10" s="171" t="inlineStr"/>
      <c r="J10" s="171" t="inlineStr">
        <is>
          <t>Web pass 4/5 batch 1: commcare-connect opportunity spine (urls+models)</t>
        </is>
      </c>
      <c r="K10" s="171" t="inlineStr">
        <is>
          <t>Partial (some eng coverage; confirm with eng)</t>
        </is>
      </c>
      <c r="L10" s="171" t="inlineStr">
        <is>
          <t>Add to MTP + Automate (confirm w/ eng)</t>
        </is>
      </c>
    </row>
    <row r="11">
      <c r="A11" s="171" t="inlineStr">
        <is>
          <t>GAP-SRC-W-04</t>
        </is>
      </c>
      <c r="B11" s="171" t="inlineStr">
        <is>
          <t>Visit verification page</t>
        </is>
      </c>
      <c r="C11" s="171" t="inlineStr">
        <is>
          <t>Form-JSON validation rules (question path == value) and per-deliver-unit flag rules (check_attachments, duration) as configurable verification checks</t>
        </is>
      </c>
      <c r="D11" s="171" t="inlineStr">
        <is>
          <t>🟡 Automatable - not yet done</t>
        </is>
      </c>
      <c r="E11" s="171" t="inlineStr">
        <is>
          <t>MISSING from MTP. Src: FormJsonValidationRules + DeliverUnitFlagRules + delete_form_json_rule</t>
        </is>
      </c>
      <c r="F11" s="171" t="inlineStr">
        <is>
          <t>Medium</t>
        </is>
      </c>
      <c r="G11" s="171" t="inlineStr">
        <is>
          <t>New</t>
        </is>
      </c>
      <c r="H11" s="171" t="inlineStr"/>
      <c r="I11" s="171" t="inlineStr"/>
      <c r="J11" s="171" t="inlineStr">
        <is>
          <t>Web pass 4/5 batch 1: commcare-connect opportunity spine (urls+models)</t>
        </is>
      </c>
      <c r="K11" s="171" t="inlineStr">
        <is>
          <t>Eng-covered (logic) - QA e2e only if critical journey</t>
        </is>
      </c>
      <c r="L11" s="171" t="inlineStr">
        <is>
          <t>Add to MTP only (eng-covered)</t>
        </is>
      </c>
    </row>
    <row r="12">
      <c r="A12" s="171" t="inlineStr">
        <is>
          <t>GAP-SRC-W-05</t>
        </is>
      </c>
      <c r="B12" s="171" t="inlineStr">
        <is>
          <t>Opportunity creation</t>
        </is>
      </c>
      <c r="C12" s="171" t="inlineStr">
        <is>
          <t>auto_approve_payments opportunity setting (distinct from auto_approve_visits) - payments auto-approved without manual step</t>
        </is>
      </c>
      <c r="D12" s="171" t="inlineStr">
        <is>
          <t>🟡 Automatable - not yet done</t>
        </is>
      </c>
      <c r="E12" s="171" t="inlineStr">
        <is>
          <t>MISSING from MTP (visit auto-approve covered, payment auto-approve not). Src: Opportunity.auto_approve_payments</t>
        </is>
      </c>
      <c r="F12" s="171" t="inlineStr">
        <is>
          <t>Medium</t>
        </is>
      </c>
      <c r="G12" s="171" t="inlineStr">
        <is>
          <t>New</t>
        </is>
      </c>
      <c r="H12" s="171" t="inlineStr"/>
      <c r="I12" s="171" t="inlineStr"/>
      <c r="J12" s="171" t="inlineStr">
        <is>
          <t>Web pass 4/5 batch 1: commcare-connect opportunity spine (urls+models)</t>
        </is>
      </c>
      <c r="K12" s="171" t="inlineStr">
        <is>
          <t>Eng-covered (logic) - QA e2e only if critical journey</t>
        </is>
      </c>
      <c r="L12" s="171" t="inlineStr">
        <is>
          <t>Add to MTP only (eng-covered)</t>
        </is>
      </c>
    </row>
    <row r="13">
      <c r="A13" s="171" t="inlineStr">
        <is>
          <t>GAP-SRC-W-06</t>
        </is>
      </c>
      <c r="B13" s="171" t="inlineStr">
        <is>
          <t>Opportunity creation</t>
        </is>
      </c>
      <c r="C13" s="171" t="inlineStr">
        <is>
          <t>automatic_visit_verification opportunity flag (system auto-verifies visits against rules, distinct from NM manual approve)</t>
        </is>
      </c>
      <c r="D13" s="171" t="inlineStr">
        <is>
          <t>🟡 Automatable - not yet done</t>
        </is>
      </c>
      <c r="E13" s="171" t="inlineStr">
        <is>
          <t>PARTIAL vs MTP. Src: Opportunity.automatic_visit_verification</t>
        </is>
      </c>
      <c r="F13" s="171" t="inlineStr">
        <is>
          <t>Medium</t>
        </is>
      </c>
      <c r="G13" s="171" t="inlineStr">
        <is>
          <t>New</t>
        </is>
      </c>
      <c r="H13" s="171" t="inlineStr"/>
      <c r="I13" s="171" t="inlineStr"/>
      <c r="J13" s="171" t="inlineStr">
        <is>
          <t>Web pass 4/5 batch 1: commcare-connect opportunity spine (urls+models)</t>
        </is>
      </c>
      <c r="K13" s="171" t="inlineStr">
        <is>
          <t>Eng-covered (logic) - QA e2e only if critical journey</t>
        </is>
      </c>
      <c r="L13" s="171" t="inlineStr">
        <is>
          <t>Add to MTP only (eng-covered)</t>
        </is>
      </c>
    </row>
    <row r="14">
      <c r="A14" s="171" t="inlineStr">
        <is>
          <t>GAP-SRC-W-07</t>
        </is>
      </c>
      <c r="B14" s="171" t="inlineStr">
        <is>
          <t>Opportunity List page</t>
        </is>
      </c>
      <c r="C14" s="171" t="inlineStr">
        <is>
          <t>Archived opportunities: an opportunity can be archived (distinct from active/ended); archived-state handling in lists/filters</t>
        </is>
      </c>
      <c r="D14" s="171" t="inlineStr">
        <is>
          <t>🟡 Automatable - not yet done</t>
        </is>
      </c>
      <c r="E14" s="171" t="inlineStr">
        <is>
          <t>MISSING from MTP (OLP filters cover Test/Live/Active/Ended, not Archived). Src: Opportunity.archived / is_active</t>
        </is>
      </c>
      <c r="F14" s="171" t="inlineStr">
        <is>
          <t>Medium</t>
        </is>
      </c>
      <c r="G14" s="171" t="inlineStr">
        <is>
          <t>New</t>
        </is>
      </c>
      <c r="H14" s="171" t="inlineStr"/>
      <c r="I14" s="171" t="inlineStr"/>
      <c r="J14" s="171" t="inlineStr">
        <is>
          <t>Web pass 4/5 batch 1: commcare-connect opportunity spine (urls+models)</t>
        </is>
      </c>
      <c r="K14" s="171" t="inlineStr">
        <is>
          <t>Eng-covered (logic) - QA e2e only if critical journey</t>
        </is>
      </c>
      <c r="L14" s="171" t="inlineStr">
        <is>
          <t>Add to MTP only (eng-covered)</t>
        </is>
      </c>
    </row>
    <row r="15">
      <c r="A15" s="171" t="inlineStr">
        <is>
          <t>GAP-SRC-W-08</t>
        </is>
      </c>
      <c r="B15" s="171" t="inlineStr">
        <is>
          <t>Opportunity creation</t>
        </is>
      </c>
      <c r="C15" s="171" t="inlineStr">
        <is>
          <t>Opportunity finalize step: an opportunity must be 'setup complete' (payment units + budget + dates) and finalized before going live (OpportunityFinalize / is_setup_complete)</t>
        </is>
      </c>
      <c r="D15" s="171" t="inlineStr">
        <is>
          <t>🟡 Automatable - not yet done</t>
        </is>
      </c>
      <c r="E15" s="171" t="inlineStr">
        <is>
          <t>MISSING from MTP (creation covered, finalize/setup-complete gate not). Src: OpportunityFinalize view / Opportunity.is_setup_complete</t>
        </is>
      </c>
      <c r="F15" s="171" t="inlineStr">
        <is>
          <t>Medium</t>
        </is>
      </c>
      <c r="G15" s="171" t="inlineStr">
        <is>
          <t>New</t>
        </is>
      </c>
      <c r="H15" s="171" t="inlineStr"/>
      <c r="I15" s="171" t="inlineStr"/>
      <c r="J15" s="171" t="inlineStr">
        <is>
          <t>Web pass 4/5 batch 1: commcare-connect opportunity spine (urls+models)</t>
        </is>
      </c>
      <c r="K15" s="171" t="inlineStr">
        <is>
          <t>Eng-covered (logic) - QA e2e only if critical journey</t>
        </is>
      </c>
      <c r="L15" s="171" t="inlineStr">
        <is>
          <t>Add to MTP only (eng-covered)</t>
        </is>
      </c>
    </row>
    <row r="16">
      <c r="A16" s="171" t="inlineStr">
        <is>
          <t>GAP-SRC-W-09</t>
        </is>
      </c>
      <c r="B16" s="171" t="inlineStr">
        <is>
          <t>Connect workers page</t>
        </is>
      </c>
      <c r="C16" s="171" t="inlineStr">
        <is>
          <t>Invite SMS delivery status tracking: UserInvite status includes sms_delivered / sms_not_delivered (Twilio delivery callback), plus not_found / invited / accepted</t>
        </is>
      </c>
      <c r="D16" s="171" t="inlineStr">
        <is>
          <t>🟡 Automatable - not yet done</t>
        </is>
      </c>
      <c r="E16" s="171" t="inlineStr">
        <is>
          <t>PARTIAL vs Connect_worker (pending/accepted/not-found). SMS delivered-vs-not not covered. Src: UserInviteStatus</t>
        </is>
      </c>
      <c r="F16" s="171" t="inlineStr">
        <is>
          <t>Medium</t>
        </is>
      </c>
      <c r="G16" s="171" t="inlineStr">
        <is>
          <t>New</t>
        </is>
      </c>
      <c r="H16" s="171" t="inlineStr"/>
      <c r="I16" s="171" t="inlineStr"/>
      <c r="J16" s="171" t="inlineStr">
        <is>
          <t>Web pass 4/5 batch 1: commcare-connect opportunity spine (urls+models)</t>
        </is>
      </c>
      <c r="K16" s="171" t="inlineStr">
        <is>
          <t>Eng-covered (logic) - QA e2e only if critical journey</t>
        </is>
      </c>
      <c r="L16" s="171" t="inlineStr">
        <is>
          <t>Add to MTP only (eng-covered)</t>
        </is>
      </c>
    </row>
    <row r="17">
      <c r="A17" s="171" t="inlineStr">
        <is>
          <t>GAP-SRC-W-10</t>
        </is>
      </c>
      <c r="B17" s="171" t="inlineStr">
        <is>
          <t>Invoices List page</t>
        </is>
      </c>
      <c r="C17" s="171" t="inlineStr">
        <is>
          <t>Organization-level payments to Network Manager orgs (Payment.organization) - distinct from worker payments; incl. payment_method/payment_operator</t>
        </is>
      </c>
      <c r="D17" s="171" t="inlineStr">
        <is>
          <t>🟡 Automatable - not yet done</t>
        </is>
      </c>
      <c r="E17" s="171" t="inlineStr">
        <is>
          <t>MISSING from MTP (payment processing covers worker payments only). Src: Payment.organization / payment_method</t>
        </is>
      </c>
      <c r="F17" s="171" t="inlineStr">
        <is>
          <t>Medium</t>
        </is>
      </c>
      <c r="G17" s="171" t="inlineStr">
        <is>
          <t>New</t>
        </is>
      </c>
      <c r="H17" s="171" t="inlineStr"/>
      <c r="I17" s="171" t="inlineStr"/>
      <c r="J17" s="171" t="inlineStr">
        <is>
          <t>Web pass 4/5 batch 1: commcare-connect opportunity spine (urls+models)</t>
        </is>
      </c>
      <c r="K17" s="171" t="inlineStr">
        <is>
          <t>Eng-covered (logic) - QA e2e only if critical journey</t>
        </is>
      </c>
      <c r="L17" s="171" t="inlineStr">
        <is>
          <t>Add to MTP only (eng-covered)</t>
        </is>
      </c>
    </row>
    <row r="18">
      <c r="A18" s="171" t="inlineStr">
        <is>
          <t>GAP-SRC-W-11</t>
        </is>
      </c>
      <c r="B18" s="171" t="inlineStr">
        <is>
          <t>Opportunity dashboard</t>
        </is>
      </c>
      <c r="C18" s="171" t="inlineStr">
        <is>
          <t>Sync deliver units from the HQ app (sync_deliver_units) - refresh deliver-unit definitions from CommCare</t>
        </is>
      </c>
      <c r="D18" s="171" t="inlineStr">
        <is>
          <t>🟡 Automatable - not yet done</t>
        </is>
      </c>
      <c r="E18" s="171" t="inlineStr">
        <is>
          <t>MISSING from MTP. Src: sync_deliver_units view</t>
        </is>
      </c>
      <c r="F18" s="171" t="inlineStr">
        <is>
          <t>Low</t>
        </is>
      </c>
      <c r="G18" s="171" t="inlineStr">
        <is>
          <t>New</t>
        </is>
      </c>
      <c r="H18" s="171" t="inlineStr"/>
      <c r="I18" s="171" t="inlineStr"/>
      <c r="J18" s="171" t="inlineStr">
        <is>
          <t>Web pass 4/5 batch 1: commcare-connect opportunity spine (urls+models)</t>
        </is>
      </c>
      <c r="K18" s="171" t="inlineStr">
        <is>
          <t>Eng-covered (logic) - QA e2e only if critical journey</t>
        </is>
      </c>
      <c r="L18" s="171" t="inlineStr">
        <is>
          <t>Add to MTP only (eng-covered)</t>
        </is>
      </c>
    </row>
    <row r="19">
      <c r="A19" s="171" t="inlineStr">
        <is>
          <t>GAP-SRC-W-12</t>
        </is>
      </c>
      <c r="B19" s="171" t="inlineStr">
        <is>
          <t>Cross-cutting</t>
        </is>
      </c>
      <c r="C19" s="171" t="inlineStr">
        <is>
          <t>Labs/experiments framework (LabsRecord) attached to user/org/opportunity/program - may gate experimental behaviour; confirm if user-facing or internal</t>
        </is>
      </c>
      <c r="D19" s="171" t="inlineStr">
        <is>
          <t>🟡 Automatable - not yet done</t>
        </is>
      </c>
      <c r="E19" s="171" t="inlineStr">
        <is>
          <t>MISSING from MTP (possibly internal - reviewer/product to confirm scope). Src: LabsRecord model</t>
        </is>
      </c>
      <c r="F19" s="171" t="inlineStr">
        <is>
          <t>Low</t>
        </is>
      </c>
      <c r="G19" s="171" t="inlineStr">
        <is>
          <t>New</t>
        </is>
      </c>
      <c r="H19" s="171" t="inlineStr"/>
      <c r="I19" s="171" t="inlineStr"/>
      <c r="J19" s="171" t="inlineStr">
        <is>
          <t>Web pass 4/5 batch 1: commcare-connect opportunity spine (urls+models)</t>
        </is>
      </c>
      <c r="K19" s="171" t="inlineStr">
        <is>
          <t>Eng-covered (logic) - QA e2e only if critical journey</t>
        </is>
      </c>
      <c r="L19" s="171" t="inlineStr">
        <is>
          <t>Add to MTP only (eng-covered)</t>
        </is>
      </c>
    </row>
    <row r="20">
      <c r="A20" s="171" t="inlineStr">
        <is>
          <t>GAP-SRC-W-13</t>
        </is>
      </c>
      <c r="B20" s="171" t="inlineStr">
        <is>
          <t>Opportunity creation</t>
        </is>
      </c>
      <c r="C20" s="171" t="inlineStr">
        <is>
          <t>Validation: Learn app and Deliver app cannot be the same app (error on both fields)</t>
        </is>
      </c>
      <c r="D20" s="171" t="inlineStr">
        <is>
          <t>🟡 Automatable - not yet done</t>
        </is>
      </c>
      <c r="E20" s="171" t="inlineStr">
        <is>
          <t>MISSING from MTP. Src: OpportunityInitForm.clean</t>
        </is>
      </c>
      <c r="F20" s="171" t="inlineStr">
        <is>
          <t>Medium</t>
        </is>
      </c>
      <c r="G20" s="171" t="inlineStr">
        <is>
          <t>New</t>
        </is>
      </c>
      <c r="H20" s="171" t="inlineStr"/>
      <c r="I20" s="171" t="inlineStr"/>
      <c r="J20" s="171" t="inlineStr">
        <is>
          <t>Web batch 2: commcare-connect opportunity views + forms</t>
        </is>
      </c>
      <c r="K20" s="171" t="inlineStr">
        <is>
          <t>Eng-covered (logic) - QA e2e only if critical journey</t>
        </is>
      </c>
      <c r="L20" s="171" t="inlineStr">
        <is>
          <t>Add to MTP only (eng-covered)</t>
        </is>
      </c>
    </row>
    <row r="21">
      <c r="A21" s="171" t="inlineStr">
        <is>
          <t>GAP-SRC-W-14</t>
        </is>
      </c>
      <c r="B21" s="171" t="inlineStr">
        <is>
          <t>Opportunity creation</t>
        </is>
      </c>
      <c r="C21" s="171" t="inlineStr">
        <is>
          <t>Certain opportunity fields become non-editable once Connect Workers have joined ('cannot be edited after Connect Workers have joined')</t>
        </is>
      </c>
      <c r="D21" s="171" t="inlineStr">
        <is>
          <t>🟡 Automatable - not yet done</t>
        </is>
      </c>
      <c r="E21" s="171" t="inlineStr">
        <is>
          <t>MISSING from MTP. Src: OpportunityInitUpdateForm.clean (_disabled_fields)</t>
        </is>
      </c>
      <c r="F21" s="171" t="inlineStr">
        <is>
          <t>High</t>
        </is>
      </c>
      <c r="G21" s="171" t="inlineStr">
        <is>
          <t>New</t>
        </is>
      </c>
      <c r="H21" s="171" t="inlineStr"/>
      <c r="I21" s="171" t="inlineStr"/>
      <c r="J21" s="171" t="inlineStr">
        <is>
          <t>Web batch 2: commcare-connect opportunity views + forms</t>
        </is>
      </c>
      <c r="K21" s="171" t="inlineStr">
        <is>
          <t>Eng-covered (logic) - QA e2e only if critical journey</t>
        </is>
      </c>
      <c r="L21" s="171" t="inlineStr">
        <is>
          <t>Add to MTP only (eng-covered)</t>
        </is>
      </c>
    </row>
    <row r="22">
      <c r="A22" s="171" t="inlineStr">
        <is>
          <t>GAP-SRC-W-15</t>
        </is>
      </c>
      <c r="B22" s="171" t="inlineStr">
        <is>
          <t>Opportunity creation</t>
        </is>
      </c>
      <c r="C22" s="171" t="inlineStr">
        <is>
          <t>Managed-opp finalize validations: end-date not in past, start-date today-or-later, start&lt;end, both within the program's date window, and total budget (summed across the program's opps) must not exceed program budget</t>
        </is>
      </c>
      <c r="D22" s="171" t="inlineStr">
        <is>
          <t>🟡 Automatable - not yet done</t>
        </is>
      </c>
      <c r="E22" s="171" t="inlineStr">
        <is>
          <t>PARTIAL vs Opp_create_21 (budget page). Program-budget cap + program-date bounds + date rules not cases. Src: OpportunityFinalizeForm.clean</t>
        </is>
      </c>
      <c r="F22" s="171" t="inlineStr">
        <is>
          <t>High</t>
        </is>
      </c>
      <c r="G22" s="171" t="inlineStr">
        <is>
          <t>New</t>
        </is>
      </c>
      <c r="H22" s="171" t="inlineStr"/>
      <c r="I22" s="171" t="inlineStr"/>
      <c r="J22" s="171" t="inlineStr">
        <is>
          <t>Web batch 2: commcare-connect opportunity views + forms</t>
        </is>
      </c>
      <c r="K22" s="171" t="inlineStr">
        <is>
          <t>Eng-covered (logic) - QA e2e only if critical journey</t>
        </is>
      </c>
      <c r="L22" s="171" t="inlineStr">
        <is>
          <t>Add to MTP only (eng-covered)</t>
        </is>
      </c>
    </row>
    <row r="23">
      <c r="A23" s="171" t="inlineStr">
        <is>
          <t>GAP-SRC-W-16</t>
        </is>
      </c>
      <c r="B23" s="171" t="inlineStr">
        <is>
          <t>Opportunity dashboard</t>
        </is>
      </c>
      <c r="C23" s="171" t="inlineStr">
        <is>
          <t>Add-budget (new workers) rules: PM-only for managed opps; 'users' and 'total budget' can't both be set conflictingly; total budget can't be below already-claimed budget; can't exceed program budget</t>
        </is>
      </c>
      <c r="D23" s="171" t="inlineStr">
        <is>
          <t>🟡 Automatable - not yet done</t>
        </is>
      </c>
      <c r="E23" s="171" t="inlineStr">
        <is>
          <t>PARTIAL vs OD_17. PM-gate + program-cap + not-below-claimed not covered. Src: AddBudgetNewUsersForm.clean</t>
        </is>
      </c>
      <c r="F23" s="171" t="inlineStr">
        <is>
          <t>High</t>
        </is>
      </c>
      <c r="G23" s="171" t="inlineStr">
        <is>
          <t>New</t>
        </is>
      </c>
      <c r="H23" s="171" t="inlineStr"/>
      <c r="I23" s="171" t="inlineStr"/>
      <c r="J23" s="171" t="inlineStr">
        <is>
          <t>Web batch 2: commcare-connect opportunity views + forms</t>
        </is>
      </c>
      <c r="K23" s="171" t="inlineStr">
        <is>
          <t>Eng-covered (logic) - QA e2e only if critical journey</t>
        </is>
      </c>
      <c r="L23" s="171" t="inlineStr">
        <is>
          <t>Add to MTP only (eng-covered)</t>
        </is>
      </c>
    </row>
    <row r="24">
      <c r="A24" s="171" t="inlineStr">
        <is>
          <t>GAP-SRC-W-17</t>
        </is>
      </c>
      <c r="B24" s="171" t="inlineStr">
        <is>
          <t>Opportunity dashboard</t>
        </is>
      </c>
      <c r="C24" s="171" t="inlineStr">
        <is>
          <t>Add-budget (existing workers) rules: increase can't exceed opportunity remaining budget; must specify visits OR end date; adjustment type required with visits; end date not in past</t>
        </is>
      </c>
      <c r="D24" s="171" t="inlineStr">
        <is>
          <t>🟡 Automatable - not yet done</t>
        </is>
      </c>
      <c r="E24" s="171" t="inlineStr">
        <is>
          <t>PARTIAL vs OD_10-14 (OD_14 decrease-below-completed covered). Budget-exceed + required-field rules not covered. Src: AddBudgetExistingUsersForm.clean</t>
        </is>
      </c>
      <c r="F24" s="171" t="inlineStr">
        <is>
          <t>Medium</t>
        </is>
      </c>
      <c r="G24" s="171" t="inlineStr">
        <is>
          <t>New</t>
        </is>
      </c>
      <c r="H24" s="171" t="inlineStr"/>
      <c r="I24" s="171" t="inlineStr"/>
      <c r="J24" s="171" t="inlineStr">
        <is>
          <t>Web batch 2: commcare-connect opportunity views + forms</t>
        </is>
      </c>
      <c r="K24" s="171" t="inlineStr">
        <is>
          <t>Eng-covered (logic) - QA e2e only if critical journey</t>
        </is>
      </c>
      <c r="L24" s="171" t="inlineStr">
        <is>
          <t>Add to MTP only (eng-covered)</t>
        </is>
      </c>
    </row>
    <row r="25">
      <c r="A25" s="171" t="inlineStr">
        <is>
          <t>GAP-SRC-W-18</t>
        </is>
      </c>
      <c r="B25" s="171" t="inlineStr">
        <is>
          <t>Invoices List page</t>
        </is>
      </c>
      <c r="C25" s="171" t="inlineStr">
        <is>
          <t>Invoice number must be unique (reused number rejected) and is auto-generated when left blank</t>
        </is>
      </c>
      <c r="D25" s="171" t="inlineStr">
        <is>
          <t>🟡 Automatable - not yet done</t>
        </is>
      </c>
      <c r="E25" s="171" t="inlineStr">
        <is>
          <t>MISSING from MTP. Src: AutomatedPaymentInvoiceForm.clean_invoice_number</t>
        </is>
      </c>
      <c r="F25" s="171" t="inlineStr">
        <is>
          <t>Medium</t>
        </is>
      </c>
      <c r="G25" s="171" t="inlineStr">
        <is>
          <t>New</t>
        </is>
      </c>
      <c r="H25" s="171" t="inlineStr"/>
      <c r="I25" s="171" t="inlineStr"/>
      <c r="J25" s="171" t="inlineStr">
        <is>
          <t>Web batch 2: commcare-connect opportunity views + forms</t>
        </is>
      </c>
      <c r="K25" s="171" t="inlineStr">
        <is>
          <t>Eng-covered (logic) - QA e2e only if critical journey</t>
        </is>
      </c>
      <c r="L25" s="171" t="inlineStr">
        <is>
          <t>Add to MTP only (eng-covered)</t>
        </is>
      </c>
    </row>
    <row r="26">
      <c r="A26" s="171" t="inlineStr">
        <is>
          <t>GAP-SRC-W-19</t>
        </is>
      </c>
      <c r="B26" s="171" t="inlineStr">
        <is>
          <t>Invoices List page</t>
        </is>
      </c>
      <c r="C26" s="171" t="inlineStr">
        <is>
          <t>Custom invoice requires an available exchange rate for the chosen date (error if none) and converts via USD toggle (amount &lt;-&gt; amount_usd)</t>
        </is>
      </c>
      <c r="D26" s="171" t="inlineStr">
        <is>
          <t>🟡 Automatable - not yet done</t>
        </is>
      </c>
      <c r="E26" s="171" t="inlineStr">
        <is>
          <t>PARTIAL vs Invoice_04/06. 'Exchange rate not available' error + toggle conversion not covered. Src: AutomatedPaymentInvoiceForm.clean</t>
        </is>
      </c>
      <c r="F26" s="171" t="inlineStr">
        <is>
          <t>Medium</t>
        </is>
      </c>
      <c r="G26" s="171" t="inlineStr">
        <is>
          <t>New</t>
        </is>
      </c>
      <c r="H26" s="171" t="inlineStr"/>
      <c r="I26" s="171" t="inlineStr"/>
      <c r="J26" s="171" t="inlineStr">
        <is>
          <t>Web batch 2: commcare-connect opportunity views + forms</t>
        </is>
      </c>
      <c r="K26" s="171" t="inlineStr">
        <is>
          <t>Eng-covered (logic) - QA e2e only if critical journey</t>
        </is>
      </c>
      <c r="L26" s="171" t="inlineStr">
        <is>
          <t>Add to MTP only (eng-covered)</t>
        </is>
      </c>
    </row>
    <row r="27">
      <c r="A27" s="171" t="inlineStr">
        <is>
          <t>GAP-SRC-W-20</t>
        </is>
      </c>
      <c r="B27" s="171" t="inlineStr">
        <is>
          <t>Opportunity creation</t>
        </is>
      </c>
      <c r="C27" s="171" t="inlineStr">
        <is>
          <t>Payment unit start/end date validation: end date cannot be earlier than start date</t>
        </is>
      </c>
      <c r="D27" s="171" t="inlineStr">
        <is>
          <t>🟡 Automatable - not yet done</t>
        </is>
      </c>
      <c r="E27" s="171" t="inlineStr">
        <is>
          <t>MISSING from MTP. Src: PaymentUnitForm.clean</t>
        </is>
      </c>
      <c r="F27" s="171" t="inlineStr">
        <is>
          <t>Low</t>
        </is>
      </c>
      <c r="G27" s="171" t="inlineStr">
        <is>
          <t>New</t>
        </is>
      </c>
      <c r="H27" s="171" t="inlineStr"/>
      <c r="I27" s="171" t="inlineStr"/>
      <c r="J27" s="171" t="inlineStr">
        <is>
          <t>Web batch 2: commcare-connect opportunity views + forms</t>
        </is>
      </c>
      <c r="K27" s="171" t="inlineStr">
        <is>
          <t>Eng-covered (logic) - QA e2e only if critical journey</t>
        </is>
      </c>
      <c r="L27" s="171" t="inlineStr">
        <is>
          <t>Add to MTP only (eng-covered)</t>
        </is>
      </c>
    </row>
    <row r="28">
      <c r="A28" s="171" t="inlineStr">
        <is>
          <t>GAP-SRC-W-21</t>
        </is>
      </c>
      <c r="B28" s="171" t="inlineStr">
        <is>
          <t>Re-Learn Task</t>
        </is>
      </c>
      <c r="C28" s="171" t="inlineStr">
        <is>
          <t>Adding a task type with a duplicate task-unit ID (already exists for the deliver app) is rejected</t>
        </is>
      </c>
      <c r="D28" s="171" t="inlineStr">
        <is>
          <t>🟡 Automatable - not yet done</t>
        </is>
      </c>
      <c r="E28" s="171" t="inlineStr">
        <is>
          <t>MISSING from MTP. Src: AddTaskTypeForm.clean</t>
        </is>
      </c>
      <c r="F28" s="171" t="inlineStr">
        <is>
          <t>Low</t>
        </is>
      </c>
      <c r="G28" s="171" t="inlineStr">
        <is>
          <t>New</t>
        </is>
      </c>
      <c r="H28" s="171" t="inlineStr"/>
      <c r="I28" s="171" t="inlineStr"/>
      <c r="J28" s="171" t="inlineStr">
        <is>
          <t>Web batch 2: commcare-connect opportunity views + forms</t>
        </is>
      </c>
      <c r="K28" s="171" t="inlineStr">
        <is>
          <t>Eng-covered (logic) - QA e2e only if critical journey</t>
        </is>
      </c>
      <c r="L28" s="171" t="inlineStr">
        <is>
          <t>Add to MTP only (eng-covered)</t>
        </is>
      </c>
    </row>
    <row r="29">
      <c r="A29" s="171" t="inlineStr">
        <is>
          <t>GAP-SRC-W-22</t>
        </is>
      </c>
      <c r="B29" s="171" t="inlineStr">
        <is>
          <t>Opportunity creation</t>
        </is>
      </c>
      <c r="C29" s="171" t="inlineStr">
        <is>
          <t>Multi-stage opportunity lifecycle: Init -&gt; InitUpdate -&gt; Finalize, each PM-gated for managed opportunities (role checks + stage transitions)</t>
        </is>
      </c>
      <c r="D29" s="171" t="inlineStr">
        <is>
          <t>🟡 Automatable - not yet done</t>
        </is>
      </c>
      <c r="E29" s="171" t="inlineStr">
        <is>
          <t>PARTIAL vs MTP (creation treated as one flow). Stage/role gating not covered. Src: OpportunityInit/InitUpdate/OpportunityFinalize views</t>
        </is>
      </c>
      <c r="F29" s="171" t="inlineStr">
        <is>
          <t>Medium</t>
        </is>
      </c>
      <c r="G29" s="171" t="inlineStr">
        <is>
          <t>New</t>
        </is>
      </c>
      <c r="H29" s="171" t="inlineStr"/>
      <c r="I29" s="171" t="inlineStr"/>
      <c r="J29" s="171" t="inlineStr">
        <is>
          <t>Web batch 2: commcare-connect opportunity views + forms</t>
        </is>
      </c>
      <c r="K29" s="171" t="inlineStr">
        <is>
          <t>Eng-covered (logic) - QA e2e only if critical journey</t>
        </is>
      </c>
      <c r="L29" s="171" t="inlineStr">
        <is>
          <t>Add to MTP only (eng-covered)</t>
        </is>
      </c>
    </row>
    <row r="30">
      <c r="A30" s="171" t="inlineStr">
        <is>
          <t>GAP-SRC-W-23</t>
        </is>
      </c>
      <c r="B30" s="171" t="inlineStr">
        <is>
          <t>Connect workers page</t>
        </is>
      </c>
      <c r="C30" s="171" t="inlineStr">
        <is>
          <t>Deliver-tab has Has-Duplicates and Deliveries-with-Pending-Review filters, AND both are hidden when the opportunity has automatic_visit_verification enabled (conditional filter set)</t>
        </is>
      </c>
      <c r="D30" s="171" t="inlineStr">
        <is>
          <t>🟡 Automatable - not yet done</t>
        </is>
      </c>
      <c r="E30" s="171" t="inlineStr">
        <is>
          <t>PARTIAL vs Delivery_tab_10-16 (last-active/flags/overlimit). Duplicates + review-pending + conditional hiding missing. Src: DeliverFilterSet</t>
        </is>
      </c>
      <c r="F30" s="171" t="inlineStr">
        <is>
          <t>Medium</t>
        </is>
      </c>
      <c r="G30" s="171" t="inlineStr">
        <is>
          <t>New</t>
        </is>
      </c>
      <c r="H30" s="171" t="inlineStr"/>
      <c r="I30" s="171" t="inlineStr"/>
      <c r="J30" s="171" t="inlineStr">
        <is>
          <t>Web batch 3: opportunity filters + visit_import + helpers</t>
        </is>
      </c>
      <c r="K30" s="171" t="inlineStr">
        <is>
          <t>Eng-covered (logic) - QA e2e only if critical journey</t>
        </is>
      </c>
      <c r="L30" s="171" t="inlineStr">
        <is>
          <t>Add to MTP only (eng-covered)</t>
        </is>
      </c>
    </row>
    <row r="31">
      <c r="A31" s="171" t="inlineStr">
        <is>
          <t>GAP-SRC-W-24</t>
        </is>
      </c>
      <c r="B31" s="171" t="inlineStr">
        <is>
          <t>Visit verification page</t>
        </is>
      </c>
      <c r="C31" s="171" t="inlineStr">
        <is>
          <t>Bulk visit-status import (PM review CSV): per-row status must be a valid VisitValidationStatus, rejection requires a reason, justification required for certain agree/disagree changes, and invalid rows are reported individually</t>
        </is>
      </c>
      <c r="D31" s="171" t="inlineStr">
        <is>
          <t>🟡 Automatable - not yet done</t>
        </is>
      </c>
      <c r="E31" s="171" t="inlineStr">
        <is>
          <t>PARTIAL vs WVV_25-27. Per-row validation + justification-required not covered. Src: bulk_update_visit_status / get_data_by_visit_id</t>
        </is>
      </c>
      <c r="F31" s="171" t="inlineStr">
        <is>
          <t>Medium</t>
        </is>
      </c>
      <c r="G31" s="171" t="inlineStr">
        <is>
          <t>New</t>
        </is>
      </c>
      <c r="H31" s="171" t="inlineStr"/>
      <c r="I31" s="171" t="inlineStr"/>
      <c r="J31" s="171" t="inlineStr">
        <is>
          <t>Web batch 3: opportunity filters + visit_import + helpers</t>
        </is>
      </c>
      <c r="K31" s="171" t="inlineStr">
        <is>
          <t>Eng-covered (logic) - QA e2e only if critical journey</t>
        </is>
      </c>
      <c r="L31" s="171" t="inlineStr">
        <is>
          <t>Add to MTP only (eng-covered)</t>
        </is>
      </c>
    </row>
    <row r="32">
      <c r="A32" s="171" t="inlineStr">
        <is>
          <t>GAP-SRC-W-25</t>
        </is>
      </c>
      <c r="B32" s="171" t="inlineStr">
        <is>
          <t>Invoices List page</t>
        </is>
      </c>
      <c r="C32" s="171" t="inlineStr">
        <is>
          <t>Bulk payment import (CSV): currency must match the opportunity currency, an exchange rate is required/looked up, and invalid rows are reported per-row</t>
        </is>
      </c>
      <c r="D32" s="171" t="inlineStr">
        <is>
          <t>🟡 Automatable - not yet done</t>
        </is>
      </c>
      <c r="E32" s="171" t="inlineStr">
        <is>
          <t>MISSING from MTP (payment_import). Src: bulk_update_payments</t>
        </is>
      </c>
      <c r="F32" s="171" t="inlineStr">
        <is>
          <t>Medium</t>
        </is>
      </c>
      <c r="G32" s="171" t="inlineStr">
        <is>
          <t>New</t>
        </is>
      </c>
      <c r="H32" s="171" t="inlineStr"/>
      <c r="I32" s="171" t="inlineStr"/>
      <c r="J32" s="171" t="inlineStr">
        <is>
          <t>Web batch 3: opportunity filters + visit_import + helpers</t>
        </is>
      </c>
      <c r="K32" s="171" t="inlineStr">
        <is>
          <t>Eng-covered (logic) - QA e2e only if critical journey</t>
        </is>
      </c>
      <c r="L32" s="171" t="inlineStr">
        <is>
          <t>Add to MTP only (eng-covered)</t>
        </is>
      </c>
    </row>
    <row r="33">
      <c r="A33" s="171" t="inlineStr">
        <is>
          <t>GAP-SRC-W-26</t>
        </is>
      </c>
      <c r="B33" s="171" t="inlineStr">
        <is>
          <t>Connect workers page</t>
        </is>
      </c>
      <c r="C33" s="171" t="inlineStr">
        <is>
          <t>Bulk completed-work status import (CSV): status validation, rejection reason handling, per-row error reporting, triggers payment-accrued recalculation</t>
        </is>
      </c>
      <c r="D33" s="171" t="inlineStr">
        <is>
          <t>🟡 Automatable - not yet done</t>
        </is>
      </c>
      <c r="E33" s="171" t="inlineStr">
        <is>
          <t>MISSING from MTP. Src: bulk_update_completed_work_status</t>
        </is>
      </c>
      <c r="F33" s="171" t="inlineStr">
        <is>
          <t>Medium</t>
        </is>
      </c>
      <c r="G33" s="171" t="inlineStr">
        <is>
          <t>New</t>
        </is>
      </c>
      <c r="H33" s="171" t="inlineStr"/>
      <c r="I33" s="171" t="inlineStr"/>
      <c r="J33" s="171" t="inlineStr">
        <is>
          <t>Web batch 3: opportunity filters + visit_import + helpers</t>
        </is>
      </c>
      <c r="K33" s="171" t="inlineStr">
        <is>
          <t>Eng-covered (logic) - QA e2e only if critical journey</t>
        </is>
      </c>
      <c r="L33" s="171" t="inlineStr">
        <is>
          <t>Add to MTP only (eng-covered)</t>
        </is>
      </c>
    </row>
    <row r="34">
      <c r="A34" s="171" t="inlineStr">
        <is>
          <t>GAP-SRC-W-27</t>
        </is>
      </c>
      <c r="B34" s="171" t="inlineStr">
        <is>
          <t>Programs List page</t>
        </is>
      </c>
      <c r="C34" s="171" t="inlineStr">
        <is>
          <t>Program application lifecycle includes REJECTED (PM rejects an application) and DECLINED (NM declines an invite) states, in addition to invited/applied/accepted</t>
        </is>
      </c>
      <c r="D34" s="171" t="inlineStr">
        <is>
          <t>🟡 Automatable - not yet done</t>
        </is>
      </c>
      <c r="E34" s="171" t="inlineStr">
        <is>
          <t>PARTIAL vs PLP_02/06/07/16 (invite/apply/accept). Reject + decline paths not covered. Src: program manage_application / apply_or_decline_application</t>
        </is>
      </c>
      <c r="F34" s="171" t="inlineStr">
        <is>
          <t>Medium</t>
        </is>
      </c>
      <c r="G34" s="171" t="inlineStr">
        <is>
          <t>New</t>
        </is>
      </c>
      <c r="H34" s="171" t="inlineStr"/>
      <c r="I34" s="171" t="inlineStr"/>
      <c r="J34" s="171" t="inlineStr">
        <is>
          <t>Web batch 4: program + organization</t>
        </is>
      </c>
      <c r="K34" s="171" t="inlineStr">
        <is>
          <t>Eng-covered (logic) - QA e2e only if critical journey</t>
        </is>
      </c>
      <c r="L34" s="171" t="inlineStr">
        <is>
          <t>Add to MTP only (eng-covered)</t>
        </is>
      </c>
    </row>
    <row r="35">
      <c r="A35" s="171" t="inlineStr">
        <is>
          <t>GAP-SRC-W-28</t>
        </is>
      </c>
      <c r="B35" s="171" t="inlineStr">
        <is>
          <t>Programs List page</t>
        </is>
      </c>
      <c r="C35" s="171" t="inlineStr">
        <is>
          <t>Organization membership roles (Admin vs Member) and the program-manager-org flag gate access across the web app (e.g. only PM-admins can create programs/invite)</t>
        </is>
      </c>
      <c r="D35" s="171" t="inlineStr">
        <is>
          <t>🟡 Automatable - not yet done</t>
        </is>
      </c>
      <c r="E35" s="171" t="inlineStr">
        <is>
          <t>MISSING from MTP (no org-role/permission cases). Src: UserOrganizationMembership.Role / is_program_manager</t>
        </is>
      </c>
      <c r="F35" s="171" t="inlineStr">
        <is>
          <t>High</t>
        </is>
      </c>
      <c r="G35" s="171" t="inlineStr">
        <is>
          <t>New</t>
        </is>
      </c>
      <c r="H35" s="171" t="inlineStr"/>
      <c r="I35" s="171" t="inlineStr"/>
      <c r="J35" s="171" t="inlineStr">
        <is>
          <t>Web batch 4: program + organization</t>
        </is>
      </c>
      <c r="K35" s="171" t="inlineStr">
        <is>
          <t>Eng-covered (logic) - QA e2e only if critical journey</t>
        </is>
      </c>
      <c r="L35" s="171" t="inlineStr">
        <is>
          <t>Add to MTP only (eng-covered)</t>
        </is>
      </c>
    </row>
    <row r="36">
      <c r="A36" s="171" t="inlineStr">
        <is>
          <t>GAP-SRC-W-29</t>
        </is>
      </c>
      <c r="B36" s="171" t="inlineStr">
        <is>
          <t>Programs List page</t>
        </is>
      </c>
      <c r="C36" s="171" t="inlineStr">
        <is>
          <t>Program invite emails: an email is sent when an org is invited to a program, and a notification email to the PM when an org applies</t>
        </is>
      </c>
      <c r="D36" s="171" t="inlineStr">
        <is>
          <t>🟡 Automatable - not yet done</t>
        </is>
      </c>
      <c r="E36" s="171" t="inlineStr">
        <is>
          <t>MISSING from MTP. Src: send_program_invite_email / send_program_invite_applied_email</t>
        </is>
      </c>
      <c r="F36" s="171" t="inlineStr">
        <is>
          <t>Low</t>
        </is>
      </c>
      <c r="G36" s="171" t="inlineStr">
        <is>
          <t>New</t>
        </is>
      </c>
      <c r="H36" s="171" t="inlineStr"/>
      <c r="I36" s="171" t="inlineStr"/>
      <c r="J36" s="171" t="inlineStr">
        <is>
          <t>Web batch 4: program + organization</t>
        </is>
      </c>
      <c r="K36" s="171" t="inlineStr">
        <is>
          <t>Eng-covered (logic) - QA e2e only if critical journey</t>
        </is>
      </c>
      <c r="L36" s="171" t="inlineStr">
        <is>
          <t>Add to MTP only (eng-covered)</t>
        </is>
      </c>
    </row>
    <row r="37">
      <c r="A37" s="171" t="inlineStr">
        <is>
          <t>GAP-SRC-W-30</t>
        </is>
      </c>
      <c r="B37" s="171" t="inlineStr">
        <is>
          <t>Programs List page</t>
        </is>
      </c>
      <c r="C37" s="171" t="inlineStr">
        <is>
          <t>Role-specific home dashboards: Program Manager vs Network Manager orgs see different landing content/metrics (program_manager_home vs network_manager_home)</t>
        </is>
      </c>
      <c r="D37" s="171" t="inlineStr">
        <is>
          <t>🟡 Automatable - not yet done</t>
        </is>
      </c>
      <c r="E37" s="171" t="inlineStr">
        <is>
          <t>PARTIAL vs PLP_03. Per-role dashboard differences not covered. Src: program_home / program_manager_home / network_manager_home</t>
        </is>
      </c>
      <c r="F37" s="171" t="inlineStr">
        <is>
          <t>Medium</t>
        </is>
      </c>
      <c r="G37" s="171" t="inlineStr">
        <is>
          <t>New</t>
        </is>
      </c>
      <c r="H37" s="171" t="inlineStr"/>
      <c r="I37" s="171" t="inlineStr"/>
      <c r="J37" s="171" t="inlineStr">
        <is>
          <t>Web batch 4: program + organization</t>
        </is>
      </c>
      <c r="K37" s="171" t="inlineStr">
        <is>
          <t>Eng-covered (logic) - QA e2e only if critical journey</t>
        </is>
      </c>
      <c r="L37" s="171" t="inlineStr">
        <is>
          <t>Add to MTP only (eng-covered)</t>
        </is>
      </c>
    </row>
    <row r="38">
      <c r="A38" s="171" t="inlineStr">
        <is>
          <t>GAP-MISC-07</t>
        </is>
      </c>
      <c r="B38" s="171" t="inlineStr">
        <is>
          <t>Cross-cutting</t>
        </is>
      </c>
      <c r="C38" s="171" t="inlineStr">
        <is>
          <t>Possible dead/broken code: UserOrganizationMembership.is_viewer() checks self.Role.VIEWER, but Role only defines ADMIN and MEMBER - calling is_viewer() would raise AttributeError. Confirm whether a VIEWER role is intended or the method is dead.</t>
        </is>
      </c>
      <c r="D38" s="171" t="inlineStr">
        <is>
          <t>🟡 Automatable - not yet done</t>
        </is>
      </c>
      <c r="E38" s="171" t="inlineStr">
        <is>
          <t>Code hygiene finding in web pass. Src: organization/models.py UserOrganizationMembership</t>
        </is>
      </c>
      <c r="F38" s="171" t="inlineStr">
        <is>
          <t>Low</t>
        </is>
      </c>
      <c r="G38" s="171" t="inlineStr">
        <is>
          <t>New</t>
        </is>
      </c>
      <c r="H38" s="171" t="inlineStr"/>
      <c r="I38" s="171" t="inlineStr"/>
      <c r="J38" s="171" t="inlineStr">
        <is>
          <t>Web batch 4: program + organization</t>
        </is>
      </c>
      <c r="K38" s="171" t="inlineStr">
        <is>
          <t>N/A (hygiene/discrepancy/automation note)</t>
        </is>
      </c>
      <c r="L38" s="171" t="inlineStr">
        <is>
          <t>Reconcile (plan/code)</t>
        </is>
      </c>
    </row>
    <row r="39">
      <c r="A39" s="171" t="inlineStr">
        <is>
          <t>GAP-SRC-W-31</t>
        </is>
      </c>
      <c r="B39" s="171" t="inlineStr">
        <is>
          <t>Microplanning</t>
        </is>
      </c>
      <c r="C39" s="171" t="inlineStr">
        <is>
          <t>Work-area file import: upload work areas (WorkAreaImport) with async import-status polling - the ingestion step that precedes clustering/assignment</t>
        </is>
      </c>
      <c r="D39" s="171" t="inlineStr">
        <is>
          <t>🟡 Automatable - not yet done</t>
        </is>
      </c>
      <c r="E39" s="171" t="inlineStr">
        <is>
          <t>MISSING from MTP (MP cases assume areas already uploaded). Src: microplanning WorkAreaImport / import_status</t>
        </is>
      </c>
      <c r="F39" s="171" t="inlineStr">
        <is>
          <t>Medium</t>
        </is>
      </c>
      <c r="G39" s="171" t="inlineStr">
        <is>
          <t>New</t>
        </is>
      </c>
      <c r="H39" s="171" t="inlineStr"/>
      <c r="I39" s="171" t="inlineStr"/>
      <c r="J39" s="171" t="inlineStr">
        <is>
          <t>Web batch 5: microplanning</t>
        </is>
      </c>
      <c r="K39" s="171" t="inlineStr">
        <is>
          <t>Eng-covered (logic) - QA e2e only if critical journey</t>
        </is>
      </c>
      <c r="L39" s="171" t="inlineStr">
        <is>
          <t>Add to MTP only (eng-covered)</t>
        </is>
      </c>
    </row>
    <row r="40">
      <c r="A40" s="171" t="inlineStr">
        <is>
          <t>GAP-SRC-W-32</t>
        </is>
      </c>
      <c r="B40" s="171" t="inlineStr">
        <is>
          <t>Microplanning</t>
        </is>
      </c>
      <c r="C40" s="171" t="inlineStr">
        <is>
          <t>Automatic work-area status transitions driven by visits: NOT_VISITED -&gt; VISITED on first approved visit, -&gt; EXPECTED_VISIT_REACHED when approved visit count hits the expected count</t>
        </is>
      </c>
      <c r="D40" s="171" t="inlineStr">
        <is>
          <t>🟡 Automatable - not yet done</t>
        </is>
      </c>
      <c r="E40" s="171" t="inlineStr">
        <is>
          <t>PARTIAL vs MP_07/08 (statuses listed, transitions not). Src: WorkArea.update_status</t>
        </is>
      </c>
      <c r="F40" s="171" t="inlineStr">
        <is>
          <t>Medium</t>
        </is>
      </c>
      <c r="G40" s="171" t="inlineStr">
        <is>
          <t>New</t>
        </is>
      </c>
      <c r="H40" s="171" t="inlineStr"/>
      <c r="I40" s="171" t="inlineStr"/>
      <c r="J40" s="171" t="inlineStr">
        <is>
          <t>Web batch 5: microplanning</t>
        </is>
      </c>
      <c r="K40" s="171" t="inlineStr">
        <is>
          <t>Eng-covered (logic) - QA e2e only if critical journey</t>
        </is>
      </c>
      <c r="L40" s="171" t="inlineStr">
        <is>
          <t>Add to MTP only (eng-covered)</t>
        </is>
      </c>
    </row>
    <row r="41">
      <c r="A41" s="171" t="inlineStr">
        <is>
          <t>GAP-SRC-W-33</t>
        </is>
      </c>
      <c r="B41" s="171" t="inlineStr">
        <is>
          <t>Microplanning</t>
        </is>
      </c>
      <c r="C41" s="171" t="inlineStr">
        <is>
          <t>Clustering and import run as async jobs with status polling (cluster_work_areas + clustering_status; import + import_status) - UI must poll for completion</t>
        </is>
      </c>
      <c r="D41" s="171" t="inlineStr">
        <is>
          <t>🟡 Automatable - not yet done</t>
        </is>
      </c>
      <c r="E41" s="171" t="inlineStr">
        <is>
          <t>PARTIAL vs MP_02. Async/polling behaviour not covered. Src: cluster_work_areas / clustering_status</t>
        </is>
      </c>
      <c r="F41" s="171" t="inlineStr">
        <is>
          <t>Low</t>
        </is>
      </c>
      <c r="G41" s="171" t="inlineStr">
        <is>
          <t>New</t>
        </is>
      </c>
      <c r="H41" s="171" t="inlineStr"/>
      <c r="I41" s="171" t="inlineStr"/>
      <c r="J41" s="171" t="inlineStr">
        <is>
          <t>Web batch 5: microplanning</t>
        </is>
      </c>
      <c r="K41" s="171" t="inlineStr">
        <is>
          <t>Eng-covered (logic) - QA e2e only if critical journey</t>
        </is>
      </c>
      <c r="L41" s="171" t="inlineStr">
        <is>
          <t>Add to MTP only (eng-covered)</t>
        </is>
      </c>
    </row>
    <row r="42">
      <c r="A42" s="171" t="inlineStr">
        <is>
          <t>GAP-SRC-W-34</t>
        </is>
      </c>
      <c r="B42" s="171" t="inlineStr">
        <is>
          <t>Connect workers page</t>
        </is>
      </c>
      <c r="C42" s="171" t="inlineStr">
        <is>
          <t>SMS status callback (Twilio) endpoint updates invite delivery status to sms_delivered / sms_not_delivered on the UserInvite</t>
        </is>
      </c>
      <c r="D42" s="171" t="inlineStr">
        <is>
          <t>🟡 Automatable - not yet done</t>
        </is>
      </c>
      <c r="E42" s="171" t="inlineStr">
        <is>
          <t>Backs SRC-W-09; callback endpoint itself untested. Src: users SMSStatusCallbackView</t>
        </is>
      </c>
      <c r="F42" s="171" t="inlineStr">
        <is>
          <t>Low</t>
        </is>
      </c>
      <c r="G42" s="171" t="inlineStr">
        <is>
          <t>New</t>
        </is>
      </c>
      <c r="H42" s="171" t="inlineStr"/>
      <c r="I42" s="171" t="inlineStr"/>
      <c r="J42" s="171" t="inlineStr">
        <is>
          <t>Web batch 6: users + commcarehq + audit + reports + flags</t>
        </is>
      </c>
      <c r="K42" s="171" t="inlineStr">
        <is>
          <t>Eng-covered (logic) - QA e2e only if critical journey</t>
        </is>
      </c>
      <c r="L42" s="171" t="inlineStr">
        <is>
          <t>Add to MTP only (eng-covered)</t>
        </is>
      </c>
    </row>
    <row r="43">
      <c r="A43" s="171" t="inlineStr">
        <is>
          <t>GAP-SRC-W-35</t>
        </is>
      </c>
      <c r="B43" s="171" t="inlineStr">
        <is>
          <t>Opportunity List page</t>
        </is>
      </c>
      <c r="C43" s="171" t="inlineStr">
        <is>
          <t>Web accept-invite / invite-redirect link flow (opening an opportunity invite URL lands on accept view / redirects into the opportunity)</t>
        </is>
      </c>
      <c r="D43" s="171" t="inlineStr">
        <is>
          <t>🟡 Automatable - not yet done</t>
        </is>
      </c>
      <c r="E43" s="171" t="inlineStr">
        <is>
          <t>MISSING from MTP (invite acceptance treated as mobile-only). Src: AcceptInviteView / InviteRedirectView</t>
        </is>
      </c>
      <c r="F43" s="171" t="inlineStr">
        <is>
          <t>Medium</t>
        </is>
      </c>
      <c r="G43" s="171" t="inlineStr">
        <is>
          <t>New</t>
        </is>
      </c>
      <c r="H43" s="171" t="inlineStr"/>
      <c r="I43" s="171" t="inlineStr"/>
      <c r="J43" s="171" t="inlineStr">
        <is>
          <t>Web batch 6: users + commcarehq + audit + reports + flags</t>
        </is>
      </c>
      <c r="K43" s="171" t="inlineStr">
        <is>
          <t>Partial (some eng coverage; confirm with eng)</t>
        </is>
      </c>
      <c r="L43" s="171" t="inlineStr">
        <is>
          <t>Add to MTP + Automate (confirm w/ eng)</t>
        </is>
      </c>
    </row>
    <row r="44">
      <c r="A44" s="171" t="inlineStr">
        <is>
          <t>GAP-SRC-W-36</t>
        </is>
      </c>
      <c r="B44" s="171" t="inlineStr">
        <is>
          <t>Cross-cutting</t>
        </is>
      </c>
      <c r="C44" s="171" t="inlineStr">
        <is>
          <t>Web feature-flag administration: enable/disable feature flags and waffle switches from the web (feature_flags / toggle_switch / update_flag)</t>
        </is>
      </c>
      <c r="D44" s="171" t="inlineStr">
        <is>
          <t>🟡 Automatable - not yet done</t>
        </is>
      </c>
      <c r="E44" s="171" t="inlineStr">
        <is>
          <t>MISSING from MTP. Src: flags/views.py</t>
        </is>
      </c>
      <c r="F44" s="171" t="inlineStr">
        <is>
          <t>Medium</t>
        </is>
      </c>
      <c r="G44" s="171" t="inlineStr">
        <is>
          <t>New</t>
        </is>
      </c>
      <c r="H44" s="171" t="inlineStr"/>
      <c r="I44" s="171" t="inlineStr"/>
      <c r="J44" s="171" t="inlineStr">
        <is>
          <t>Web batch 6: users + commcarehq + audit + reports + flags</t>
        </is>
      </c>
      <c r="K44" s="171" t="inlineStr">
        <is>
          <t>Partial (some eng coverage; confirm with eng)</t>
        </is>
      </c>
      <c r="L44" s="171" t="inlineStr">
        <is>
          <t>Add to MTP + Automate (confirm w/ eng)</t>
        </is>
      </c>
    </row>
    <row r="45">
      <c r="A45" s="171" t="inlineStr">
        <is>
          <t>GAP-SRC-W-37</t>
        </is>
      </c>
      <c r="B45" s="171" t="inlineStr">
        <is>
          <t>Opportunity dashboard</t>
        </is>
      </c>
      <c r="C45" s="171" t="inlineStr">
        <is>
          <t>Audit reports workflow (feature-flag-gated): list audit reports, view detail, act on per-entry tasks, complete a report, export - beyond the single Audit-opportunity button</t>
        </is>
      </c>
      <c r="D45" s="171" t="inlineStr">
        <is>
          <t>🟡 Automatable - not yet done</t>
        </is>
      </c>
      <c r="E45" s="171" t="inlineStr">
        <is>
          <t>PARTIAL vs OD_2 (audit button only). Full audit workflow untested. Src: audit/views.py</t>
        </is>
      </c>
      <c r="F45" s="171" t="inlineStr">
        <is>
          <t>High</t>
        </is>
      </c>
      <c r="G45" s="171" t="inlineStr">
        <is>
          <t>New</t>
        </is>
      </c>
      <c r="H45" s="171" t="inlineStr"/>
      <c r="I45" s="171" t="inlineStr"/>
      <c r="J45" s="171" t="inlineStr">
        <is>
          <t>Web batch 6: users + commcarehq + audit + reports + flags</t>
        </is>
      </c>
      <c r="K45" s="171" t="inlineStr">
        <is>
          <t>Eng-covered (logic) - QA e2e only if critical journey</t>
        </is>
      </c>
      <c r="L45" s="171" t="inlineStr">
        <is>
          <t>Add to MTP only (eng-covered)</t>
        </is>
      </c>
    </row>
    <row r="46">
      <c r="A46" s="171" t="inlineStr">
        <is>
          <t>GAP-SRC-W-38</t>
        </is>
      </c>
      <c r="B46" s="171" t="inlineStr">
        <is>
          <t>Cross-cutting</t>
        </is>
      </c>
      <c r="C46" s="171" t="inlineStr">
        <is>
          <t>Reporting module: Delivery Stats / KPI reports and Invoice reports with filters + CSV/XLSX export (org-level analytics)</t>
        </is>
      </c>
      <c r="D46" s="171" t="inlineStr">
        <is>
          <t>🟡 Automatable - not yet done</t>
        </is>
      </c>
      <c r="E46" s="171" t="inlineStr">
        <is>
          <t>MISSING from MTP (no reports/KPI cases). Src: reports/views.py DeliveryStatsReportView / InvoiceReportView</t>
        </is>
      </c>
      <c r="F46" s="171" t="inlineStr">
        <is>
          <t>Medium</t>
        </is>
      </c>
      <c r="G46" s="171" t="inlineStr">
        <is>
          <t>New</t>
        </is>
      </c>
      <c r="H46" s="171" t="inlineStr"/>
      <c r="I46" s="171" t="inlineStr"/>
      <c r="J46" s="171" t="inlineStr">
        <is>
          <t>Web batch 6: users + commcarehq + audit + reports + flags</t>
        </is>
      </c>
      <c r="K46" s="171" t="inlineStr">
        <is>
          <t>Partial (some eng coverage; confirm with eng)</t>
        </is>
      </c>
      <c r="L46" s="171" t="inlineStr">
        <is>
          <t>Add to MTP + Automate (confirm w/ eng)</t>
        </is>
      </c>
    </row>
    <row r="47">
      <c r="A47" s="171" t="inlineStr">
        <is>
          <t>GAP-SRC-W-39</t>
        </is>
      </c>
      <c r="B47" s="171" t="inlineStr">
        <is>
          <t>App Credentials</t>
        </is>
      </c>
      <c r="C47" s="171" t="inlineStr">
        <is>
          <t>UserCredential issuance with Learn/Delivery credential levels + types + issued_on + computed titles (drives credential-gated opportunity access)</t>
        </is>
      </c>
      <c r="D47" s="171" t="inlineStr">
        <is>
          <t>🟡 Automatable - not yet done</t>
        </is>
      </c>
      <c r="E47" s="171" t="inlineStr">
        <is>
          <t>PARTIAL vs Credentials_1-3 + Worker History. Level/type issuance model not covered. Src: users/models UserCredential</t>
        </is>
      </c>
      <c r="F47" s="171" t="inlineStr">
        <is>
          <t>Medium</t>
        </is>
      </c>
      <c r="G47" s="171" t="inlineStr">
        <is>
          <t>New</t>
        </is>
      </c>
      <c r="H47" s="171" t="inlineStr"/>
      <c r="I47" s="171" t="inlineStr"/>
      <c r="J47" s="171" t="inlineStr">
        <is>
          <t>Web batch 6: users + commcarehq + audit + reports + flags</t>
        </is>
      </c>
      <c r="K47" s="171" t="inlineStr">
        <is>
          <t>Eng-covered (logic) - QA e2e only if critical journey</t>
        </is>
      </c>
      <c r="L47" s="171" t="inlineStr">
        <is>
          <t>Add to MTP only (eng-covered)</t>
        </is>
      </c>
    </row>
    <row r="48">
      <c r="A48" s="171" t="inlineStr">
        <is>
          <t>GAP-UTC-W-01</t>
        </is>
      </c>
      <c r="B48" s="171" t="inlineStr">
        <is>
          <t>Cross-cutting</t>
        </is>
      </c>
      <c r="C48" s="171" t="inlineStr">
        <is>
          <t>users/oauth2_validator.py - the custom OAuth2 validator (token/scope issuance to mobile clients) has no unit test; security-sensitive auth path</t>
        </is>
      </c>
      <c r="D48" s="171" t="inlineStr">
        <is>
          <t>🟡 Automatable - not yet done</t>
        </is>
      </c>
      <c r="E48" s="171" t="inlineStr">
        <is>
          <t>Unit-test coverage gap (web). Src: users/oauth2_validator.py</t>
        </is>
      </c>
      <c r="F48" s="171" t="inlineStr">
        <is>
          <t>High</t>
        </is>
      </c>
      <c r="G48" s="171" t="inlineStr">
        <is>
          <t>New</t>
        </is>
      </c>
      <c r="H48" s="171" t="inlineStr"/>
      <c r="I48" s="171" t="inlineStr"/>
      <c r="J48" s="171" t="inlineStr">
        <is>
          <t>Web: unit-test-coverage gaps (Shubham dimension)</t>
        </is>
      </c>
      <c r="K48" s="171" t="inlineStr">
        <is>
          <t>Eng GAP (no unit test) - dev deliverable</t>
        </is>
      </c>
      <c r="L48" s="171" t="inlineStr">
        <is>
          <t>Dev: add unit test</t>
        </is>
      </c>
    </row>
    <row r="49">
      <c r="A49" s="171" t="inlineStr">
        <is>
          <t>GAP-UTC-W-02</t>
        </is>
      </c>
      <c r="B49" s="171" t="inlineStr">
        <is>
          <t>App Credentials</t>
        </is>
      </c>
      <c r="C49" s="171" t="inlineStr">
        <is>
          <t>commcarehq/views.py - get_domains / get_application (HQ API-key-driven domain+app fetch) views untested (only the connect_id_client has test_api)</t>
        </is>
      </c>
      <c r="D49" s="171" t="inlineStr">
        <is>
          <t>🟡 Automatable - not yet done</t>
        </is>
      </c>
      <c r="E49" s="171" t="inlineStr">
        <is>
          <t>Unit-test coverage gap (web). Src: commcarehq/views.py</t>
        </is>
      </c>
      <c r="F49" s="171" t="inlineStr">
        <is>
          <t>Medium</t>
        </is>
      </c>
      <c r="G49" s="171" t="inlineStr">
        <is>
          <t>New</t>
        </is>
      </c>
      <c r="H49" s="171" t="inlineStr"/>
      <c r="I49" s="171" t="inlineStr"/>
      <c r="J49" s="171" t="inlineStr">
        <is>
          <t>Web: unit-test-coverage gaps (Shubham dimension)</t>
        </is>
      </c>
      <c r="K49" s="171" t="inlineStr">
        <is>
          <t>Eng GAP (no unit test) - dev deliverable</t>
        </is>
      </c>
      <c r="L49" s="171" t="inlineStr">
        <is>
          <t>Dev: add unit test</t>
        </is>
      </c>
    </row>
    <row r="50">
      <c r="A50" s="171" t="inlineStr">
        <is>
          <t>GAP-UTC-W-03</t>
        </is>
      </c>
      <c r="B50" s="171" t="inlineStr">
        <is>
          <t>Cross-cutting</t>
        </is>
      </c>
      <c r="C50" s="171" t="inlineStr">
        <is>
          <t>flags admin layer untested: flags/views.py (feature_flags/toggle_switch/update_flag), decorators.py, utils.py (only test_flag_models + test_context_processors exist)</t>
        </is>
      </c>
      <c r="D50" s="171" t="inlineStr">
        <is>
          <t>🟡 Automatable - not yet done</t>
        </is>
      </c>
      <c r="E50" s="171" t="inlineStr">
        <is>
          <t>Unit-test coverage gap (web). Src: flags/views.py, decorators.py, utils.py</t>
        </is>
      </c>
      <c r="F50" s="171" t="inlineStr">
        <is>
          <t>Medium</t>
        </is>
      </c>
      <c r="G50" s="171" t="inlineStr">
        <is>
          <t>New</t>
        </is>
      </c>
      <c r="H50" s="171" t="inlineStr"/>
      <c r="I50" s="171" t="inlineStr"/>
      <c r="J50" s="171" t="inlineStr">
        <is>
          <t>Web: unit-test-coverage gaps (Shubham dimension)</t>
        </is>
      </c>
      <c r="K50" s="171" t="inlineStr">
        <is>
          <t>Eng GAP (no unit test) - dev deliverable</t>
        </is>
      </c>
      <c r="L50" s="171" t="inlineStr">
        <is>
          <t>Dev: add unit test</t>
        </is>
      </c>
    </row>
    <row r="51">
      <c r="A51" s="171" t="inlineStr">
        <is>
          <t>GAP-UTC-W-04</t>
        </is>
      </c>
      <c r="B51" s="171" t="inlineStr">
        <is>
          <t>Microplanning</t>
        </is>
      </c>
      <c r="C51" s="171" t="inlineStr">
        <is>
          <t>microplanning/forms.py - microplanning form validation untested (views/models/serializers/clustering are tested)</t>
        </is>
      </c>
      <c r="D51" s="171" t="inlineStr">
        <is>
          <t>🟡 Automatable - not yet done</t>
        </is>
      </c>
      <c r="E51" s="171" t="inlineStr">
        <is>
          <t>Unit-test coverage gap (web). Src: microplanning/forms.py</t>
        </is>
      </c>
      <c r="F51" s="171" t="inlineStr">
        <is>
          <t>Medium</t>
        </is>
      </c>
      <c r="G51" s="171" t="inlineStr">
        <is>
          <t>New</t>
        </is>
      </c>
      <c r="H51" s="171" t="inlineStr"/>
      <c r="I51" s="171" t="inlineStr"/>
      <c r="J51" s="171" t="inlineStr">
        <is>
          <t>Web: unit-test-coverage gaps (Shubham dimension)</t>
        </is>
      </c>
      <c r="K51" s="171" t="inlineStr">
        <is>
          <t>Eng GAP (no unit test) - dev deliverable</t>
        </is>
      </c>
      <c r="L51" s="171" t="inlineStr">
        <is>
          <t>Dev: add unit test</t>
        </is>
      </c>
    </row>
    <row r="52">
      <c r="A52" s="171" t="inlineStr">
        <is>
          <t>GAP-UTC-W-05</t>
        </is>
      </c>
      <c r="B52" s="171" t="inlineStr">
        <is>
          <t>Cross-cutting</t>
        </is>
      </c>
      <c r="C52" s="171" t="inlineStr">
        <is>
          <t>users/signals.py - user signal handlers untested</t>
        </is>
      </c>
      <c r="D52" s="171" t="inlineStr">
        <is>
          <t>🟡 Automatable - not yet done</t>
        </is>
      </c>
      <c r="E52" s="171" t="inlineStr">
        <is>
          <t>Unit-test coverage gap (web). Src: users/signals.py</t>
        </is>
      </c>
      <c r="F52" s="171" t="inlineStr">
        <is>
          <t>Low</t>
        </is>
      </c>
      <c r="G52" s="171" t="inlineStr">
        <is>
          <t>New</t>
        </is>
      </c>
      <c r="H52" s="171" t="inlineStr"/>
      <c r="I52" s="171" t="inlineStr"/>
      <c r="J52" s="171" t="inlineStr">
        <is>
          <t>Web: unit-test-coverage gaps (Shubham dimension)</t>
        </is>
      </c>
      <c r="K52" s="171" t="inlineStr">
        <is>
          <t>Eng GAP (no unit test) - dev deliverable</t>
        </is>
      </c>
      <c r="L52" s="171" t="inlineStr">
        <is>
          <t>Dev: add unit test</t>
        </is>
      </c>
    </row>
    <row r="53">
      <c r="A53" s="171" t="inlineStr">
        <is>
          <t>GAP-SRC-W-40</t>
        </is>
      </c>
      <c r="B53" s="171" t="inlineStr">
        <is>
          <t>Visit verification page</t>
        </is>
      </c>
      <c r="C53" s="171" t="inlineStr">
        <is>
          <t>Verification tab-set is a function of mode x role: auto+PM=[All]; auto+NM=[Approved,Rejected,All]; manual+PM=[Pending PM Review,Disagree,Agree,All]; manual+NM=[Pending NM Review,Pending PM Review,Disagree,Agree,Rejected,All]. Tab labels are role-sensitive (agree='Agree'(PM)/'Approved'(NM); disagree='Disagree'(PM)/'Revalidate'(NM)). Src: VisitVerificationTableView.tabs + get_tab_display (views.py ~2355-2384).</t>
        </is>
      </c>
      <c r="D53" s="171" t="inlineStr">
        <is>
          <t>🟡 Automatable - not yet done</t>
        </is>
      </c>
      <c r="E53" s="171" t="inlineStr">
        <is>
          <t>MISSING from MTP (WVV assumes a single tab set). Largest role/mode fork on the visit page.</t>
        </is>
      </c>
      <c r="F53" s="171" t="inlineStr">
        <is>
          <t>High</t>
        </is>
      </c>
      <c r="G53" s="171" t="inlineStr">
        <is>
          <t>New</t>
        </is>
      </c>
      <c r="H53" s="171" t="inlineStr"/>
      <c r="I53" s="171" t="inlineStr"/>
      <c r="J53" s="171" t="inlineStr">
        <is>
          <t>Web pass 7: workers-page views/tables/filters/templates deep-dive (feature/workers-web-automation)</t>
        </is>
      </c>
      <c r="K53" s="171" t="inlineStr">
        <is>
          <t>Eng-covered (logic) - QA e2e only if critical journey</t>
        </is>
      </c>
      <c r="L53" s="171" t="inlineStr">
        <is>
          <t>Add to MTP + Automate (confirm w/ eng)</t>
        </is>
      </c>
    </row>
    <row r="54">
      <c r="A54" s="171" t="inlineStr">
        <is>
          <t>GAP-SRC-W-41</t>
        </is>
      </c>
      <c r="B54" s="171" t="inlineStr">
        <is>
          <t>Visit verification page</t>
        </is>
      </c>
      <c r="C54" s="171" t="inlineStr">
        <is>
          <t>WORKER_VISITS_TASKS waffle switch changes the whole visit table: ON -&gt; plain WorkerVisitTable (no review tabs, no bulk actions); OFF -&gt; tabbed VisitVerificationTable. Also gates the Visits/Tasks sub-tab bar on the worker profile. Src: visit_verification_table_view (~2436-2441); UserVisitVerificationView show_worker_tasks_tabs (~2190).</t>
        </is>
      </c>
      <c r="D54" s="171" t="inlineStr">
        <is>
          <t>🟡 Automatable - not yet done</t>
        </is>
      </c>
      <c r="E54" s="171" t="inlineStr">
        <is>
          <t>MISSING from MTP; a happy-path plan silently mismatches when the switch flips.</t>
        </is>
      </c>
      <c r="F54" s="171" t="inlineStr">
        <is>
          <t>High</t>
        </is>
      </c>
      <c r="G54" s="171" t="inlineStr">
        <is>
          <t>New</t>
        </is>
      </c>
      <c r="H54" s="171" t="inlineStr"/>
      <c r="I54" s="171" t="inlineStr"/>
      <c r="J54" s="171" t="inlineStr">
        <is>
          <t>Web pass 7: workers-page views/tables/filters/templates deep-dive (feature/workers-web-automation)</t>
        </is>
      </c>
      <c r="K54" s="171" t="inlineStr">
        <is>
          <t>Eng-covered (logic) - QA e2e only if critical journey</t>
        </is>
      </c>
      <c r="L54" s="171" t="inlineStr">
        <is>
          <t>Add to MTP + Automate (confirm w/ eng)</t>
        </is>
      </c>
    </row>
    <row r="55">
      <c r="A55" s="171" t="inlineStr">
        <is>
          <t>GAP-SRC-W-42</t>
        </is>
      </c>
      <c r="B55" s="171" t="inlineStr">
        <is>
          <t>Visit verification page</t>
        </is>
      </c>
      <c r="C55" s="171" t="inlineStr">
        <is>
          <t>In-UI bulk Approve/Reject rules: max 100 visits per bulk op (400 'Maximum 100 visits allowed'); justification mandatory for flagged visits; reject requires a reason; disagree-&gt;pending; payment accrued recomputed. Src: approve_visits (~1062-1109) / reject_visits (~1116-1136).</t>
        </is>
      </c>
      <c r="D55" s="171" t="inlineStr">
        <is>
          <t>🟡 Automatable - not yet done</t>
        </is>
      </c>
      <c r="E55" s="171" t="inlineStr">
        <is>
          <t>PARTIAL vs SRC-W-24 (that covers the CSV import path, not the in-UI bulk limits/justification).</t>
        </is>
      </c>
      <c r="F55" s="171" t="inlineStr">
        <is>
          <t>High</t>
        </is>
      </c>
      <c r="G55" s="171" t="inlineStr">
        <is>
          <t>New</t>
        </is>
      </c>
      <c r="H55" s="171" t="inlineStr"/>
      <c r="I55" s="171" t="inlineStr"/>
      <c r="J55" s="171" t="inlineStr">
        <is>
          <t>Web pass 7: workers-page views/tables/filters/templates deep-dive (feature/workers-web-automation)</t>
        </is>
      </c>
      <c r="K55" s="171" t="inlineStr">
        <is>
          <t>Eng-covered (logic) - QA e2e only if critical journey</t>
        </is>
      </c>
      <c r="L55" s="171" t="inlineStr">
        <is>
          <t>Add to MTP + Automate (confirm w/ eng)</t>
        </is>
      </c>
    </row>
    <row r="56">
      <c r="A56" s="171" t="inlineStr">
        <is>
          <t>GAP-SRC-W-43</t>
        </is>
      </c>
      <c r="B56" s="171" t="inlineStr">
        <is>
          <t>Visit verification page</t>
        </is>
      </c>
      <c r="C56" s="171" t="inlineStr">
        <is>
          <t>Bulk select + Approve All/Reject All controls are hidden for PM, for viewer, and under auto-verify; only a non-viewer NM on a manual-review opp sees them. The select checkbox column is invisible for PM. Src: user_visit_verification_table.html bulk button guards; UserVisitVerificationTable.__init__ select column (~915-917).</t>
        </is>
      </c>
      <c r="D56" s="171" t="inlineStr">
        <is>
          <t>🟡 Automatable - not yet done</t>
        </is>
      </c>
      <c r="E56" s="171" t="inlineStr">
        <is>
          <t>MISSING from MTP; role/mode gating of bulk actions.</t>
        </is>
      </c>
      <c r="F56" s="171" t="inlineStr">
        <is>
          <t>High</t>
        </is>
      </c>
      <c r="G56" s="171" t="inlineStr">
        <is>
          <t>New</t>
        </is>
      </c>
      <c r="H56" s="171" t="inlineStr"/>
      <c r="I56" s="171" t="inlineStr"/>
      <c r="J56" s="171" t="inlineStr">
        <is>
          <t>Web pass 7: workers-page views/tables/filters/templates deep-dive (feature/workers-web-automation)</t>
        </is>
      </c>
      <c r="K56" s="171" t="inlineStr">
        <is>
          <t>Eng-covered (logic) - QA e2e only if critical journey</t>
        </is>
      </c>
      <c r="L56" s="171" t="inlineStr">
        <is>
          <t>Add to MTP + Automate (confirm w/ eng)</t>
        </is>
      </c>
    </row>
    <row r="57">
      <c r="A57" s="171" t="inlineStr">
        <is>
          <t>GAP-SRC-W-44</t>
        </is>
      </c>
      <c r="B57" s="171" t="inlineStr">
        <is>
          <t>Visit verification page</t>
        </is>
      </c>
      <c r="C57" s="171" t="inlineStr">
        <is>
          <t>Individual visit-review action bar is role/mode gated: hidden entirely under auto-verify; PM sees Agree/Disagree (Disagree only when review pending; Agree disabled when already agree); NM sees Approve/Reject with enable/disable by status; all disabled for viewer. Src: user_visit_details.html action bar (~292-320); user_visit_review (~1547-1557).</t>
        </is>
      </c>
      <c r="D57" s="171" t="inlineStr">
        <is>
          <t>🟡 Automatable - not yet done</t>
        </is>
      </c>
      <c r="E57" s="171" t="inlineStr">
        <is>
          <t>MISSING from MTP (WVV covers approve/reject happy path, not PM agree/disagree or gating).</t>
        </is>
      </c>
      <c r="F57" s="171" t="inlineStr">
        <is>
          <t>High</t>
        </is>
      </c>
      <c r="G57" s="171" t="inlineStr">
        <is>
          <t>New</t>
        </is>
      </c>
      <c r="H57" s="171" t="inlineStr"/>
      <c r="I57" s="171" t="inlineStr"/>
      <c r="J57" s="171" t="inlineStr">
        <is>
          <t>Web pass 7: workers-page views/tables/filters/templates deep-dive (feature/workers-web-automation)</t>
        </is>
      </c>
      <c r="K57" s="171" t="inlineStr">
        <is>
          <t>Eng-covered (logic) - QA e2e only if critical journey</t>
        </is>
      </c>
      <c r="L57" s="171" t="inlineStr">
        <is>
          <t>Add to MTP + Automate (confirm w/ eng)</t>
        </is>
      </c>
    </row>
    <row r="58">
      <c r="A58" s="171" t="inlineStr">
        <is>
          <t>GAP-SRC-W-45</t>
        </is>
      </c>
      <c r="B58" s="171" t="inlineStr">
        <is>
          <t>Cross-cutting</t>
        </is>
      </c>
      <c r="C58" s="171" t="inlineStr">
        <is>
          <t>Manual-verification endpoints (approve/reject/review/import-review/export-review) return HTTP 403 + HX-Trigger reload_table when the opportunity is auto-verify. Src: @require_manual_visit_verification (decorators.py ~6-27).</t>
        </is>
      </c>
      <c r="D58" s="171" t="inlineStr">
        <is>
          <t>🟡 Automatable - not yet done</t>
        </is>
      </c>
      <c r="E58" s="171" t="inlineStr">
        <is>
          <t>MISSING from MTP; mode-gating at endpoint level (negative test).</t>
        </is>
      </c>
      <c r="F58" s="171" t="inlineStr">
        <is>
          <t>Medium</t>
        </is>
      </c>
      <c r="G58" s="171" t="inlineStr">
        <is>
          <t>New</t>
        </is>
      </c>
      <c r="H58" s="171" t="inlineStr"/>
      <c r="I58" s="171" t="inlineStr"/>
      <c r="J58" s="171" t="inlineStr">
        <is>
          <t>Web pass 7: workers-page views/tables/filters/templates deep-dive (feature/workers-web-automation)</t>
        </is>
      </c>
      <c r="K58" s="171" t="inlineStr">
        <is>
          <t>Eng-covered (logic) - QA e2e only if critical journey</t>
        </is>
      </c>
      <c r="L58" s="171" t="inlineStr">
        <is>
          <t>Add to MTP + Automate (confirm w/ eng)</t>
        </is>
      </c>
    </row>
    <row r="59">
      <c r="A59" s="171" t="inlineStr">
        <is>
          <t>GAP-SRC-W-46</t>
        </is>
      </c>
      <c r="B59" s="171" t="inlineStr">
        <is>
          <t>Connect workers page</t>
        </is>
      </c>
      <c r="C59" s="171" t="inlineStr">
        <is>
          <t>Worker profile KPI header: Total Visits, Pending Tasks (links to filtered tasks), Rejected Visits with per-flag rejection popup, Accrued Amount, Paid Amount with last-payment popup (only when a payment exists). Src: get_worker_kpi_context (~2125-2167) + worker_profile_kpi.html.</t>
        </is>
      </c>
      <c r="D59" s="171" t="inlineStr">
        <is>
          <t>🟡 Automatable - not yet done</t>
        </is>
      </c>
      <c r="E59" s="171" t="inlineStr">
        <is>
          <t>MISSING from MTP (worker profile page KPIs not covered).</t>
        </is>
      </c>
      <c r="F59" s="171" t="inlineStr">
        <is>
          <t>Medium</t>
        </is>
      </c>
      <c r="G59" s="171" t="inlineStr">
        <is>
          <t>New</t>
        </is>
      </c>
      <c r="H59" s="171" t="inlineStr"/>
      <c r="I59" s="171" t="inlineStr"/>
      <c r="J59" s="171" t="inlineStr">
        <is>
          <t>Web pass 7: workers-page views/tables/filters/templates deep-dive (feature/workers-web-automation)</t>
        </is>
      </c>
      <c r="K59" s="171" t="inlineStr">
        <is>
          <t>Eng-covered (logic) - QA e2e only if critical journey</t>
        </is>
      </c>
      <c r="L59" s="171" t="inlineStr">
        <is>
          <t>Add to MTP + Automate (confirm w/ eng)</t>
        </is>
      </c>
    </row>
    <row r="60">
      <c r="A60" s="171" t="inlineStr">
        <is>
          <t>GAP-SRC-W-47</t>
        </is>
      </c>
      <c r="B60" s="171" t="inlineStr">
        <is>
          <t>Connect workers page</t>
        </is>
      </c>
      <c r="C60" s="171" t="inlineStr">
        <is>
          <t>Viewer read-only + has_ended gating across worker tabs: Add Worker, Resend Invites, Delete Invites and Export buttons are disabled for viewers and when opportunity.has_ended; opportunity_user_invite redirects with an error when has_ended. Src: workers.html (~36-78); opportunity_user_invite (~1527-1530).</t>
        </is>
      </c>
      <c r="D60" s="171" t="inlineStr">
        <is>
          <t>🟡 Automatable - not yet done</t>
        </is>
      </c>
      <c r="E60" s="171" t="inlineStr">
        <is>
          <t>MISSING from MTP (no viewer/role or has_ended gating cases).</t>
        </is>
      </c>
      <c r="F60" s="171" t="inlineStr">
        <is>
          <t>High</t>
        </is>
      </c>
      <c r="G60" s="171" t="inlineStr">
        <is>
          <t>New</t>
        </is>
      </c>
      <c r="H60" s="171" t="inlineStr"/>
      <c r="I60" s="171" t="inlineStr"/>
      <c r="J60" s="171" t="inlineStr">
        <is>
          <t>Web pass 7: workers-page views/tables/filters/templates deep-dive (feature/workers-web-automation)</t>
        </is>
      </c>
      <c r="K60" s="171" t="inlineStr">
        <is>
          <t>Eng-covered (logic) - QA e2e only if critical journey</t>
        </is>
      </c>
      <c r="L60" s="171" t="inlineStr">
        <is>
          <t>Add to MTP + Automate (confirm w/ eng)</t>
        </is>
      </c>
    </row>
    <row r="61">
      <c r="A61" s="171" t="inlineStr">
        <is>
          <t>GAP-SRC-W-48</t>
        </is>
      </c>
      <c r="B61" s="171" t="inlineStr">
        <is>
          <t>Connect workers page</t>
        </is>
      </c>
      <c r="C61" s="171" t="inlineStr">
        <is>
          <t>Suspend modal + edge cases: modal shows a reason textarea plus pending_completed_work_count / payment_accrued / pending_payment warnings; re-suspending an already-suspended worker is idempotent; the suspended-users list page renders a Revoke column only for PM. Src: user_status_card.html (~43-94); suspend_user (~1441-1443); suspended_users_list (~1470-1493).</t>
        </is>
      </c>
      <c r="D61" s="171" t="inlineStr">
        <is>
          <t>🟡 Automatable - not yet done</t>
        </is>
      </c>
      <c r="E61" s="171" t="inlineStr">
        <is>
          <t>PARTIAL vs Connect_worker_07 (status only); modal content, re-suspend, suspended-list + PM-gated revoke not covered.</t>
        </is>
      </c>
      <c r="F61" s="171" t="inlineStr">
        <is>
          <t>Medium</t>
        </is>
      </c>
      <c r="G61" s="171" t="inlineStr">
        <is>
          <t>New</t>
        </is>
      </c>
      <c r="H61" s="171" t="inlineStr"/>
      <c r="I61" s="171" t="inlineStr"/>
      <c r="J61" s="171" t="inlineStr">
        <is>
          <t>Web pass 7: workers-page views/tables/filters/templates deep-dive (feature/workers-web-automation)</t>
        </is>
      </c>
      <c r="K61" s="171" t="inlineStr">
        <is>
          <t>Eng-covered (logic) - QA e2e only if critical journey</t>
        </is>
      </c>
      <c r="L61" s="171" t="inlineStr">
        <is>
          <t>Add to MTP + Automate (confirm w/ eng)</t>
        </is>
      </c>
    </row>
    <row r="62">
      <c r="A62" s="171" t="inlineStr">
        <is>
          <t>GAP-SRC-W-49</t>
        </is>
      </c>
      <c r="B62" s="171" t="inlineStr">
        <is>
          <t>Connect workers page</t>
        </is>
      </c>
      <c r="C62" s="171" t="inlineStr">
        <is>
          <t>Work Area Assignments tab appears only under the MICROPLANNING flag; the 6th worker tab is absent when the flag is off and the direct /workers/work-areas/ URL 404s. Src: BaseWorkerListView.get() tab append (~2646-2653); WorkerWorkAreaView.dispatch 404 (~2849-2852).</t>
        </is>
      </c>
      <c r="D62" s="171" t="inlineStr">
        <is>
          <t>🟡 Automatable - not yet done</t>
        </is>
      </c>
      <c r="E62" s="171" t="inlineStr">
        <is>
          <t>MISSING from MTP (worker-tab gating by MICROPLANNING; distinct from MP import cases SRC-W-31..33).</t>
        </is>
      </c>
      <c r="F62" s="171" t="inlineStr">
        <is>
          <t>Medium</t>
        </is>
      </c>
      <c r="G62" s="171" t="inlineStr">
        <is>
          <t>New</t>
        </is>
      </c>
      <c r="H62" s="171" t="inlineStr"/>
      <c r="I62" s="171" t="inlineStr"/>
      <c r="J62" s="171" t="inlineStr">
        <is>
          <t>Web pass 7: workers-page views/tables/filters/templates deep-dive (feature/workers-web-automation)</t>
        </is>
      </c>
      <c r="K62" s="171" t="inlineStr">
        <is>
          <t>Eng-covered (logic) - QA e2e only if critical journey</t>
        </is>
      </c>
      <c r="L62" s="171" t="inlineStr">
        <is>
          <t>Add to MTP + Automate (confirm w/ eng)</t>
        </is>
      </c>
    </row>
    <row r="63">
      <c r="A63" s="171" t="inlineStr">
        <is>
          <t>GAP-SRC-W-50</t>
        </is>
      </c>
      <c r="B63" s="171" t="inlineStr">
        <is>
          <t>Connect workers page</t>
        </is>
      </c>
      <c r="C63" s="171" t="inlineStr">
        <is>
          <t>Cross-tab filter persistence: filters set on a worker sub-tab are saved to session and re-applied when navigating between worker tabs, but cleared when the page is entered from an unrelated page (referer check). Src: BaseWorkerListView.get_tabs / _is_navigating_between_tabs (~2598-2642).</t>
        </is>
      </c>
      <c r="D63" s="171" t="inlineStr">
        <is>
          <t>🟡 Automatable - not yet done</t>
        </is>
      </c>
      <c r="E63" s="171" t="inlineStr">
        <is>
          <t>MISSING from MTP; easy-miss stateful behaviour.</t>
        </is>
      </c>
      <c r="F63" s="171" t="inlineStr">
        <is>
          <t>Medium</t>
        </is>
      </c>
      <c r="G63" s="171" t="inlineStr">
        <is>
          <t>New</t>
        </is>
      </c>
      <c r="H63" s="171" t="inlineStr"/>
      <c r="I63" s="171" t="inlineStr"/>
      <c r="J63" s="171" t="inlineStr">
        <is>
          <t>Web pass 7: workers-page views/tables/filters/templates deep-dive (feature/workers-web-automation)</t>
        </is>
      </c>
      <c r="K63" s="171" t="inlineStr">
        <is>
          <t>Eng-covered (logic) - QA e2e only if critical journey</t>
        </is>
      </c>
      <c r="L63" s="171" t="inlineStr">
        <is>
          <t>Add to MTP + Automate (confirm w/ eng)</t>
        </is>
      </c>
    </row>
    <row r="64">
      <c r="A64" s="171" t="inlineStr">
        <is>
          <t>GAP-SRC-W-51</t>
        </is>
      </c>
      <c r="B64" s="171" t="inlineStr">
        <is>
          <t>Connect workers page</t>
        </is>
      </c>
      <c r="C64" s="171" t="inlineStr">
        <is>
          <t>Deliver-tab count-breakdown popups are lazy hx-get to worker_flag_counts (status/payment_unit_id/access_id); the endpoint adds a 'Duplicate' bucket when saved_completed_count&gt;1; the column-footer popup (no access_id) shows whole-opportunity totals; empty state 'No flagged visits'. Src: _render_flag_counts (~1610-1636); worker_flag_counts (~2910-2942); TotalFlagCountsColumn (~1456-1495).</t>
        </is>
      </c>
      <c r="D64" s="171" t="inlineStr">
        <is>
          <t>🟡 Automatable - not yet done</t>
        </is>
      </c>
      <c r="E64" s="171" t="inlineStr">
        <is>
          <t>PARTIAL vs Delivery_tab_03/05/09 (per-worker breakdown only; footer/whole-opp popup + duplicate bucket + empty state not covered).</t>
        </is>
      </c>
      <c r="F64" s="171" t="inlineStr">
        <is>
          <t>Medium</t>
        </is>
      </c>
      <c r="G64" s="171" t="inlineStr">
        <is>
          <t>New</t>
        </is>
      </c>
      <c r="H64" s="171" t="inlineStr"/>
      <c r="I64" s="171" t="inlineStr"/>
      <c r="J64" s="171" t="inlineStr">
        <is>
          <t>Web pass 7: workers-page views/tables/filters/templates deep-dive (feature/workers-web-automation)</t>
        </is>
      </c>
      <c r="K64" s="171" t="inlineStr">
        <is>
          <t>Eng-covered (logic) - QA e2e only if critical journey</t>
        </is>
      </c>
      <c r="L64" s="171" t="inlineStr">
        <is>
          <t>Add to MTP + Automate (confirm w/ eng)</t>
        </is>
      </c>
    </row>
    <row r="65">
      <c r="A65" s="171" t="inlineStr">
        <is>
          <t>GAP-SRC-W-52</t>
        </is>
      </c>
      <c r="B65" s="171" t="inlineStr">
        <is>
          <t>Connect workers page</t>
        </is>
      </c>
      <c r="C65" s="171" t="inlineStr">
        <is>
          <t>Payments tab specifics: only rows with payment_accrued&gt;=0 and accepted=True, ordered -payment_accrued; Accrued/Total Paid/Confirm headers are currency-code-suffixed and blank when no rows; footers sum accrued and total paid; last-paid history is a lazy popup ('--' when never paid); payment import is CSV/XLSX-only and cache-locked against concurrent imports. Src: WorkerPaymentsView (~2794-2820); WorkerPaymentsTable (~1173-1229); payment_import (~784-802).</t>
        </is>
      </c>
      <c r="D65" s="171" t="inlineStr">
        <is>
          <t>🟡 Automatable - not yet done</t>
        </is>
      </c>
      <c r="E65" s="171" t="inlineStr">
        <is>
          <t>PARTIAL vs Payment Processing_1-4 (info/pay/history/rollback happy path).</t>
        </is>
      </c>
      <c r="F65" s="171" t="inlineStr">
        <is>
          <t>Low</t>
        </is>
      </c>
      <c r="G65" s="171" t="inlineStr">
        <is>
          <t>New</t>
        </is>
      </c>
      <c r="H65" s="171" t="inlineStr"/>
      <c r="I65" s="171" t="inlineStr"/>
      <c r="J65" s="171" t="inlineStr">
        <is>
          <t>Web pass 7: workers-page views/tables/filters/templates deep-dive (feature/workers-web-automation)</t>
        </is>
      </c>
      <c r="K65" s="171" t="inlineStr">
        <is>
          <t>Eng-covered (logic) - QA e2e only if critical journey</t>
        </is>
      </c>
      <c r="L65" s="171" t="inlineStr">
        <is>
          <t>Add to MTP only (eng-covered)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9"/>
  <sheetViews>
    <sheetView workbookViewId="0">
      <selection activeCell="A1" sqref="A1"/>
    </sheetView>
  </sheetViews>
  <sheetFormatPr baseColWidth="8" defaultRowHeight="15"/>
  <cols>
    <col width="20" customWidth="1" style="148" min="1" max="1"/>
    <col width="26" customWidth="1" style="148" min="2" max="2"/>
    <col width="70" customWidth="1" style="148" min="3" max="3"/>
    <col width="26" customWidth="1" style="148" min="4" max="4"/>
    <col width="45" customWidth="1" style="148" min="5" max="5"/>
    <col width="26" customWidth="1" style="148" min="6" max="6"/>
    <col width="44" customWidth="1" style="148" min="7" max="7"/>
  </cols>
  <sheetData>
    <row r="1">
      <c r="A1" s="170" t="inlineStr">
        <is>
          <t>Case / Gap ID</t>
        </is>
      </c>
      <c r="B1" s="170" t="inlineStr">
        <is>
          <t>Surface</t>
        </is>
      </c>
      <c r="C1" s="170" t="inlineStr">
        <is>
          <t>Description</t>
        </is>
      </c>
      <c r="D1" s="170" t="inlineStr">
        <is>
          <t>Status</t>
        </is>
      </c>
      <c r="E1" s="170" t="inlineStr">
        <is>
          <t>Detail</t>
        </is>
      </c>
      <c r="F1" s="170" t="inlineStr">
        <is>
          <t>Source</t>
        </is>
      </c>
      <c r="G1" s="170" t="inlineStr">
        <is>
          <t>Eng Coverage</t>
        </is>
      </c>
    </row>
    <row r="2">
      <c r="A2" s="171" t="inlineStr">
        <is>
          <t>PLP_05</t>
        </is>
      </c>
      <c r="B2" s="171" t="inlineStr">
        <is>
          <t>Programs List page</t>
        </is>
      </c>
      <c r="C2" s="171" t="inlineStr">
        <is>
          <t>Verify that the ‘Program Acceptance Funnel’ within a program card has all the necessary information in it</t>
        </is>
      </c>
      <c r="D2" s="171" t="inlineStr">
        <is>
          <t>🟢 Already automated</t>
        </is>
      </c>
      <c r="E2" s="171" t="inlineStr">
        <is>
          <t>test_pm_05_06_07</t>
        </is>
      </c>
      <c r="F2" s="171" t="inlineStr">
        <is>
          <t>Confirmed automated (pass 1)</t>
        </is>
      </c>
      <c r="G2" s="171" t="inlineStr">
        <is>
          <t>Already automated (n/a)</t>
        </is>
      </c>
    </row>
    <row r="3">
      <c r="A3" s="171" t="inlineStr">
        <is>
          <t>PLP_06</t>
        </is>
      </c>
      <c r="B3" s="171" t="inlineStr">
        <is>
          <t>Programs List page</t>
        </is>
      </c>
      <c r="C3" s="171" t="inlineStr">
        <is>
          <t>Confirm user is able to see the status of all the NMs that they invited</t>
        </is>
      </c>
      <c r="D3" s="171" t="inlineStr">
        <is>
          <t>🟢 Already automated</t>
        </is>
      </c>
      <c r="E3" s="171" t="inlineStr">
        <is>
          <t>test_pm_05_06_07</t>
        </is>
      </c>
      <c r="F3" s="171" t="inlineStr">
        <is>
          <t>Confirmed automated (pass 1)</t>
        </is>
      </c>
      <c r="G3" s="171" t="inlineStr">
        <is>
          <t>Already automated (n/a)</t>
        </is>
      </c>
    </row>
    <row r="4">
      <c r="A4" s="171" t="inlineStr">
        <is>
          <t>PLP_07</t>
        </is>
      </c>
      <c r="B4" s="171" t="inlineStr">
        <is>
          <t>Programs List page</t>
        </is>
      </c>
      <c r="C4" s="171" t="inlineStr">
        <is>
          <t>Verify that user is only able to create/view opportunities when at least one NM has accepted the invite</t>
        </is>
      </c>
      <c r="D4" s="171" t="inlineStr">
        <is>
          <t>🟢 Already automated</t>
        </is>
      </c>
      <c r="E4" s="171" t="inlineStr">
        <is>
          <t>test_pm_05_06_07</t>
        </is>
      </c>
      <c r="F4" s="171" t="inlineStr">
        <is>
          <t>Confirmed automated (pass 1)</t>
        </is>
      </c>
      <c r="G4" s="171" t="inlineStr">
        <is>
          <t>Already automated (n/a)</t>
        </is>
      </c>
    </row>
    <row r="5">
      <c r="A5" s="171" t="inlineStr">
        <is>
          <t>Opp_create_04</t>
        </is>
      </c>
      <c r="B5" s="171" t="inlineStr">
        <is>
          <t>Opportunity creation</t>
        </is>
      </c>
      <c r="C5" s="171" t="inlineStr">
        <is>
          <t>Verify user is able to create on opportunity as PM user</t>
        </is>
      </c>
      <c r="D5" s="171" t="inlineStr">
        <is>
          <t>🟢 Already automated</t>
        </is>
      </c>
      <c r="E5" s="171" t="inlineStr">
        <is>
          <t>test_olp_01_02_03</t>
        </is>
      </c>
      <c r="F5" s="171" t="inlineStr">
        <is>
          <t>Confirmed automated (pass 1)</t>
        </is>
      </c>
      <c r="G5" s="171" t="inlineStr">
        <is>
          <t>Already automated (n/a)</t>
        </is>
      </c>
    </row>
    <row r="6">
      <c r="A6" s="171" t="inlineStr">
        <is>
          <t>Opp_create_05</t>
        </is>
      </c>
      <c r="B6" s="171" t="inlineStr">
        <is>
          <t>Opportunity creation</t>
        </is>
      </c>
      <c r="C6" s="171" t="inlineStr">
        <is>
          <t>Verify user is able to land on the payment unit page</t>
        </is>
      </c>
      <c r="D6" s="171" t="inlineStr">
        <is>
          <t>🟢 Already automated</t>
        </is>
      </c>
      <c r="E6" s="171" t="inlineStr">
        <is>
          <t>test_olp_01_02_03</t>
        </is>
      </c>
      <c r="F6" s="171" t="inlineStr">
        <is>
          <t>Confirmed automated (pass 1)</t>
        </is>
      </c>
      <c r="G6" s="171" t="inlineStr">
        <is>
          <t>Already automated (n/a)</t>
        </is>
      </c>
    </row>
    <row r="7">
      <c r="A7" s="171" t="inlineStr">
        <is>
          <t>Opp_create_21</t>
        </is>
      </c>
      <c r="B7" s="171" t="inlineStr">
        <is>
          <t>Opportunity creation</t>
        </is>
      </c>
      <c r="C7" s="171" t="inlineStr">
        <is>
          <t>Verify user is able to land on the Budget page</t>
        </is>
      </c>
      <c r="D7" s="171" t="inlineStr">
        <is>
          <t>🟢 Already automated</t>
        </is>
      </c>
      <c r="E7" s="171" t="inlineStr">
        <is>
          <t>test_olp_01_02_03</t>
        </is>
      </c>
      <c r="F7" s="171" t="inlineStr">
        <is>
          <t>Confirmed automated (pass 1)</t>
        </is>
      </c>
      <c r="G7" s="171" t="inlineStr">
        <is>
          <t>Already automated (n/a)</t>
        </is>
      </c>
    </row>
    <row r="8">
      <c r="A8" s="171" t="inlineStr">
        <is>
          <t>Opp_create_28</t>
        </is>
      </c>
      <c r="B8" s="171" t="inlineStr">
        <is>
          <t>Opportunity creation</t>
        </is>
      </c>
      <c r="C8" s="171" t="inlineStr">
        <is>
          <t>Verify user is able to create the opportunity successfully</t>
        </is>
      </c>
      <c r="D8" s="171" t="inlineStr">
        <is>
          <t>🟢 Already automated</t>
        </is>
      </c>
      <c r="E8" s="171" t="inlineStr">
        <is>
          <t>test_olp_01_02_03</t>
        </is>
      </c>
      <c r="F8" s="171" t="inlineStr">
        <is>
          <t>Confirmed automated (pass 1)</t>
        </is>
      </c>
      <c r="G8" s="171" t="inlineStr">
        <is>
          <t>Already automated (n/a)</t>
        </is>
      </c>
    </row>
    <row r="9">
      <c r="A9" s="171" t="inlineStr">
        <is>
          <t>OLP_11</t>
        </is>
      </c>
      <c r="B9" s="171" t="inlineStr">
        <is>
          <t>Opportunity List page</t>
        </is>
      </c>
      <c r="C9" s="171" t="inlineStr">
        <is>
          <t>Verify "Status" field drop down contains: - Active - Ended - Inactive</t>
        </is>
      </c>
      <c r="D9" s="171" t="inlineStr">
        <is>
          <t>🟢 Already automated</t>
        </is>
      </c>
      <c r="E9" s="171" t="inlineStr">
        <is>
          <t>test_olp_11</t>
        </is>
      </c>
      <c r="F9" s="171" t="inlineStr">
        <is>
          <t>Confirmed automated (pass 1)</t>
        </is>
      </c>
      <c r="G9" s="171" t="inlineStr">
        <is>
          <t>Already automated (n/a)</t>
        </is>
      </c>
    </row>
    <row r="10">
      <c r="A10" s="171" t="inlineStr">
        <is>
          <t>OD_2</t>
        </is>
      </c>
      <c r="B10" s="171" t="inlineStr">
        <is>
          <t>Opportunity dashboard</t>
        </is>
      </c>
      <c r="C10" s="171" t="inlineStr">
        <is>
          <t>Confirm user can see the opportunity details on the dashboard page</t>
        </is>
      </c>
      <c r="D10" s="171" t="inlineStr">
        <is>
          <t>🟢 Already automated</t>
        </is>
      </c>
      <c r="E10" s="171" t="inlineStr">
        <is>
          <t>test_olp_04</t>
        </is>
      </c>
      <c r="F10" s="171" t="inlineStr">
        <is>
          <t>Confirmed automated (pass 1)</t>
        </is>
      </c>
      <c r="G10" s="171" t="inlineStr">
        <is>
          <t>Already automated (n/a)</t>
        </is>
      </c>
    </row>
    <row r="11">
      <c r="A11" s="171" t="inlineStr">
        <is>
          <t>OD_4</t>
        </is>
      </c>
      <c r="B11" s="171" t="inlineStr">
        <is>
          <t>Opportunity dashboard</t>
        </is>
      </c>
      <c r="C11" s="171" t="inlineStr">
        <is>
          <t>Verify user see the all the information related to the deliveries under "Service Deliveries" section</t>
        </is>
      </c>
      <c r="D11" s="171" t="inlineStr">
        <is>
          <t>🟢 Already automated</t>
        </is>
      </c>
      <c r="E11" s="171" t="inlineStr">
        <is>
          <t>test_olp_05</t>
        </is>
      </c>
      <c r="F11" s="171" t="inlineStr">
        <is>
          <t>Confirmed automated (pass 1)</t>
        </is>
      </c>
      <c r="G11" s="171" t="inlineStr">
        <is>
          <t>Already automated (n/a)</t>
        </is>
      </c>
    </row>
    <row r="12">
      <c r="A12" s="171" t="inlineStr">
        <is>
          <t>OD_5</t>
        </is>
      </c>
      <c r="B12" s="171" t="inlineStr">
        <is>
          <t>Opportunity dashboard</t>
        </is>
      </c>
      <c r="C12" s="171" t="inlineStr">
        <is>
          <t>Verify user can see all the payment related information under "Payments to Workers" section</t>
        </is>
      </c>
      <c r="D12" s="171" t="inlineStr">
        <is>
          <t>🟢 Already automated</t>
        </is>
      </c>
      <c r="E12" s="171" t="inlineStr">
        <is>
          <t>test_olp_06</t>
        </is>
      </c>
      <c r="F12" s="171" t="inlineStr">
        <is>
          <t>Confirmed automated (pass 1)</t>
        </is>
      </c>
      <c r="G12" s="171" t="inlineStr">
        <is>
          <t>Already automated (n/a)</t>
        </is>
      </c>
    </row>
    <row r="13">
      <c r="A13" s="171" t="inlineStr">
        <is>
          <t>OD_6</t>
        </is>
      </c>
      <c r="B13" s="171" t="inlineStr">
        <is>
          <t>Opportunity dashboard</t>
        </is>
      </c>
      <c r="C13" s="171" t="inlineStr">
        <is>
          <t>Confirm user can click on the hamburger option on the opportunity dashboard page and see different options</t>
        </is>
      </c>
      <c r="D13" s="171" t="inlineStr">
        <is>
          <t>🟢 Already automated</t>
        </is>
      </c>
      <c r="E13" s="171" t="inlineStr">
        <is>
          <t>test_olp_07</t>
        </is>
      </c>
      <c r="F13" s="171" t="inlineStr">
        <is>
          <t>Confirmed automated (pass 1)</t>
        </is>
      </c>
      <c r="G13" s="171" t="inlineStr">
        <is>
          <t>Already automated (n/a)</t>
        </is>
      </c>
    </row>
    <row r="14">
      <c r="A14" s="171" t="inlineStr">
        <is>
          <t>OD_7</t>
        </is>
      </c>
      <c r="B14" s="171" t="inlineStr">
        <is>
          <t>Opportunity dashboard</t>
        </is>
      </c>
      <c r="C14" s="171" t="inlineStr">
        <is>
          <t>Confirm user is taken to the verification flag on selecting "Verification Flags" option</t>
        </is>
      </c>
      <c r="D14" s="171" t="inlineStr">
        <is>
          <t>🟢 Already automated</t>
        </is>
      </c>
      <c r="E14" s="171" t="inlineStr">
        <is>
          <t>test_olp_08</t>
        </is>
      </c>
      <c r="F14" s="171" t="inlineStr">
        <is>
          <t>Confirmed automated (pass 1)</t>
        </is>
      </c>
      <c r="G14" s="171" t="inlineStr">
        <is>
          <t>Already automated (n/a)</t>
        </is>
      </c>
    </row>
    <row r="15">
      <c r="A15" s="171" t="inlineStr">
        <is>
          <t>OD_9</t>
        </is>
      </c>
      <c r="B15" s="171" t="inlineStr">
        <is>
          <t>Opportunity dashboard</t>
        </is>
      </c>
      <c r="C15" s="171" t="inlineStr">
        <is>
          <t>Confirm user is redirected to Add Workers page when they click on the Add Workers option</t>
        </is>
      </c>
      <c r="D15" s="171" t="inlineStr">
        <is>
          <t>🟢 Already automated</t>
        </is>
      </c>
      <c r="E15" s="171" t="inlineStr">
        <is>
          <t>test_olp_09</t>
        </is>
      </c>
      <c r="F15" s="171" t="inlineStr">
        <is>
          <t>Confirmed automated (pass 1)</t>
        </is>
      </c>
      <c r="G15" s="171" t="inlineStr">
        <is>
          <t>Already automated (n/a)</t>
        </is>
      </c>
    </row>
    <row r="16">
      <c r="A16" s="171" t="inlineStr">
        <is>
          <t>Connect_worker_01</t>
        </is>
      </c>
      <c r="B16" s="171" t="inlineStr">
        <is>
          <t>Connect workers page</t>
        </is>
      </c>
      <c r="C16" s="171" t="inlineStr">
        <is>
          <t>Confirm user is redirected to the Worker's List page on clicking click on ‘Connect Workers’</t>
        </is>
      </c>
      <c r="D16" s="171" t="inlineStr">
        <is>
          <t>🟢 Already automated</t>
        </is>
      </c>
      <c r="E16" s="171" t="inlineStr">
        <is>
          <t>test_worker_list_view_01_02_03 (headers only)</t>
        </is>
      </c>
      <c r="F16" s="171" t="inlineStr">
        <is>
          <t>Confirmed automated (pass 1)</t>
        </is>
      </c>
      <c r="G16" s="171" t="inlineStr">
        <is>
          <t>Already automated (n/a)</t>
        </is>
      </c>
    </row>
    <row r="17">
      <c r="A17" s="171" t="inlineStr">
        <is>
          <t>Connect_worker_07</t>
        </is>
      </c>
      <c r="B17" s="171" t="inlineStr">
        <is>
          <t>Connect workers page</t>
        </is>
      </c>
      <c r="C17" s="171" t="inlineStr">
        <is>
          <t>verify status is updated to "user suspended" when worker is suspended</t>
        </is>
      </c>
      <c r="D17" s="171" t="inlineStr">
        <is>
          <t>🟢 Already automated</t>
        </is>
      </c>
      <c r="E17" s="171" t="inlineStr">
        <is>
          <t>test_worker_visit_verification_page_03</t>
        </is>
      </c>
      <c r="F17" s="171" t="inlineStr">
        <is>
          <t>Confirmed automated (pass 1)</t>
        </is>
      </c>
      <c r="G17" s="171" t="inlineStr">
        <is>
          <t>Already automated (n/a)</t>
        </is>
      </c>
    </row>
    <row r="18">
      <c r="A18" s="171" t="inlineStr">
        <is>
          <t>Learn_tab_01</t>
        </is>
      </c>
      <c r="B18" s="171" t="inlineStr">
        <is>
          <t>Connect workers page</t>
        </is>
      </c>
      <c r="C18" s="171" t="inlineStr">
        <is>
          <t>Verify user can click on the Learn Tab, on the workers list page and see all the workers learn progress</t>
        </is>
      </c>
      <c r="D18" s="171" t="inlineStr">
        <is>
          <t>🟢 Already automated</t>
        </is>
      </c>
      <c r="E18" s="171" t="inlineStr">
        <is>
          <t>test_worker_list_view_01_02_03 (headers only)</t>
        </is>
      </c>
      <c r="F18" s="171" t="inlineStr">
        <is>
          <t>Confirmed automated (pass 1)</t>
        </is>
      </c>
      <c r="G18" s="171" t="inlineStr">
        <is>
          <t>Already automated (n/a)</t>
        </is>
      </c>
    </row>
    <row r="19">
      <c r="A19" s="171" t="inlineStr">
        <is>
          <t>Delivery_tab_01</t>
        </is>
      </c>
      <c r="B19" s="171" t="inlineStr">
        <is>
          <t>Connect workers page</t>
        </is>
      </c>
      <c r="C19" s="171" t="inlineStr">
        <is>
          <t>Verify user can access the delivery tab, with all the delivery information for an opportunity</t>
        </is>
      </c>
      <c r="D19" s="171" t="inlineStr">
        <is>
          <t>🟢 Already automated</t>
        </is>
      </c>
      <c r="E19" s="171" t="inlineStr">
        <is>
          <t>test_worker_list_view_01_02_03 (headers only)</t>
        </is>
      </c>
      <c r="F19" s="171" t="inlineStr">
        <is>
          <t>Confirmed automated (pass 1)</t>
        </is>
      </c>
      <c r="G19" s="171" t="inlineStr">
        <is>
          <t>Already automated (n/a)</t>
        </is>
      </c>
    </row>
    <row r="20">
      <c r="A20" s="171" t="inlineStr">
        <is>
          <t>Delivery_tab_02</t>
        </is>
      </c>
      <c r="B20" s="171" t="inlineStr">
        <is>
          <t>Connect workers page</t>
        </is>
      </c>
      <c r="C20" s="171" t="inlineStr">
        <is>
          <t>Verify user sees all the delivery details when they are on the delivery tab</t>
        </is>
      </c>
      <c r="D20" s="171" t="inlineStr">
        <is>
          <t>🟢 Already automated</t>
        </is>
      </c>
      <c r="E20" s="171" t="inlineStr">
        <is>
          <t>test_worker_list_view_01_02_03 (headers only)</t>
        </is>
      </c>
      <c r="F20" s="171" t="inlineStr">
        <is>
          <t>Confirmed automated (pass 1)</t>
        </is>
      </c>
      <c r="G20" s="171" t="inlineStr">
        <is>
          <t>Already automated (n/a)</t>
        </is>
      </c>
    </row>
    <row r="21">
      <c r="A21" s="171" t="inlineStr">
        <is>
          <t>Delivery_tab_03</t>
        </is>
      </c>
      <c r="B21" s="171" t="inlineStr">
        <is>
          <t>Connect workers page</t>
        </is>
      </c>
      <c r="C21" s="171" t="inlineStr">
        <is>
          <t>Ensure when user clicks on the number in the 'Delivered' column, they see a breakdown of the deliveries</t>
        </is>
      </c>
      <c r="D21" s="171" t="inlineStr">
        <is>
          <t>🟢 Already automated</t>
        </is>
      </c>
      <c r="E21" s="171" t="inlineStr">
        <is>
          <t>test_worker_list_view_04</t>
        </is>
      </c>
      <c r="F21" s="171" t="inlineStr">
        <is>
          <t>Confirmed automated (pass 1)</t>
        </is>
      </c>
      <c r="G21" s="171" t="inlineStr">
        <is>
          <t>Already automated (n/a)</t>
        </is>
      </c>
    </row>
    <row r="22">
      <c r="A22" s="171" t="inlineStr">
        <is>
          <t>Delivery_tab_05</t>
        </is>
      </c>
      <c r="B22" s="171" t="inlineStr">
        <is>
          <t>Connect workers page</t>
        </is>
      </c>
      <c r="C22" s="171" t="inlineStr">
        <is>
          <t>Confirm on clicking the number in 'Approved' column, users can see the breakdown of th deliveries</t>
        </is>
      </c>
      <c r="D22" s="171" t="inlineStr">
        <is>
          <t>🟢 Already automated</t>
        </is>
      </c>
      <c r="E22" s="171" t="inlineStr">
        <is>
          <t>test_worker_list_view_04</t>
        </is>
      </c>
      <c r="F22" s="171" t="inlineStr">
        <is>
          <t>Confirmed automated (pass 1)</t>
        </is>
      </c>
      <c r="G22" s="171" t="inlineStr">
        <is>
          <t>Already automated (n/a)</t>
        </is>
      </c>
    </row>
    <row r="23">
      <c r="A23" s="171" t="inlineStr">
        <is>
          <t>Delivery_tab_09</t>
        </is>
      </c>
      <c r="B23" s="171" t="inlineStr">
        <is>
          <t>Connect workers page</t>
        </is>
      </c>
      <c r="C23" s="171" t="inlineStr">
        <is>
          <t>Confirm on clicking the number in 'Rejected' column, users can see the breakdown of th deliveries</t>
        </is>
      </c>
      <c r="D23" s="171" t="inlineStr">
        <is>
          <t>🟢 Already automated</t>
        </is>
      </c>
      <c r="E23" s="171" t="inlineStr">
        <is>
          <t>test_worker_list_view_04</t>
        </is>
      </c>
      <c r="F23" s="171" t="inlineStr">
        <is>
          <t>Confirmed automated (pass 1)</t>
        </is>
      </c>
      <c r="G23" s="171" t="inlineStr">
        <is>
          <t>Already automated (n/a)</t>
        </is>
      </c>
    </row>
    <row r="24">
      <c r="A24" s="171" t="inlineStr">
        <is>
          <t>Payment Processing_1</t>
        </is>
      </c>
      <c r="B24" s="171" t="inlineStr">
        <is>
          <t>Connect workers page</t>
        </is>
      </c>
      <c r="C24" s="171" t="inlineStr">
        <is>
          <t>Confirm user sees all the payment info under "Payments" tab on the Workers List page</t>
        </is>
      </c>
      <c r="D24" s="171" t="inlineStr">
        <is>
          <t>🟢 Already automated</t>
        </is>
      </c>
      <c r="E24" s="171" t="inlineStr">
        <is>
          <t>test_payment_processing_01_02_03</t>
        </is>
      </c>
      <c r="F24" s="171" t="inlineStr">
        <is>
          <t>Confirmed automated (pass 1)</t>
        </is>
      </c>
      <c r="G24" s="171" t="inlineStr">
        <is>
          <t>Already automated (n/a)</t>
        </is>
      </c>
    </row>
    <row r="25">
      <c r="A25" s="171" t="inlineStr">
        <is>
          <t>Payment Processing_3</t>
        </is>
      </c>
      <c r="B25" s="171" t="inlineStr">
        <is>
          <t>Connect workers page</t>
        </is>
      </c>
      <c r="C25" s="171" t="inlineStr">
        <is>
          <t>User should be able to see the payment history by clicking the icon</t>
        </is>
      </c>
      <c r="D25" s="171" t="inlineStr">
        <is>
          <t>🟢 Already automated</t>
        </is>
      </c>
      <c r="E25" s="171" t="inlineStr">
        <is>
          <t>test_payment_processing_01_02_03</t>
        </is>
      </c>
      <c r="F25" s="171" t="inlineStr">
        <is>
          <t>Confirmed automated (pass 1)</t>
        </is>
      </c>
      <c r="G25" s="171" t="inlineStr">
        <is>
          <t>Already automated (n/a)</t>
        </is>
      </c>
    </row>
    <row r="26">
      <c r="A26" s="171" t="inlineStr">
        <is>
          <t>Payment Processing_4</t>
        </is>
      </c>
      <c r="B26" s="171" t="inlineStr">
        <is>
          <t>Connect workers page</t>
        </is>
      </c>
      <c r="C26" s="171" t="inlineStr">
        <is>
          <t>Confirm user can rollback a payment made to the worker</t>
        </is>
      </c>
      <c r="D26" s="171" t="inlineStr">
        <is>
          <t>🟢 Already automated</t>
        </is>
      </c>
      <c r="E26" s="171" t="inlineStr">
        <is>
          <t>test_payment_processing_01_02_03</t>
        </is>
      </c>
      <c r="F26" s="171" t="inlineStr">
        <is>
          <t>Confirmed automated (pass 1)</t>
        </is>
      </c>
      <c r="G26" s="171" t="inlineStr">
        <is>
          <t>Already automated (n/a)</t>
        </is>
      </c>
    </row>
    <row r="27">
      <c r="A27" s="171" t="inlineStr">
        <is>
          <t>Worker Visit Verification Page_1</t>
        </is>
      </c>
      <c r="B27" s="171" t="inlineStr">
        <is>
          <t>Visit verification page</t>
        </is>
      </c>
      <c r="C27" s="171" t="inlineStr">
        <is>
          <t>Confirm user lands on the Worker Visit Verification Page when they select a worker from the workers list page</t>
        </is>
      </c>
      <c r="D27" s="171" t="inlineStr">
        <is>
          <t>🟢 Already automated</t>
        </is>
      </c>
      <c r="E27" s="171" t="inlineStr">
        <is>
          <t>test_worker_visit_verification_page_01_02</t>
        </is>
      </c>
      <c r="F27" s="171" t="inlineStr">
        <is>
          <t>Confirmed automated (pass 1)</t>
        </is>
      </c>
      <c r="G27" s="171" t="inlineStr">
        <is>
          <t>Already automated (n/a)</t>
        </is>
      </c>
    </row>
    <row r="28">
      <c r="A28" s="171" t="inlineStr">
        <is>
          <t>Worker Visit Verification Page_4</t>
        </is>
      </c>
      <c r="B28" s="171" t="inlineStr">
        <is>
          <t>Visit verification page</t>
        </is>
      </c>
      <c r="C28" s="171" t="inlineStr">
        <is>
          <t>Confirm user is able to suspend users from an opportunity</t>
        </is>
      </c>
      <c r="D28" s="171" t="inlineStr">
        <is>
          <t>🟢 Already automated</t>
        </is>
      </c>
      <c r="E28" s="171" t="inlineStr">
        <is>
          <t>test_worker_visit_verification_page_03</t>
        </is>
      </c>
      <c r="F28" s="171" t="inlineStr">
        <is>
          <t>Confirmed automated (pass 1)</t>
        </is>
      </c>
      <c r="G28" s="171" t="inlineStr">
        <is>
          <t>Already automated (n/a)</t>
        </is>
      </c>
    </row>
    <row r="29">
      <c r="A29" s="171" t="inlineStr">
        <is>
          <t>Worker Visit Verification Page_32</t>
        </is>
      </c>
      <c r="B29" s="171" t="inlineStr">
        <is>
          <t>Visit verification page</t>
        </is>
      </c>
      <c r="C29" s="171" t="inlineStr">
        <is>
          <t>Verify user is able to approve the visits (NM user)</t>
        </is>
      </c>
      <c r="D29" s="171" t="inlineStr">
        <is>
          <t>🟢 Already automated</t>
        </is>
      </c>
      <c r="E29" s="171" t="inlineStr">
        <is>
          <t>test_worker_visit_verification_page_01_02 (bulk approve)</t>
        </is>
      </c>
      <c r="F29" s="171" t="inlineStr">
        <is>
          <t>Confirmed automated (pass 1)</t>
        </is>
      </c>
      <c r="G29" s="171" t="inlineStr">
        <is>
          <t>Already automated (n/a)</t>
        </is>
      </c>
    </row>
    <row r="30">
      <c r="A30" s="171" t="inlineStr">
        <is>
          <t>GAP-LOG-01</t>
        </is>
      </c>
      <c r="B30" s="171" t="inlineStr">
        <is>
          <t>Login page</t>
        </is>
      </c>
      <c r="C30" s="171" t="inlineStr">
        <is>
          <t>[Login 1] Verify user sees the username and password fields on the login page</t>
        </is>
      </c>
      <c r="D30" s="171" t="inlineStr">
        <is>
          <t>🟡 Automatable - not yet done</t>
        </is>
      </c>
      <c r="E30" s="171" t="inlineStr">
        <is>
          <t>Standard web UI flow - no spec asserts this case</t>
        </is>
      </c>
      <c r="F30" s="171" t="inlineStr">
        <is>
          <t>Pass 1: MTP vs test suite</t>
        </is>
      </c>
      <c r="G30" s="171" t="inlineStr">
        <is>
          <t>QA-owned (UI/e2e - eng cannot cover)</t>
        </is>
      </c>
    </row>
    <row r="31">
      <c r="A31" s="171" t="inlineStr">
        <is>
          <t>GAP-LOG-02</t>
        </is>
      </c>
      <c r="B31" s="171" t="inlineStr">
        <is>
          <t>Login page</t>
        </is>
      </c>
      <c r="C31" s="171" t="inlineStr">
        <is>
          <t>[Login 2] Verify the fields accept the correct inputs only</t>
        </is>
      </c>
      <c r="D31" s="171" t="inlineStr">
        <is>
          <t>🟡 Automatable - not yet done</t>
        </is>
      </c>
      <c r="E31" s="171" t="inlineStr">
        <is>
          <t>Standard web UI flow - no spec asserts this case</t>
        </is>
      </c>
      <c r="F31" s="171" t="inlineStr">
        <is>
          <t>Pass 1: MTP vs test suite</t>
        </is>
      </c>
      <c r="G31" s="171" t="inlineStr">
        <is>
          <t>QA-owned (UI/e2e - eng cannot cover)</t>
        </is>
      </c>
    </row>
    <row r="32">
      <c r="A32" s="171" t="inlineStr">
        <is>
          <t>GAP-LOG-03</t>
        </is>
      </c>
      <c r="B32" s="171" t="inlineStr">
        <is>
          <t>Login page</t>
        </is>
      </c>
      <c r="C32" s="171" t="inlineStr">
        <is>
          <t>[Login 3] Verify user can login by entering the correct credentials</t>
        </is>
      </c>
      <c r="D32" s="171" t="inlineStr">
        <is>
          <t>🟡 Automatable - not yet done</t>
        </is>
      </c>
      <c r="E32" s="171" t="inlineStr">
        <is>
          <t>Standard web UI flow - no spec asserts this case</t>
        </is>
      </c>
      <c r="F32" s="171" t="inlineStr">
        <is>
          <t>Pass 1: MTP vs test suite</t>
        </is>
      </c>
      <c r="G32" s="171" t="inlineStr">
        <is>
          <t>QA-owned (UI/e2e - eng cannot cover)</t>
        </is>
      </c>
    </row>
    <row r="33">
      <c r="A33" s="171" t="inlineStr">
        <is>
          <t>GAP-LOG-04</t>
        </is>
      </c>
      <c r="B33" s="171" t="inlineStr">
        <is>
          <t>Login page</t>
        </is>
      </c>
      <c r="C33" s="171" t="inlineStr">
        <is>
          <t>[Login 4] User should be able to login using CommCare HQ login option i.e. SSO</t>
        </is>
      </c>
      <c r="D33" s="171" t="inlineStr">
        <is>
          <t>🟡 Automatable - not yet done</t>
        </is>
      </c>
      <c r="E33" s="171" t="inlineStr">
        <is>
          <t>Standard web UI flow - no spec asserts this case</t>
        </is>
      </c>
      <c r="F33" s="171" t="inlineStr">
        <is>
          <t>Pass 1: MTP vs test suite</t>
        </is>
      </c>
      <c r="G33" s="171" t="inlineStr">
        <is>
          <t>QA-owned (UI/e2e - eng cannot cover)</t>
        </is>
      </c>
    </row>
    <row r="34">
      <c r="A34" s="171" t="inlineStr">
        <is>
          <t>GAP-LOG-05</t>
        </is>
      </c>
      <c r="B34" s="171" t="inlineStr">
        <is>
          <t>Login page</t>
        </is>
      </c>
      <c r="C34" s="171" t="inlineStr">
        <is>
          <t>[Login 5] Verify if the user see a sign-up option</t>
        </is>
      </c>
      <c r="D34" s="171" t="inlineStr">
        <is>
          <t>🟡 Automatable - not yet done</t>
        </is>
      </c>
      <c r="E34" s="171" t="inlineStr">
        <is>
          <t>Standard web UI flow - no spec asserts this case</t>
        </is>
      </c>
      <c r="F34" s="171" t="inlineStr">
        <is>
          <t>Pass 1: MTP vs test suite</t>
        </is>
      </c>
      <c r="G34" s="171" t="inlineStr">
        <is>
          <t>QA-owned (UI/e2e - eng cannot cover)</t>
        </is>
      </c>
    </row>
    <row r="35">
      <c r="A35" s="171" t="inlineStr">
        <is>
          <t>GAP-LOG-06</t>
        </is>
      </c>
      <c r="B35" s="171" t="inlineStr">
        <is>
          <t>Login page</t>
        </is>
      </c>
      <c r="C35" s="171" t="inlineStr">
        <is>
          <t>[Login 6] Ensure user is unable to login using the wrong credentials on the login page</t>
        </is>
      </c>
      <c r="D35" s="171" t="inlineStr">
        <is>
          <t>🟡 Automatable - not yet done</t>
        </is>
      </c>
      <c r="E35" s="171" t="inlineStr">
        <is>
          <t>Standard web UI flow - no spec asserts this case</t>
        </is>
      </c>
      <c r="F35" s="171" t="inlineStr">
        <is>
          <t>Pass 1: MTP vs test suite</t>
        </is>
      </c>
      <c r="G35" s="171" t="inlineStr">
        <is>
          <t>Partial - likely eng-covered (confirm w/ eng)</t>
        </is>
      </c>
    </row>
    <row r="36">
      <c r="A36" s="171" t="inlineStr">
        <is>
          <t>GAP-LOG-07</t>
        </is>
      </c>
      <c r="B36" s="171" t="inlineStr">
        <is>
          <t>Login page</t>
        </is>
      </c>
      <c r="C36" s="171" t="inlineStr">
        <is>
          <t>[Login 7] User should be prompted to login on HQ if they use Login via CommCare HQ option</t>
        </is>
      </c>
      <c r="D36" s="171" t="inlineStr">
        <is>
          <t>🟡 Automatable - not yet done</t>
        </is>
      </c>
      <c r="E36" s="171" t="inlineStr">
        <is>
          <t>Standard web UI flow - no spec asserts this case</t>
        </is>
      </c>
      <c r="F36" s="171" t="inlineStr">
        <is>
          <t>Pass 1: MTP vs test suite</t>
        </is>
      </c>
      <c r="G36" s="171" t="inlineStr">
        <is>
          <t>QA-owned (UI/e2e - eng cannot cover)</t>
        </is>
      </c>
    </row>
    <row r="37">
      <c r="A37" s="171" t="inlineStr">
        <is>
          <t>GAP-LOG-08</t>
        </is>
      </c>
      <c r="B37" s="171" t="inlineStr">
        <is>
          <t>Login page</t>
        </is>
      </c>
      <c r="C37" s="171" t="inlineStr">
        <is>
          <t>[Login 8] User should be able to reset password for their account</t>
        </is>
      </c>
      <c r="D37" s="171" t="inlineStr">
        <is>
          <t>🔴 Manual only</t>
        </is>
      </c>
      <c r="E37" s="171" t="inlineStr">
        <is>
          <t>Password reset requires email round-trip</t>
        </is>
      </c>
      <c r="F37" s="171" t="inlineStr">
        <is>
          <t>Pass 1: MTP vs test suite</t>
        </is>
      </c>
      <c r="G37" s="171" t="inlineStr">
        <is>
          <t>QA-owned (manual)</t>
        </is>
      </c>
    </row>
    <row r="38">
      <c r="A38" s="171" t="inlineStr">
        <is>
          <t>GAP-LOG-09</t>
        </is>
      </c>
      <c r="B38" s="171" t="inlineStr">
        <is>
          <t>Login page</t>
        </is>
      </c>
      <c r="C38" s="171" t="inlineStr">
        <is>
          <t>[Login 9] User should be able to login with the new password</t>
        </is>
      </c>
      <c r="D38" s="171" t="inlineStr">
        <is>
          <t>🔴 Manual only</t>
        </is>
      </c>
      <c r="E38" s="171" t="inlineStr">
        <is>
          <t>Depends on Login 8 email reset flow</t>
        </is>
      </c>
      <c r="F38" s="171" t="inlineStr">
        <is>
          <t>Pass 1: MTP vs test suite</t>
        </is>
      </c>
      <c r="G38" s="171" t="inlineStr">
        <is>
          <t>QA-owned (manual)</t>
        </is>
      </c>
    </row>
    <row r="39">
      <c r="A39" s="171" t="inlineStr">
        <is>
          <t>GAP-PLP-01</t>
        </is>
      </c>
      <c r="B39" s="171" t="inlineStr">
        <is>
          <t>Programs List page</t>
        </is>
      </c>
      <c r="C39" s="171" t="inlineStr">
        <is>
          <t>[PLP_01] Verify user is able to create new program</t>
        </is>
      </c>
      <c r="D39" s="171" t="inlineStr">
        <is>
          <t>🟡 Automatable - not yet done</t>
        </is>
      </c>
      <c r="E39" s="171" t="inlineStr">
        <is>
          <t>Standard web UI flow - no spec asserts this case</t>
        </is>
      </c>
      <c r="F39" s="171" t="inlineStr">
        <is>
          <t>Pass 1: MTP vs test suite</t>
        </is>
      </c>
      <c r="G39" s="171" t="inlineStr">
        <is>
          <t>QA-owned (UI/e2e - eng cannot cover)</t>
        </is>
      </c>
    </row>
    <row r="40">
      <c r="A40" s="171" t="inlineStr">
        <is>
          <t>GAP-PLP-02</t>
        </is>
      </c>
      <c r="B40" s="171" t="inlineStr">
        <is>
          <t>Programs List page</t>
        </is>
      </c>
      <c r="C40" s="171" t="inlineStr">
        <is>
          <t>[PLP_02] Confirm that the user is able to invite NMs to the program that they created</t>
        </is>
      </c>
      <c r="D40" s="171" t="inlineStr">
        <is>
          <t>🟡 Automatable - not yet done</t>
        </is>
      </c>
      <c r="E40" s="171" t="inlineStr">
        <is>
          <t>Standard web UI flow - no spec asserts this case</t>
        </is>
      </c>
      <c r="F40" s="171" t="inlineStr">
        <is>
          <t>Pass 1: MTP vs test suite</t>
        </is>
      </c>
      <c r="G40" s="171" t="inlineStr">
        <is>
          <t>QA-owned (UI/e2e - eng cannot cover)</t>
        </is>
      </c>
    </row>
    <row r="41">
      <c r="A41" s="171" t="inlineStr">
        <is>
          <t>GAP-PLP-03</t>
        </is>
      </c>
      <c r="B41" s="171" t="inlineStr">
        <is>
          <t>Programs List page</t>
        </is>
      </c>
      <c r="C41" s="171" t="inlineStr">
        <is>
          <t>[PLP_03] Confirm PM sees all the programs on the dashboard screen</t>
        </is>
      </c>
      <c r="D41" s="171" t="inlineStr">
        <is>
          <t>🟡 Automatable - not yet done</t>
        </is>
      </c>
      <c r="E41" s="171" t="inlineStr">
        <is>
          <t>Standard web UI flow - no spec asserts this case</t>
        </is>
      </c>
      <c r="F41" s="171" t="inlineStr">
        <is>
          <t>Pass 1: MTP vs test suite</t>
        </is>
      </c>
      <c r="G41" s="171" t="inlineStr">
        <is>
          <t>QA-owned (UI/e2e - eng cannot cover)</t>
        </is>
      </c>
    </row>
    <row r="42">
      <c r="A42" s="171" t="inlineStr">
        <is>
          <t>GAP-PLP-04</t>
        </is>
      </c>
      <c r="B42" s="171" t="inlineStr">
        <is>
          <t>Programs List page</t>
        </is>
      </c>
      <c r="C42" s="171" t="inlineStr">
        <is>
          <t>[PLP_04] Confirm user is able to select any of the programs from the list</t>
        </is>
      </c>
      <c r="D42" s="171" t="inlineStr">
        <is>
          <t>🟡 Automatable - not yet done</t>
        </is>
      </c>
      <c r="E42" s="171" t="inlineStr">
        <is>
          <t>Standard web UI flow - no spec asserts this case</t>
        </is>
      </c>
      <c r="F42" s="171" t="inlineStr">
        <is>
          <t>Pass 1: MTP vs test suite</t>
        </is>
      </c>
      <c r="G42" s="171" t="inlineStr">
        <is>
          <t>QA-owned (UI/e2e - eng cannot cover)</t>
        </is>
      </c>
    </row>
    <row r="43">
      <c r="A43" s="171" t="inlineStr">
        <is>
          <t>GAP-PLP-05</t>
        </is>
      </c>
      <c r="B43" s="171" t="inlineStr">
        <is>
          <t>Programs List page</t>
        </is>
      </c>
      <c r="C43" s="171" t="inlineStr">
        <is>
          <t>[PLP_08] Verify on landing the Program page, user is able work on the program</t>
        </is>
      </c>
      <c r="D43" s="171" t="inlineStr">
        <is>
          <t>🟡 Automatable - not yet done</t>
        </is>
      </c>
      <c r="E43" s="171" t="inlineStr">
        <is>
          <t>Standard web UI flow - no spec asserts this case</t>
        </is>
      </c>
      <c r="F43" s="171" t="inlineStr">
        <is>
          <t>Pass 1: MTP vs test suite</t>
        </is>
      </c>
      <c r="G43" s="171" t="inlineStr">
        <is>
          <t>QA-owned (UI/e2e - eng cannot cover)</t>
        </is>
      </c>
    </row>
    <row r="44">
      <c r="A44" s="171" t="inlineStr">
        <is>
          <t>GAP-PLP-06</t>
        </is>
      </c>
      <c r="B44" s="171" t="inlineStr">
        <is>
          <t>Programs List page</t>
        </is>
      </c>
      <c r="C44" s="171" t="inlineStr">
        <is>
          <t>[PLP_09] Verify on landing the Opportunity page, user is able check the performance of the program</t>
        </is>
      </c>
      <c r="D44" s="171" t="inlineStr">
        <is>
          <t>🟡 Automatable - not yet done</t>
        </is>
      </c>
      <c r="E44" s="171" t="inlineStr">
        <is>
          <t>Standard web UI flow - no spec asserts this case</t>
        </is>
      </c>
      <c r="F44" s="171" t="inlineStr">
        <is>
          <t>Pass 1: MTP vs test suite</t>
        </is>
      </c>
      <c r="G44" s="171" t="inlineStr">
        <is>
          <t>QA-owned (UI/e2e - eng cannot cover)</t>
        </is>
      </c>
    </row>
    <row r="45">
      <c r="A45" s="171" t="inlineStr">
        <is>
          <t>GAP-PLP-07</t>
        </is>
      </c>
      <c r="B45" s="171" t="inlineStr">
        <is>
          <t>Programs List page</t>
        </is>
      </c>
      <c r="C45" s="171" t="inlineStr">
        <is>
          <t>[PLP_10] Confirm user see following information for any program in the list  - Program Name - Program Manager Org Name -Delivery Type - Program Start Date - Program End Date - Status: Invited or Applied or Accepted</t>
        </is>
      </c>
      <c r="D45" s="171" t="inlineStr">
        <is>
          <t>🟡 Automatable - not yet done</t>
        </is>
      </c>
      <c r="E45" s="171" t="inlineStr">
        <is>
          <t>Standard web UI flow - no spec asserts this case</t>
        </is>
      </c>
      <c r="F45" s="171" t="inlineStr">
        <is>
          <t>Pass 1: MTP vs test suite</t>
        </is>
      </c>
      <c r="G45" s="171" t="inlineStr">
        <is>
          <t>QA-owned (UI/e2e - eng cannot cover)</t>
        </is>
      </c>
    </row>
    <row r="46">
      <c r="A46" s="171" t="inlineStr">
        <is>
          <t>GAP-PLP-08</t>
        </is>
      </c>
      <c r="B46" s="171" t="inlineStr">
        <is>
          <t>Programs List page</t>
        </is>
      </c>
      <c r="C46" s="171" t="inlineStr">
        <is>
          <t>[PLP_11] User should be able to click on "View Opportunities" button in a program to view opportunities</t>
        </is>
      </c>
      <c r="D46" s="171" t="inlineStr">
        <is>
          <t>🟡 Automatable - not yet done</t>
        </is>
      </c>
      <c r="E46" s="171" t="inlineStr">
        <is>
          <t>Standard web UI flow - no spec asserts this case</t>
        </is>
      </c>
      <c r="F46" s="171" t="inlineStr">
        <is>
          <t>Pass 1: MTP vs test suite</t>
        </is>
      </c>
      <c r="G46" s="171" t="inlineStr">
        <is>
          <t>QA-owned (UI/e2e - eng cannot cover)</t>
        </is>
      </c>
    </row>
    <row r="47">
      <c r="A47" s="171" t="inlineStr">
        <is>
          <t>GAP-PLP-09</t>
        </is>
      </c>
      <c r="B47" s="171" t="inlineStr">
        <is>
          <t>Programs List page</t>
        </is>
      </c>
      <c r="C47" s="171" t="inlineStr">
        <is>
          <t>[PLP_12] On the right panel, user should see the following three options  - Pending Review  - Pending Payment  - Inactive Workers</t>
        </is>
      </c>
      <c r="D47" s="171" t="inlineStr">
        <is>
          <t>🟡 Automatable - not yet done</t>
        </is>
      </c>
      <c r="E47" s="171" t="inlineStr">
        <is>
          <t>Standard web UI flow - no spec asserts this case</t>
        </is>
      </c>
      <c r="F47" s="171" t="inlineStr">
        <is>
          <t>Pass 1: MTP vs test suite</t>
        </is>
      </c>
      <c r="G47" s="171" t="inlineStr">
        <is>
          <t>QA-owned (UI/e2e - eng cannot cover)</t>
        </is>
      </c>
    </row>
    <row r="48">
      <c r="A48" s="171" t="inlineStr">
        <is>
          <t>GAP-PLP-10</t>
        </is>
      </c>
      <c r="B48" s="171" t="inlineStr">
        <is>
          <t>Programs List page</t>
        </is>
      </c>
      <c r="C48" s="171" t="inlineStr">
        <is>
          <t>[PLP_14] Verify when user clicks on 'Pending Payments', they see a list of opportunities with pending payments</t>
        </is>
      </c>
      <c r="D48" s="171" t="inlineStr">
        <is>
          <t>🟡 Automatable - not yet done</t>
        </is>
      </c>
      <c r="E48" s="171" t="inlineStr">
        <is>
          <t>Standard web UI flow - no spec asserts this case</t>
        </is>
      </c>
      <c r="F48" s="171" t="inlineStr">
        <is>
          <t>Pass 1: MTP vs test suite</t>
        </is>
      </c>
      <c r="G48" s="171" t="inlineStr">
        <is>
          <t>QA-owned (UI/e2e - eng cannot cover)</t>
        </is>
      </c>
    </row>
    <row r="49">
      <c r="A49" s="171" t="inlineStr">
        <is>
          <t>GAP-PLP-11</t>
        </is>
      </c>
      <c r="B49" s="171" t="inlineStr">
        <is>
          <t>Programs List page</t>
        </is>
      </c>
      <c r="C49" s="171" t="inlineStr">
        <is>
          <t>[PLP_15] Verify user can see all the workers who have not delivered any visits or not completed any learning in last 3 days when they click on Inactive Workers option</t>
        </is>
      </c>
      <c r="D49" s="171" t="inlineStr">
        <is>
          <t>🟡 Automatable - not yet done</t>
        </is>
      </c>
      <c r="E49" s="171" t="inlineStr">
        <is>
          <t>Standard web UI flow - no spec asserts this case</t>
        </is>
      </c>
      <c r="F49" s="171" t="inlineStr">
        <is>
          <t>Pass 1: MTP vs test suite</t>
        </is>
      </c>
      <c r="G49" s="171" t="inlineStr">
        <is>
          <t>QA-owned (UI/e2e - eng cannot cover)</t>
        </is>
      </c>
    </row>
    <row r="50">
      <c r="A50" s="171" t="inlineStr">
        <is>
          <t>GAP-PLP-12</t>
        </is>
      </c>
      <c r="B50" s="171" t="inlineStr">
        <is>
          <t>Programs List page</t>
        </is>
      </c>
      <c r="C50" s="171" t="inlineStr">
        <is>
          <t>[PLP_16] Confirm when user clicks on Apply button for any program, the PM can see the user have applied</t>
        </is>
      </c>
      <c r="D50" s="171" t="inlineStr">
        <is>
          <t>🟡 Automatable - not yet done</t>
        </is>
      </c>
      <c r="E50" s="171" t="inlineStr">
        <is>
          <t>Standard web UI flow - no spec asserts this case</t>
        </is>
      </c>
      <c r="F50" s="171" t="inlineStr">
        <is>
          <t>Pass 1: MTP vs test suite</t>
        </is>
      </c>
      <c r="G50" s="171" t="inlineStr">
        <is>
          <t>QA-owned (UI/e2e - eng cannot cover)</t>
        </is>
      </c>
    </row>
    <row r="51">
      <c r="A51" s="171" t="inlineStr">
        <is>
          <t>GAP-PLP-13</t>
        </is>
      </c>
      <c r="B51" s="171" t="inlineStr">
        <is>
          <t>Programs List page</t>
        </is>
      </c>
      <c r="C51" s="171" t="inlineStr">
        <is>
          <t>[PLP_17] Verify that the user can view opportunities associated with a specific NM user by clicking the 'View Opportunities' button on the Program List page. [PM user]</t>
        </is>
      </c>
      <c r="D51" s="171" t="inlineStr">
        <is>
          <t>🟡 Automatable - not yet done</t>
        </is>
      </c>
      <c r="E51" s="171" t="inlineStr">
        <is>
          <t>Standard web UI flow - no spec asserts this case</t>
        </is>
      </c>
      <c r="F51" s="171" t="inlineStr">
        <is>
          <t>Pass 1: MTP vs test suite</t>
        </is>
      </c>
      <c r="G51" s="171" t="inlineStr">
        <is>
          <t>QA-owned (UI/e2e - eng cannot cover)</t>
        </is>
      </c>
    </row>
    <row r="52">
      <c r="A52" s="171" t="inlineStr">
        <is>
          <t>GAP-OC-01</t>
        </is>
      </c>
      <c r="B52" s="171" t="inlineStr">
        <is>
          <t>Opportunity creation</t>
        </is>
      </c>
      <c r="C52" s="171" t="inlineStr">
        <is>
          <t>[Opp_create_01] Confirm user is not able to create an opportunity as NM user</t>
        </is>
      </c>
      <c r="D52" s="171" t="inlineStr">
        <is>
          <t>🟡 Automatable - not yet done</t>
        </is>
      </c>
      <c r="E52" s="171" t="inlineStr">
        <is>
          <t>Standard web UI flow - no spec asserts this case</t>
        </is>
      </c>
      <c r="F52" s="171" t="inlineStr">
        <is>
          <t>Pass 1: MTP vs test suite</t>
        </is>
      </c>
      <c r="G52" s="171" t="inlineStr">
        <is>
          <t>Partial - likely eng-covered (confirm w/ eng)</t>
        </is>
      </c>
    </row>
    <row r="53">
      <c r="A53" s="171" t="inlineStr">
        <is>
          <t>GAP-OC-02</t>
        </is>
      </c>
      <c r="B53" s="171" t="inlineStr">
        <is>
          <t>Opportunity creation</t>
        </is>
      </c>
      <c r="C53" s="171" t="inlineStr">
        <is>
          <t>[Opp_create_02] Verify user is not able to create non managed opp as PM user</t>
        </is>
      </c>
      <c r="D53" s="171" t="inlineStr">
        <is>
          <t>🟡 Automatable - not yet done</t>
        </is>
      </c>
      <c r="E53" s="171" t="inlineStr">
        <is>
          <t>Standard web UI flow - no spec asserts this case</t>
        </is>
      </c>
      <c r="F53" s="171" t="inlineStr">
        <is>
          <t>Pass 1: MTP vs test suite</t>
        </is>
      </c>
      <c r="G53" s="171" t="inlineStr">
        <is>
          <t>Partial - likely eng-covered (confirm w/ eng)</t>
        </is>
      </c>
    </row>
    <row r="54">
      <c r="A54" s="171" t="inlineStr">
        <is>
          <t>GAP-OC-03</t>
        </is>
      </c>
      <c r="B54" s="171" t="inlineStr">
        <is>
          <t>Opportunity creation</t>
        </is>
      </c>
      <c r="C54" s="171" t="inlineStr">
        <is>
          <t>[Opp_create_03] Verify all the non managed opp are linked to legacy test program</t>
        </is>
      </c>
      <c r="D54" s="171" t="inlineStr">
        <is>
          <t>🟡 Automatable - not yet done</t>
        </is>
      </c>
      <c r="E54" s="171" t="inlineStr">
        <is>
          <t>Standard web UI flow - no spec asserts this case</t>
        </is>
      </c>
      <c r="F54" s="171" t="inlineStr">
        <is>
          <t>Pass 1: MTP vs test suite</t>
        </is>
      </c>
      <c r="G54" s="171" t="inlineStr">
        <is>
          <t>QA-owned (UI/e2e - eng cannot cover)</t>
        </is>
      </c>
    </row>
    <row r="55">
      <c r="A55" s="171" t="inlineStr">
        <is>
          <t>GAP-OC-04</t>
        </is>
      </c>
      <c r="B55" s="171" t="inlineStr">
        <is>
          <t>Opportunity creation</t>
        </is>
      </c>
      <c r="C55" s="171" t="inlineStr">
        <is>
          <t>[Opp_create_06] Verify user can set Org Pay at the payment unit level.</t>
        </is>
      </c>
      <c r="D55" s="171" t="inlineStr">
        <is>
          <t>🟡 Automatable - not yet done</t>
        </is>
      </c>
      <c r="E55" s="171" t="inlineStr">
        <is>
          <t>Standard web UI flow - no spec asserts this case</t>
        </is>
      </c>
      <c r="F55" s="171" t="inlineStr">
        <is>
          <t>Pass 1: MTP vs test suite</t>
        </is>
      </c>
      <c r="G55" s="171" t="inlineStr">
        <is>
          <t>Partial - likely eng-covered (confirm w/ eng)</t>
        </is>
      </c>
    </row>
    <row r="56">
      <c r="A56" s="171" t="inlineStr">
        <is>
          <t>GAP-OC-05</t>
        </is>
      </c>
      <c r="B56" s="171" t="inlineStr">
        <is>
          <t>Opportunity creation</t>
        </is>
      </c>
      <c r="C56" s="171" t="inlineStr">
        <is>
          <t>[Opp_create_07] Verify Org Pay can be configured independently for each payment unit within the same opportunity.</t>
        </is>
      </c>
      <c r="D56" s="171" t="inlineStr">
        <is>
          <t>🟡 Automatable - not yet done</t>
        </is>
      </c>
      <c r="E56" s="171" t="inlineStr">
        <is>
          <t>Standard web UI flow - no spec asserts this case</t>
        </is>
      </c>
      <c r="F56" s="171" t="inlineStr">
        <is>
          <t>Pass 1: MTP vs test suite</t>
        </is>
      </c>
      <c r="G56" s="171" t="inlineStr">
        <is>
          <t>Partial - likely eng-covered (confirm w/ eng)</t>
        </is>
      </c>
    </row>
    <row r="57">
      <c r="A57" s="171" t="inlineStr">
        <is>
          <t>GAP-OC-06</t>
        </is>
      </c>
      <c r="B57" s="171" t="inlineStr">
        <is>
          <t>Opportunity creation</t>
        </is>
      </c>
      <c r="C57" s="171" t="inlineStr">
        <is>
          <t>[Opp_create_08] Verify editing Org Pay for one payment unit does not affect others.</t>
        </is>
      </c>
      <c r="D57" s="171" t="inlineStr">
        <is>
          <t>🟡 Automatable - not yet done</t>
        </is>
      </c>
      <c r="E57" s="171" t="inlineStr">
        <is>
          <t>Standard web UI flow - no spec asserts this case</t>
        </is>
      </c>
      <c r="F57" s="171" t="inlineStr">
        <is>
          <t>Pass 1: MTP vs test suite</t>
        </is>
      </c>
      <c r="G57" s="171" t="inlineStr">
        <is>
          <t>Partial - likely eng-covered (confirm w/ eng)</t>
        </is>
      </c>
    </row>
    <row r="58">
      <c r="A58" s="171" t="inlineStr">
        <is>
          <t>GAP-OC-07</t>
        </is>
      </c>
      <c r="B58" s="171" t="inlineStr">
        <is>
          <t>Opportunity creation</t>
        </is>
      </c>
      <c r="C58" s="171" t="inlineStr">
        <is>
          <t>[Opp_create_09] Verify payment units can be configured with 0 Org Pay</t>
        </is>
      </c>
      <c r="D58" s="171" t="inlineStr">
        <is>
          <t>🟡 Automatable - not yet done</t>
        </is>
      </c>
      <c r="E58" s="171" t="inlineStr">
        <is>
          <t>Standard web UI flow - no spec asserts this case</t>
        </is>
      </c>
      <c r="F58" s="171" t="inlineStr">
        <is>
          <t>Pass 1: MTP vs test suite</t>
        </is>
      </c>
      <c r="G58" s="171" t="inlineStr">
        <is>
          <t>Partial - likely eng-covered (confirm w/ eng)</t>
        </is>
      </c>
    </row>
    <row r="59">
      <c r="A59" s="171" t="inlineStr">
        <is>
          <t>GAP-OC-08</t>
        </is>
      </c>
      <c r="B59" s="171" t="inlineStr">
        <is>
          <t>Opportunity creation</t>
        </is>
      </c>
      <c r="C59" s="171" t="inlineStr">
        <is>
          <t>[Opp_create_10] Verify valid error message is displayed when decimal values are given in amount field</t>
        </is>
      </c>
      <c r="D59" s="171" t="inlineStr">
        <is>
          <t>🟡 Automatable - not yet done</t>
        </is>
      </c>
      <c r="E59" s="171" t="inlineStr">
        <is>
          <t>Standard web UI flow - no spec asserts this case</t>
        </is>
      </c>
      <c r="F59" s="171" t="inlineStr">
        <is>
          <t>Pass 1: MTP vs test suite</t>
        </is>
      </c>
      <c r="G59" s="171" t="inlineStr">
        <is>
          <t>Partial - likely eng-covered (confirm w/ eng)</t>
        </is>
      </c>
    </row>
    <row r="60">
      <c r="A60" s="171" t="inlineStr">
        <is>
          <t>GAP-OC-09</t>
        </is>
      </c>
      <c r="B60" s="171" t="inlineStr">
        <is>
          <t>Opportunity creation</t>
        </is>
      </c>
      <c r="C60" s="171" t="inlineStr">
        <is>
          <t>[Opp_create_11] Verify valid error message is displayed when long int values are entered</t>
        </is>
      </c>
      <c r="D60" s="171" t="inlineStr">
        <is>
          <t>🟡 Automatable - not yet done</t>
        </is>
      </c>
      <c r="E60" s="171" t="inlineStr">
        <is>
          <t>Standard web UI flow - no spec asserts this case</t>
        </is>
      </c>
      <c r="F60" s="171" t="inlineStr">
        <is>
          <t>Pass 1: MTP vs test suite</t>
        </is>
      </c>
      <c r="G60" s="171" t="inlineStr">
        <is>
          <t>Partial - likely eng-covered (confirm w/ eng)</t>
        </is>
      </c>
    </row>
    <row r="61">
      <c r="A61" s="171" t="inlineStr">
        <is>
          <t>GAP-OC-10</t>
        </is>
      </c>
      <c r="B61" s="171" t="inlineStr">
        <is>
          <t>Opportunity creation</t>
        </is>
      </c>
      <c r="C61" s="171" t="inlineStr">
        <is>
          <t>[Opp_create_12] Verify valid error message is displayed when negative values are entered</t>
        </is>
      </c>
      <c r="D61" s="171" t="inlineStr">
        <is>
          <t>🟡 Automatable - not yet done</t>
        </is>
      </c>
      <c r="E61" s="171" t="inlineStr">
        <is>
          <t>Standard web UI flow - no spec asserts this case</t>
        </is>
      </c>
      <c r="F61" s="171" t="inlineStr">
        <is>
          <t>Pass 1: MTP vs test suite</t>
        </is>
      </c>
      <c r="G61" s="171" t="inlineStr">
        <is>
          <t>Partial - likely eng-covered (confirm w/ eng)</t>
        </is>
      </c>
    </row>
    <row r="62">
      <c r="A62" s="171" t="inlineStr">
        <is>
          <t>GAP-OC-11</t>
        </is>
      </c>
      <c r="B62" s="171" t="inlineStr">
        <is>
          <t>Opportunity creation</t>
        </is>
      </c>
      <c r="C62" s="171" t="inlineStr">
        <is>
          <t>[Opp_create_13] Verify user can't enter the special characters in the field</t>
        </is>
      </c>
      <c r="D62" s="171" t="inlineStr">
        <is>
          <t>🟡 Automatable - not yet done</t>
        </is>
      </c>
      <c r="E62" s="171" t="inlineStr">
        <is>
          <t>Standard web UI flow - no spec asserts this case</t>
        </is>
      </c>
      <c r="F62" s="171" t="inlineStr">
        <is>
          <t>Pass 1: MTP vs test suite</t>
        </is>
      </c>
      <c r="G62" s="171" t="inlineStr">
        <is>
          <t>Partial - likely eng-covered (confirm w/ eng)</t>
        </is>
      </c>
    </row>
    <row r="63">
      <c r="A63" s="171" t="inlineStr">
        <is>
          <t>GAP-OC-12</t>
        </is>
      </c>
      <c r="B63" s="171" t="inlineStr">
        <is>
          <t>Opportunity creation</t>
        </is>
      </c>
      <c r="C63" s="171" t="inlineStr">
        <is>
          <t>[Opp_create_14] Verify total opportunity budget reflects the sum of Org Pay across all payment units.</t>
        </is>
      </c>
      <c r="D63" s="171" t="inlineStr">
        <is>
          <t>🟡 Automatable - not yet done</t>
        </is>
      </c>
      <c r="E63" s="171" t="inlineStr">
        <is>
          <t>Standard web UI flow - no spec asserts this case</t>
        </is>
      </c>
      <c r="F63" s="171" t="inlineStr">
        <is>
          <t>Pass 1: MTP vs test suite</t>
        </is>
      </c>
      <c r="G63" s="171" t="inlineStr">
        <is>
          <t>Partial - likely eng-covered (confirm w/ eng)</t>
        </is>
      </c>
    </row>
    <row r="64">
      <c r="A64" s="171" t="inlineStr">
        <is>
          <t>GAP-OC-13</t>
        </is>
      </c>
      <c r="B64" s="171" t="inlineStr">
        <is>
          <t>Opportunity creation</t>
        </is>
      </c>
      <c r="C64" s="171" t="inlineStr">
        <is>
          <t>[Opp_create_15] Verify recalculation happens correctly when Org Pay is updated</t>
        </is>
      </c>
      <c r="D64" s="171" t="inlineStr">
        <is>
          <t>🟡 Automatable - not yet done</t>
        </is>
      </c>
      <c r="E64" s="171" t="inlineStr">
        <is>
          <t>Standard web UI flow - no spec asserts this case</t>
        </is>
      </c>
      <c r="F64" s="171" t="inlineStr">
        <is>
          <t>Pass 1: MTP vs test suite</t>
        </is>
      </c>
      <c r="G64" s="171" t="inlineStr">
        <is>
          <t>Partial - likely eng-covered (confirm w/ eng)</t>
        </is>
      </c>
    </row>
    <row r="65">
      <c r="A65" s="171" t="inlineStr">
        <is>
          <t>GAP-OC-14</t>
        </is>
      </c>
      <c r="B65" s="171" t="inlineStr">
        <is>
          <t>Opportunity creation</t>
        </is>
      </c>
      <c r="C65" s="171" t="inlineStr">
        <is>
          <t>[Opp_create_16] Verify recalculation happens correctly when Payment units are added/edited</t>
        </is>
      </c>
      <c r="D65" s="171" t="inlineStr">
        <is>
          <t>🟡 Automatable - not yet done</t>
        </is>
      </c>
      <c r="E65" s="171" t="inlineStr">
        <is>
          <t>Standard web UI flow - no spec asserts this case</t>
        </is>
      </c>
      <c r="F65" s="171" t="inlineStr">
        <is>
          <t>Pass 1: MTP vs test suite</t>
        </is>
      </c>
      <c r="G65" s="171" t="inlineStr">
        <is>
          <t>Partial - likely eng-covered (confirm w/ eng)</t>
        </is>
      </c>
    </row>
    <row r="66">
      <c r="A66" s="171" t="inlineStr">
        <is>
          <t>GAP-OC-15</t>
        </is>
      </c>
      <c r="B66" s="171" t="inlineStr">
        <is>
          <t>Opportunity creation</t>
        </is>
      </c>
      <c r="C66" s="171" t="inlineStr">
        <is>
          <t>[Opp_create_17] Verify budget updates correctly for opportunities with multiple payment units.</t>
        </is>
      </c>
      <c r="D66" s="171" t="inlineStr">
        <is>
          <t>🟡 Automatable - not yet done</t>
        </is>
      </c>
      <c r="E66" s="171" t="inlineStr">
        <is>
          <t>Standard web UI flow - no spec asserts this case</t>
        </is>
      </c>
      <c r="F66" s="171" t="inlineStr">
        <is>
          <t>Pass 1: MTP vs test suite</t>
        </is>
      </c>
      <c r="G66" s="171" t="inlineStr">
        <is>
          <t>Partial - likely eng-covered (confirm w/ eng)</t>
        </is>
      </c>
    </row>
    <row r="67">
      <c r="A67" s="171" t="inlineStr">
        <is>
          <t>GAP-OC-16</t>
        </is>
      </c>
      <c r="B67" s="171" t="inlineStr">
        <is>
          <t>Opportunity creation</t>
        </is>
      </c>
      <c r="C67" s="171" t="inlineStr">
        <is>
          <t>[Opp_create_18] Verify org pay details are shown on the opportunity dashboard when clicking on payment units section</t>
        </is>
      </c>
      <c r="D67" s="171" t="inlineStr">
        <is>
          <t>🟡 Automatable - not yet done</t>
        </is>
      </c>
      <c r="E67" s="171" t="inlineStr">
        <is>
          <t>Standard web UI flow - no spec asserts this case</t>
        </is>
      </c>
      <c r="F67" s="171" t="inlineStr">
        <is>
          <t>Pass 1: MTP vs test suite</t>
        </is>
      </c>
      <c r="G67" s="171" t="inlineStr">
        <is>
          <t>Partial - likely eng-covered (confirm w/ eng)</t>
        </is>
      </c>
    </row>
    <row r="68">
      <c r="A68" s="171" t="inlineStr">
        <is>
          <t>GAP-OC-17</t>
        </is>
      </c>
      <c r="B68" s="171" t="inlineStr">
        <is>
          <t>Opportunity creation</t>
        </is>
      </c>
      <c r="C68" s="171" t="inlineStr">
        <is>
          <t>[Opp_create_19] Verify workers earn the correct amount based on the configured Pay</t>
        </is>
      </c>
      <c r="D68" s="171" t="inlineStr">
        <is>
          <t>🔴 Manual only</t>
        </is>
      </c>
      <c r="E68" s="171" t="inlineStr">
        <is>
          <t>Requires mobile form submissions (deliveries)</t>
        </is>
      </c>
      <c r="F68" s="171" t="inlineStr">
        <is>
          <t>Pass 1: MTP vs test suite</t>
        </is>
      </c>
      <c r="G68" s="171" t="inlineStr">
        <is>
          <t>QA-owned (manual)</t>
        </is>
      </c>
    </row>
    <row r="69">
      <c r="A69" s="171" t="inlineStr">
        <is>
          <t>GAP-OC-18</t>
        </is>
      </c>
      <c r="B69" s="171" t="inlineStr">
        <is>
          <t>Opportunity creation</t>
        </is>
      </c>
      <c r="C69" s="171" t="inlineStr">
        <is>
          <t>[Opp_create_20] Verify workers are paid the correct amount based on the configured Pay</t>
        </is>
      </c>
      <c r="D69" s="171" t="inlineStr">
        <is>
          <t>🔴 Manual only</t>
        </is>
      </c>
      <c r="E69" s="171" t="inlineStr">
        <is>
          <t>Requires mobile deliveries + payment verification</t>
        </is>
      </c>
      <c r="F69" s="171" t="inlineStr">
        <is>
          <t>Pass 1: MTP vs test suite</t>
        </is>
      </c>
      <c r="G69" s="171" t="inlineStr">
        <is>
          <t>QA-owned (manual)</t>
        </is>
      </c>
    </row>
    <row r="70">
      <c r="A70" s="171" t="inlineStr">
        <is>
          <t>GAP-OC-19</t>
        </is>
      </c>
      <c r="B70" s="171" t="inlineStr">
        <is>
          <t>Opportunity creation</t>
        </is>
      </c>
      <c r="C70" s="171" t="inlineStr">
        <is>
          <t>[Opp_create_22] Verify creating an opportunity by selecting the servers</t>
        </is>
      </c>
      <c r="D70" s="171" t="inlineStr">
        <is>
          <t>🟡 Automatable - not yet done</t>
        </is>
      </c>
      <c r="E70" s="171" t="inlineStr">
        <is>
          <t>Standard web UI flow - no spec asserts this case</t>
        </is>
      </c>
      <c r="F70" s="171" t="inlineStr">
        <is>
          <t>Pass 1: MTP vs test suite</t>
        </is>
      </c>
      <c r="G70" s="171" t="inlineStr">
        <is>
          <t>QA-owned (UI/e2e - eng cannot cover)</t>
        </is>
      </c>
    </row>
    <row r="71">
      <c r="A71" s="171" t="inlineStr">
        <is>
          <t>GAP-OC-20</t>
        </is>
      </c>
      <c r="B71" s="171" t="inlineStr">
        <is>
          <t>Opportunity creation</t>
        </is>
      </c>
      <c r="C71" s="171" t="inlineStr">
        <is>
          <t>[Opp_create_23] Verify creating a opportunity through Opportunities list page by selecting commcare hq(staging) server as the field value for Hq server field</t>
        </is>
      </c>
      <c r="D71" s="171" t="inlineStr">
        <is>
          <t>🟡 Automatable - not yet done</t>
        </is>
      </c>
      <c r="E71" s="171" t="inlineStr">
        <is>
          <t>Standard web UI flow - no spec asserts this case</t>
        </is>
      </c>
      <c r="F71" s="171" t="inlineStr">
        <is>
          <t>Pass 1: MTP vs test suite</t>
        </is>
      </c>
      <c r="G71" s="171" t="inlineStr">
        <is>
          <t>QA-owned (UI/e2e - eng cannot cover)</t>
        </is>
      </c>
    </row>
    <row r="72">
      <c r="A72" s="171" t="inlineStr">
        <is>
          <t>GAP-OC-21</t>
        </is>
      </c>
      <c r="B72" s="171" t="inlineStr">
        <is>
          <t>Opportunity creation</t>
        </is>
      </c>
      <c r="C72" s="171" t="inlineStr">
        <is>
          <t>[Opp_create_24] Verify creating a opportunity through Opportunities list page by selecting India CommcareHQ server as the field value for Hq server field</t>
        </is>
      </c>
      <c r="D72" s="171" t="inlineStr">
        <is>
          <t>🟡 Automatable - not yet done</t>
        </is>
      </c>
      <c r="E72" s="171" t="inlineStr">
        <is>
          <t>Standard web UI flow - no spec asserts this case</t>
        </is>
      </c>
      <c r="F72" s="171" t="inlineStr">
        <is>
          <t>Pass 1: MTP vs test suite</t>
        </is>
      </c>
      <c r="G72" s="171" t="inlineStr">
        <is>
          <t>QA-owned (UI/e2e - eng cannot cover)</t>
        </is>
      </c>
    </row>
    <row r="73">
      <c r="A73" s="171" t="inlineStr">
        <is>
          <t>GAP-OC-22</t>
        </is>
      </c>
      <c r="B73" s="171" t="inlineStr">
        <is>
          <t>Opportunity creation</t>
        </is>
      </c>
      <c r="C73" s="171" t="inlineStr">
        <is>
          <t>[Opp_create_25] Verify user should be able to see the domains related to the selected api</t>
        </is>
      </c>
      <c r="D73" s="171" t="inlineStr">
        <is>
          <t>🟡 Automatable - not yet done</t>
        </is>
      </c>
      <c r="E73" s="171" t="inlineStr">
        <is>
          <t>Standard web UI flow - no spec asserts this case</t>
        </is>
      </c>
      <c r="F73" s="171" t="inlineStr">
        <is>
          <t>Pass 1: MTP vs test suite</t>
        </is>
      </c>
      <c r="G73" s="171" t="inlineStr">
        <is>
          <t>QA-owned (UI/e2e - eng cannot cover)</t>
        </is>
      </c>
    </row>
    <row r="74">
      <c r="A74" s="171" t="inlineStr">
        <is>
          <t>GAP-OC-23</t>
        </is>
      </c>
      <c r="B74" s="171" t="inlineStr">
        <is>
          <t>Opportunity creation</t>
        </is>
      </c>
      <c r="C74" s="171" t="inlineStr">
        <is>
          <t>[Opp_create_26] Verify user should be able to see the apps that are related to the domain selected</t>
        </is>
      </c>
      <c r="D74" s="171" t="inlineStr">
        <is>
          <t>🟡 Automatable - not yet done</t>
        </is>
      </c>
      <c r="E74" s="171" t="inlineStr">
        <is>
          <t>Standard web UI flow - no spec asserts this case</t>
        </is>
      </c>
      <c r="F74" s="171" t="inlineStr">
        <is>
          <t>Pass 1: MTP vs test suite</t>
        </is>
      </c>
      <c r="G74" s="171" t="inlineStr">
        <is>
          <t>QA-owned (UI/e2e - eng cannot cover)</t>
        </is>
      </c>
    </row>
    <row r="75">
      <c r="A75" s="171" t="inlineStr">
        <is>
          <t>GAP-OC-24</t>
        </is>
      </c>
      <c r="B75" s="171" t="inlineStr">
        <is>
          <t>Opportunity creation</t>
        </is>
      </c>
      <c r="C75" s="171" t="inlineStr">
        <is>
          <t>[Opp_create_27] Verify we are able create manage creditals on CCC web UI</t>
        </is>
      </c>
      <c r="D75" s="171" t="inlineStr">
        <is>
          <t>🟡 Automatable - not yet done</t>
        </is>
      </c>
      <c r="E75" s="171" t="inlineStr">
        <is>
          <t>Standard web UI flow - no spec asserts this case</t>
        </is>
      </c>
      <c r="F75" s="171" t="inlineStr">
        <is>
          <t>Pass 1: MTP vs test suite</t>
        </is>
      </c>
      <c r="G75" s="171" t="inlineStr">
        <is>
          <t>QA-owned (UI/e2e - eng cannot cover)</t>
        </is>
      </c>
    </row>
    <row r="76">
      <c r="A76" s="171" t="inlineStr">
        <is>
          <t>GAP-OLP-01</t>
        </is>
      </c>
      <c r="B76" s="171" t="inlineStr">
        <is>
          <t>Opportunity List page</t>
        </is>
      </c>
      <c r="C76" s="171" t="inlineStr">
        <is>
          <t>[OLP_01] Confirm user lands on the Opportunity list page on successful login</t>
        </is>
      </c>
      <c r="D76" s="171" t="inlineStr">
        <is>
          <t>🟡 Automatable - not yet done</t>
        </is>
      </c>
      <c r="E76" s="171" t="inlineStr">
        <is>
          <t>Standard web UI flow - no spec asserts this case</t>
        </is>
      </c>
      <c r="F76" s="171" t="inlineStr">
        <is>
          <t>Pass 1: MTP vs test suite</t>
        </is>
      </c>
      <c r="G76" s="171" t="inlineStr">
        <is>
          <t>QA-owned (UI/e2e - eng cannot cover)</t>
        </is>
      </c>
    </row>
    <row r="77">
      <c r="A77" s="171" t="inlineStr">
        <is>
          <t>GAP-OLP-02</t>
        </is>
      </c>
      <c r="B77" s="171" t="inlineStr">
        <is>
          <t>Opportunity List page</t>
        </is>
      </c>
      <c r="C77" s="171" t="inlineStr">
        <is>
          <t>[OLP_02] Confirm user is not able to create an opportunity as NM user</t>
        </is>
      </c>
      <c r="D77" s="171" t="inlineStr">
        <is>
          <t>🟡 Automatable - not yet done</t>
        </is>
      </c>
      <c r="E77" s="171" t="inlineStr">
        <is>
          <t>Standard web UI flow - no spec asserts this case</t>
        </is>
      </c>
      <c r="F77" s="171" t="inlineStr">
        <is>
          <t>Pass 1: MTP vs test suite</t>
        </is>
      </c>
      <c r="G77" s="171" t="inlineStr">
        <is>
          <t>Partial - likely eng-covered (confirm w/ eng)</t>
        </is>
      </c>
    </row>
    <row r="78">
      <c r="A78" s="171" t="inlineStr">
        <is>
          <t>GAP-OLP-03</t>
        </is>
      </c>
      <c r="B78" s="171" t="inlineStr">
        <is>
          <t>Opportunity List page</t>
        </is>
      </c>
      <c r="C78" s="171" t="inlineStr">
        <is>
          <t>[OLP_04] User should be able to land on the Opportunity list page when they select the option from the right pane</t>
        </is>
      </c>
      <c r="D78" s="171" t="inlineStr">
        <is>
          <t>🟡 Automatable - not yet done</t>
        </is>
      </c>
      <c r="E78" s="171" t="inlineStr">
        <is>
          <t>Standard web UI flow - no spec asserts this case</t>
        </is>
      </c>
      <c r="F78" s="171" t="inlineStr">
        <is>
          <t>Pass 1: MTP vs test suite</t>
        </is>
      </c>
      <c r="G78" s="171" t="inlineStr">
        <is>
          <t>QA-owned (UI/e2e - eng cannot cover)</t>
        </is>
      </c>
    </row>
    <row r="79">
      <c r="A79" s="171" t="inlineStr">
        <is>
          <t>GAP-OLP-04</t>
        </is>
      </c>
      <c r="B79" s="171" t="inlineStr">
        <is>
          <t>Opportunity List page</t>
        </is>
      </c>
      <c r="C79" s="171" t="inlineStr">
        <is>
          <t>[OLP_05] User should see the following information for any opportunity on the page when login with network manager  - Test or Real - Status  - Program Name  - Start &amp; End Date  - Pending Invites  - Inactive connect workers - Pending Approvals  - Payment Due</t>
        </is>
      </c>
      <c r="D79" s="171" t="inlineStr">
        <is>
          <t>🟡 Automatable - not yet done</t>
        </is>
      </c>
      <c r="E79" s="171" t="inlineStr">
        <is>
          <t>Standard web UI flow - no spec asserts this case</t>
        </is>
      </c>
      <c r="F79" s="171" t="inlineStr">
        <is>
          <t>Pass 1: MTP vs test suite</t>
        </is>
      </c>
      <c r="G79" s="171" t="inlineStr">
        <is>
          <t>QA-owned (UI/e2e - eng cannot cover)</t>
        </is>
      </c>
    </row>
    <row r="80">
      <c r="A80" s="171" t="inlineStr">
        <is>
          <t>GAP-OLP-05</t>
        </is>
      </c>
      <c r="B80" s="171" t="inlineStr">
        <is>
          <t>Opportunity List page</t>
        </is>
      </c>
      <c r="C80" s="171" t="inlineStr">
        <is>
          <t>[OLP_06] Confirm user can filter the opportunities on the basis of Status</t>
        </is>
      </c>
      <c r="D80" s="171" t="inlineStr">
        <is>
          <t>🟡 Automatable - not yet done</t>
        </is>
      </c>
      <c r="E80" s="171" t="inlineStr">
        <is>
          <t>Standard web UI flow - no spec asserts this case</t>
        </is>
      </c>
      <c r="F80" s="171" t="inlineStr">
        <is>
          <t>Pass 1: MTP vs test suite</t>
        </is>
      </c>
      <c r="G80" s="171" t="inlineStr">
        <is>
          <t>QA-owned (UI/e2e - eng cannot cover)</t>
        </is>
      </c>
    </row>
    <row r="81">
      <c r="A81" s="171" t="inlineStr">
        <is>
          <t>GAP-OLP-06</t>
        </is>
      </c>
      <c r="B81" s="171" t="inlineStr">
        <is>
          <t>Opportunity List page</t>
        </is>
      </c>
      <c r="C81" s="171" t="inlineStr">
        <is>
          <t>[OLP_07] Confirm user is able to navigate to different pages using the pagination</t>
        </is>
      </c>
      <c r="D81" s="171" t="inlineStr">
        <is>
          <t>🟡 Automatable - not yet done</t>
        </is>
      </c>
      <c r="E81" s="171" t="inlineStr">
        <is>
          <t>Standard web UI flow - no spec asserts this case</t>
        </is>
      </c>
      <c r="F81" s="171" t="inlineStr">
        <is>
          <t>Pass 1: MTP vs test suite</t>
        </is>
      </c>
      <c r="G81" s="171" t="inlineStr">
        <is>
          <t>QA-owned (UI/e2e - eng cannot cover)</t>
        </is>
      </c>
    </row>
    <row r="82">
      <c r="A82" s="171" t="inlineStr">
        <is>
          <t>GAP-OLP-07</t>
        </is>
      </c>
      <c r="B82" s="171" t="inlineStr">
        <is>
          <t>Opportunity List page</t>
        </is>
      </c>
      <c r="C82" s="171" t="inlineStr">
        <is>
          <t>[OLP_08] Confirm users can land on the opportunity page, if they select any opportunity from the list</t>
        </is>
      </c>
      <c r="D82" s="171" t="inlineStr">
        <is>
          <t>🟡 Automatable - not yet done</t>
        </is>
      </c>
      <c r="E82" s="171" t="inlineStr">
        <is>
          <t>Standard web UI flow - no spec asserts this case</t>
        </is>
      </c>
      <c r="F82" s="171" t="inlineStr">
        <is>
          <t>Pass 1: MTP vs test suite</t>
        </is>
      </c>
      <c r="G82" s="171" t="inlineStr">
        <is>
          <t>QA-owned (UI/e2e - eng cannot cover)</t>
        </is>
      </c>
    </row>
    <row r="83">
      <c r="A83" s="171" t="inlineStr">
        <is>
          <t>GAP-OLP-08</t>
        </is>
      </c>
      <c r="B83" s="171" t="inlineStr">
        <is>
          <t>Opportunity List page</t>
        </is>
      </c>
      <c r="C83" s="171" t="inlineStr">
        <is>
          <t>[OLP_09] Verify Filters pop up modal is displayed by clicking on the filters icon on opp list page</t>
        </is>
      </c>
      <c r="D83" s="171" t="inlineStr">
        <is>
          <t>🟡 Automatable - not yet done</t>
        </is>
      </c>
      <c r="E83" s="171" t="inlineStr">
        <is>
          <t>Standard web UI flow - no spec asserts this case</t>
        </is>
      </c>
      <c r="F83" s="171" t="inlineStr">
        <is>
          <t>Pass 1: MTP vs test suite</t>
        </is>
      </c>
      <c r="G83" s="171" t="inlineStr">
        <is>
          <t>QA-owned (UI/e2e - eng cannot cover)</t>
        </is>
      </c>
    </row>
    <row r="84">
      <c r="A84" s="171" t="inlineStr">
        <is>
          <t>GAP-OLP-09</t>
        </is>
      </c>
      <c r="B84" s="171" t="inlineStr">
        <is>
          <t>Opportunity List page</t>
        </is>
      </c>
      <c r="C84" s="171" t="inlineStr">
        <is>
          <t>[OLP_10] Verify "Is test" field drop down contains: - Yes - No</t>
        </is>
      </c>
      <c r="D84" s="171" t="inlineStr">
        <is>
          <t>🟡 Automatable - not yet done</t>
        </is>
      </c>
      <c r="E84" s="171" t="inlineStr">
        <is>
          <t>Standard web UI flow - no spec asserts this case</t>
        </is>
      </c>
      <c r="F84" s="171" t="inlineStr">
        <is>
          <t>Pass 1: MTP vs test suite</t>
        </is>
      </c>
      <c r="G84" s="171" t="inlineStr">
        <is>
          <t>QA-owned (UI/e2e - eng cannot cover)</t>
        </is>
      </c>
    </row>
    <row r="85">
      <c r="A85" s="171" t="inlineStr">
        <is>
          <t>GAP-OLP-10</t>
        </is>
      </c>
      <c r="B85" s="171" t="inlineStr">
        <is>
          <t>Opportunity List page</t>
        </is>
      </c>
      <c r="C85" s="171" t="inlineStr">
        <is>
          <t>[OLP_12] Verify "Program" field drop down contains list of all programs [PM user]</t>
        </is>
      </c>
      <c r="D85" s="171" t="inlineStr">
        <is>
          <t>🟡 Automatable - not yet done</t>
        </is>
      </c>
      <c r="E85" s="171" t="inlineStr">
        <is>
          <t>Standard web UI flow - no spec asserts this case</t>
        </is>
      </c>
      <c r="F85" s="171" t="inlineStr">
        <is>
          <t>Pass 1: MTP vs test suite</t>
        </is>
      </c>
      <c r="G85" s="171" t="inlineStr">
        <is>
          <t>QA-owned (UI/e2e - eng cannot cover)</t>
        </is>
      </c>
    </row>
    <row r="86">
      <c r="A86" s="171" t="inlineStr">
        <is>
          <t>GAP-OLP-11</t>
        </is>
      </c>
      <c r="B86" s="171" t="inlineStr">
        <is>
          <t>Opportunity List page</t>
        </is>
      </c>
      <c r="C86" s="171" t="inlineStr">
        <is>
          <t>[OLP_13] Verify on the clicking on apply button, filters are applied</t>
        </is>
      </c>
      <c r="D86" s="171" t="inlineStr">
        <is>
          <t>🟡 Automatable - not yet done</t>
        </is>
      </c>
      <c r="E86" s="171" t="inlineStr">
        <is>
          <t>Standard web UI flow - no spec asserts this case</t>
        </is>
      </c>
      <c r="F86" s="171" t="inlineStr">
        <is>
          <t>Pass 1: MTP vs test suite</t>
        </is>
      </c>
      <c r="G86" s="171" t="inlineStr">
        <is>
          <t>QA-owned (UI/e2e - eng cannot cover)</t>
        </is>
      </c>
    </row>
    <row r="87">
      <c r="A87" s="171" t="inlineStr">
        <is>
          <t>GAP-OLP-12</t>
        </is>
      </c>
      <c r="B87" s="171" t="inlineStr">
        <is>
          <t>Opportunity List page</t>
        </is>
      </c>
      <c r="C87" s="171" t="inlineStr">
        <is>
          <t>[OLP_14] Verify user is able to select multiple options in status fileld</t>
        </is>
      </c>
      <c r="D87" s="171" t="inlineStr">
        <is>
          <t>🟡 Automatable - not yet done</t>
        </is>
      </c>
      <c r="E87" s="171" t="inlineStr">
        <is>
          <t>Standard web UI flow - no spec asserts this case</t>
        </is>
      </c>
      <c r="F87" s="171" t="inlineStr">
        <is>
          <t>Pass 1: MTP vs test suite</t>
        </is>
      </c>
      <c r="G87" s="171" t="inlineStr">
        <is>
          <t>QA-owned (UI/e2e - eng cannot cover)</t>
        </is>
      </c>
    </row>
    <row r="88">
      <c r="A88" s="171" t="inlineStr">
        <is>
          <t>GAP-OLP-13</t>
        </is>
      </c>
      <c r="B88" s="171" t="inlineStr">
        <is>
          <t>Opportunity List page</t>
        </is>
      </c>
      <c r="C88" s="171" t="inlineStr">
        <is>
          <t>[OLP_15] Verify user is able to select multiple options in programs filed[PM user]</t>
        </is>
      </c>
      <c r="D88" s="171" t="inlineStr">
        <is>
          <t>🟡 Automatable - not yet done</t>
        </is>
      </c>
      <c r="E88" s="171" t="inlineStr">
        <is>
          <t>Standard web UI flow - no spec asserts this case</t>
        </is>
      </c>
      <c r="F88" s="171" t="inlineStr">
        <is>
          <t>Pass 1: MTP vs test suite</t>
        </is>
      </c>
      <c r="G88" s="171" t="inlineStr">
        <is>
          <t>QA-owned (UI/e2e - eng cannot cover)</t>
        </is>
      </c>
    </row>
    <row r="89">
      <c r="A89" s="171" t="inlineStr">
        <is>
          <t>GAP-OLP-14</t>
        </is>
      </c>
      <c r="B89" s="171" t="inlineStr">
        <is>
          <t>Opportunity List page</t>
        </is>
      </c>
      <c r="C89" s="171" t="inlineStr">
        <is>
          <t>[OLP_16] Verify Navigating away and back to a page should preserve the filters applied on the page</t>
        </is>
      </c>
      <c r="D89" s="171" t="inlineStr">
        <is>
          <t>🟡 Automatable - not yet done</t>
        </is>
      </c>
      <c r="E89" s="171" t="inlineStr">
        <is>
          <t>Standard web UI flow - no spec asserts this case</t>
        </is>
      </c>
      <c r="F89" s="171" t="inlineStr">
        <is>
          <t>Pass 1: MTP vs test suite</t>
        </is>
      </c>
      <c r="G89" s="171" t="inlineStr">
        <is>
          <t>QA-owned (UI/e2e - eng cannot cover)</t>
        </is>
      </c>
    </row>
    <row r="90">
      <c r="A90" s="171" t="inlineStr">
        <is>
          <t>GAP-OLP-15</t>
        </is>
      </c>
      <c r="B90" s="171" t="inlineStr">
        <is>
          <t>Opportunity List page</t>
        </is>
      </c>
      <c r="C90" s="171" t="inlineStr">
        <is>
          <t>[OLP_17] Verify user is able to see the following  buttons by clicking on the three dots at the end of opportunity details - "view opportunites"  - "view connect workers"  - View Invoices</t>
        </is>
      </c>
      <c r="D90" s="171" t="inlineStr">
        <is>
          <t>🟡 Automatable - not yet done</t>
        </is>
      </c>
      <c r="E90" s="171" t="inlineStr">
        <is>
          <t>Standard web UI flow - no spec asserts this case</t>
        </is>
      </c>
      <c r="F90" s="171" t="inlineStr">
        <is>
          <t>Pass 1: MTP vs test suite</t>
        </is>
      </c>
      <c r="G90" s="171" t="inlineStr">
        <is>
          <t>QA-owned (UI/e2e - eng cannot cover)</t>
        </is>
      </c>
    </row>
    <row r="91">
      <c r="A91" s="171" t="inlineStr">
        <is>
          <t>GAP-OLP-16</t>
        </is>
      </c>
      <c r="B91" s="171" t="inlineStr">
        <is>
          <t>Opportunity List page</t>
        </is>
      </c>
      <c r="C91" s="171" t="inlineStr">
        <is>
          <t>[OLP_18] Verify user is able to land on the opportunity dashboard by clicking on the "view opportunity" button</t>
        </is>
      </c>
      <c r="D91" s="171" t="inlineStr">
        <is>
          <t>🟡 Automatable - not yet done</t>
        </is>
      </c>
      <c r="E91" s="171" t="inlineStr">
        <is>
          <t>Standard web UI flow - no spec asserts this case</t>
        </is>
      </c>
      <c r="F91" s="171" t="inlineStr">
        <is>
          <t>Pass 1: MTP vs test suite</t>
        </is>
      </c>
      <c r="G91" s="171" t="inlineStr">
        <is>
          <t>QA-owned (UI/e2e - eng cannot cover)</t>
        </is>
      </c>
    </row>
    <row r="92">
      <c r="A92" s="171" t="inlineStr">
        <is>
          <t>GAP-OLP-17</t>
        </is>
      </c>
      <c r="B92" s="171" t="inlineStr">
        <is>
          <t>Opportunity List page</t>
        </is>
      </c>
      <c r="C92" s="171" t="inlineStr">
        <is>
          <t>[OLP_19] Verify user is able to land on the connect workers by cliicking on the "view connect workers" button</t>
        </is>
      </c>
      <c r="D92" s="171" t="inlineStr">
        <is>
          <t>🟡 Automatable - not yet done</t>
        </is>
      </c>
      <c r="E92" s="171" t="inlineStr">
        <is>
          <t>Standard web UI flow - no spec asserts this case</t>
        </is>
      </c>
      <c r="F92" s="171" t="inlineStr">
        <is>
          <t>Pass 1: MTP vs test suite</t>
        </is>
      </c>
      <c r="G92" s="171" t="inlineStr">
        <is>
          <t>QA-owned (UI/e2e - eng cannot cover)</t>
        </is>
      </c>
    </row>
    <row r="93">
      <c r="A93" s="171" t="inlineStr">
        <is>
          <t>GAP-OLP-18</t>
        </is>
      </c>
      <c r="B93" s="171" t="inlineStr">
        <is>
          <t>Opportunity List page</t>
        </is>
      </c>
      <c r="C93" s="171" t="inlineStr">
        <is>
          <t>[OLP_20] Verify user is able to land on the invoices page by cliicking on the "view invoices" button</t>
        </is>
      </c>
      <c r="D93" s="171" t="inlineStr">
        <is>
          <t>🟡 Automatable - not yet done</t>
        </is>
      </c>
      <c r="E93" s="171" t="inlineStr">
        <is>
          <t>Standard web UI flow - no spec asserts this case</t>
        </is>
      </c>
      <c r="F93" s="171" t="inlineStr">
        <is>
          <t>Pass 1: MTP vs test suite</t>
        </is>
      </c>
      <c r="G93" s="171" t="inlineStr">
        <is>
          <t>QA-owned (UI/e2e - eng cannot cover)</t>
        </is>
      </c>
    </row>
    <row r="94">
      <c r="A94" s="171" t="inlineStr">
        <is>
          <t>GAP-OLP-19</t>
        </is>
      </c>
      <c r="B94" s="171" t="inlineStr">
        <is>
          <t>Opportunity List page</t>
        </is>
      </c>
      <c r="C94" s="171" t="inlineStr">
        <is>
          <t>[OLP_22] Ensure that all filter combinations are applied simultaneously and function correctly.</t>
        </is>
      </c>
      <c r="D94" s="171" t="inlineStr">
        <is>
          <t>🟡 Automatable - not yet done</t>
        </is>
      </c>
      <c r="E94" s="171" t="inlineStr">
        <is>
          <t>Standard web UI flow - no spec asserts this case</t>
        </is>
      </c>
      <c r="F94" s="171" t="inlineStr">
        <is>
          <t>Pass 1: MTP vs test suite</t>
        </is>
      </c>
      <c r="G94" s="171" t="inlineStr">
        <is>
          <t>QA-owned (UI/e2e - eng cannot cover)</t>
        </is>
      </c>
    </row>
    <row r="95">
      <c r="A95" s="171" t="inlineStr">
        <is>
          <t>GAP-OLP-20</t>
        </is>
      </c>
      <c r="B95" s="171" t="inlineStr">
        <is>
          <t>Opportunity List page</t>
        </is>
      </c>
      <c r="C95" s="171" t="inlineStr">
        <is>
          <t>[OLP_23] Verify when user click on the number under "pending invites" column, user should land on the connect workers page [NM user]</t>
        </is>
      </c>
      <c r="D95" s="171" t="inlineStr">
        <is>
          <t>🟡 Automatable - not yet done</t>
        </is>
      </c>
      <c r="E95" s="171" t="inlineStr">
        <is>
          <t>Standard web UI flow - no spec asserts this case</t>
        </is>
      </c>
      <c r="F95" s="171" t="inlineStr">
        <is>
          <t>Pass 1: MTP vs test suite</t>
        </is>
      </c>
      <c r="G95" s="171" t="inlineStr">
        <is>
          <t>QA-owned (UI/e2e - eng cannot cover)</t>
        </is>
      </c>
    </row>
    <row r="96">
      <c r="A96" s="171" t="inlineStr">
        <is>
          <t>GAP-OLP-21</t>
        </is>
      </c>
      <c r="B96" s="171" t="inlineStr">
        <is>
          <t>Opportunity List page</t>
        </is>
      </c>
      <c r="C96" s="171" t="inlineStr">
        <is>
          <t>[OLP_24] Verify when user click on the number under "Inactive workers" column, user should land on the connect workers page [NM user]</t>
        </is>
      </c>
      <c r="D96" s="171" t="inlineStr">
        <is>
          <t>🟡 Automatable - not yet done</t>
        </is>
      </c>
      <c r="E96" s="171" t="inlineStr">
        <is>
          <t>Standard web UI flow - no spec asserts this case</t>
        </is>
      </c>
      <c r="F96" s="171" t="inlineStr">
        <is>
          <t>Pass 1: MTP vs test suite</t>
        </is>
      </c>
      <c r="G96" s="171" t="inlineStr">
        <is>
          <t>QA-owned (UI/e2e - eng cannot cover)</t>
        </is>
      </c>
    </row>
    <row r="97">
      <c r="A97" s="171" t="inlineStr">
        <is>
          <t>GAP-OLP-22</t>
        </is>
      </c>
      <c r="B97" s="171" t="inlineStr">
        <is>
          <t>Opportunity List page</t>
        </is>
      </c>
      <c r="C97" s="171" t="inlineStr">
        <is>
          <t>[OLP_26] Verify when user click on the amount under "payments due" column, user should land on the payments tab [NM user]</t>
        </is>
      </c>
      <c r="D97" s="171" t="inlineStr">
        <is>
          <t>🟡 Automatable - not yet done</t>
        </is>
      </c>
      <c r="E97" s="171" t="inlineStr">
        <is>
          <t>Standard web UI flow - no spec asserts this case</t>
        </is>
      </c>
      <c r="F97" s="171" t="inlineStr">
        <is>
          <t>Pass 1: MTP vs test suite</t>
        </is>
      </c>
      <c r="G97" s="171" t="inlineStr">
        <is>
          <t>QA-owned (UI/e2e - eng cannot cover)</t>
        </is>
      </c>
    </row>
    <row r="98">
      <c r="A98" s="171" t="inlineStr">
        <is>
          <t>GAP-OLP-23</t>
        </is>
      </c>
      <c r="B98" s="171" t="inlineStr">
        <is>
          <t>Opportunity List page</t>
        </is>
      </c>
      <c r="C98" s="171" t="inlineStr">
        <is>
          <t>[OLP_27] Verify when user click on the number under "Active connect workers" column, user should land on the Connect workers page [PM user]</t>
        </is>
      </c>
      <c r="D98" s="171" t="inlineStr">
        <is>
          <t>🟡 Automatable - not yet done</t>
        </is>
      </c>
      <c r="E98" s="171" t="inlineStr">
        <is>
          <t>Standard web UI flow - no spec asserts this case</t>
        </is>
      </c>
      <c r="F98" s="171" t="inlineStr">
        <is>
          <t>Pass 1: MTP vs test suite</t>
        </is>
      </c>
      <c r="G98" s="171" t="inlineStr">
        <is>
          <t>QA-owned (UI/e2e - eng cannot cover)</t>
        </is>
      </c>
    </row>
    <row r="99">
      <c r="A99" s="171" t="inlineStr">
        <is>
          <t>GAP-OLP-24</t>
        </is>
      </c>
      <c r="B99" s="171" t="inlineStr">
        <is>
          <t>Opportunity List page</t>
        </is>
      </c>
      <c r="C99" s="171" t="inlineStr">
        <is>
          <t>[OLP_28] Verify when user click on the number under "Total deliveries" column, user should land on the delivery tab [PM user]</t>
        </is>
      </c>
      <c r="D99" s="171" t="inlineStr">
        <is>
          <t>🟡 Automatable - not yet done</t>
        </is>
      </c>
      <c r="E99" s="171" t="inlineStr">
        <is>
          <t>Standard web UI flow - no spec asserts this case</t>
        </is>
      </c>
      <c r="F99" s="171" t="inlineStr">
        <is>
          <t>Pass 1: MTP vs test suite</t>
        </is>
      </c>
      <c r="G99" s="171" t="inlineStr">
        <is>
          <t>QA-owned (UI/e2e - eng cannot cover)</t>
        </is>
      </c>
    </row>
    <row r="100">
      <c r="A100" s="171" t="inlineStr">
        <is>
          <t>GAP-OLP-25</t>
        </is>
      </c>
      <c r="B100" s="171" t="inlineStr">
        <is>
          <t>Opportunity List page</t>
        </is>
      </c>
      <c r="C100" s="171" t="inlineStr">
        <is>
          <t>[OLP_29] Verify when user click on the number under "Verified deliveries" column, user should land on the delivery tab [PM user]</t>
        </is>
      </c>
      <c r="D100" s="171" t="inlineStr">
        <is>
          <t>🟡 Automatable - not yet done</t>
        </is>
      </c>
      <c r="E100" s="171" t="inlineStr">
        <is>
          <t>Standard web UI flow - no spec asserts this case</t>
        </is>
      </c>
      <c r="F100" s="171" t="inlineStr">
        <is>
          <t>Pass 1: MTP vs test suite</t>
        </is>
      </c>
      <c r="G100" s="171" t="inlineStr">
        <is>
          <t>QA-owned (UI/e2e - eng cannot cover)</t>
        </is>
      </c>
    </row>
    <row r="101">
      <c r="A101" s="171" t="inlineStr">
        <is>
          <t>GAP-OLP-26</t>
        </is>
      </c>
      <c r="B101" s="171" t="inlineStr">
        <is>
          <t>Opportunity List page</t>
        </is>
      </c>
      <c r="C101" s="171" t="inlineStr">
        <is>
          <t>[OLP_30] Verify when user click on the amount under "Worker Earnings" column, user should land on the payment tab [PM user]</t>
        </is>
      </c>
      <c r="D101" s="171" t="inlineStr">
        <is>
          <t>🟡 Automatable - not yet done</t>
        </is>
      </c>
      <c r="E101" s="171" t="inlineStr">
        <is>
          <t>Standard web UI flow - no spec asserts this case</t>
        </is>
      </c>
      <c r="F101" s="171" t="inlineStr">
        <is>
          <t>Pass 1: MTP vs test suite</t>
        </is>
      </c>
      <c r="G101" s="171" t="inlineStr">
        <is>
          <t>QA-owned (UI/e2e - eng cannot cover)</t>
        </is>
      </c>
    </row>
    <row r="102">
      <c r="A102" s="171" t="inlineStr">
        <is>
          <t>GAP-OD-01</t>
        </is>
      </c>
      <c r="B102" s="171" t="inlineStr">
        <is>
          <t>Opportunity dashboard</t>
        </is>
      </c>
      <c r="C102" s="171" t="inlineStr">
        <is>
          <t>[OD_1] Confirm user lands on the opportunity dashboard page when they select any opportunity</t>
        </is>
      </c>
      <c r="D102" s="171" t="inlineStr">
        <is>
          <t>🟡 Automatable - not yet done</t>
        </is>
      </c>
      <c r="E102" s="171" t="inlineStr">
        <is>
          <t>Standard web UI flow - no spec asserts this case</t>
        </is>
      </c>
      <c r="F102" s="171" t="inlineStr">
        <is>
          <t>Pass 1: MTP vs test suite</t>
        </is>
      </c>
      <c r="G102" s="171" t="inlineStr">
        <is>
          <t>QA-owned (UI/e2e - eng cannot cover)</t>
        </is>
      </c>
    </row>
    <row r="103">
      <c r="A103" s="171" t="inlineStr">
        <is>
          <t>GAP-OD-02</t>
        </is>
      </c>
      <c r="B103" s="171" t="inlineStr">
        <is>
          <t>Opportunity dashboard</t>
        </is>
      </c>
      <c r="C103" s="171" t="inlineStr">
        <is>
          <t>[OD_3] Confirm user can analyse how many workers were actually invited and continuing to deliver</t>
        </is>
      </c>
      <c r="D103" s="171" t="inlineStr">
        <is>
          <t>🟡 Automatable - not yet done</t>
        </is>
      </c>
      <c r="E103" s="171" t="inlineStr">
        <is>
          <t>Standard web UI flow - no spec asserts this case</t>
        </is>
      </c>
      <c r="F103" s="171" t="inlineStr">
        <is>
          <t>Pass 1: MTP vs test suite</t>
        </is>
      </c>
      <c r="G103" s="171" t="inlineStr">
        <is>
          <t>QA-owned (UI/e2e - eng cannot cover)</t>
        </is>
      </c>
    </row>
    <row r="104">
      <c r="A104" s="171" t="inlineStr">
        <is>
          <t>GAP-OD-03</t>
        </is>
      </c>
      <c r="B104" s="171" t="inlineStr">
        <is>
          <t>Opportunity dashboard</t>
        </is>
      </c>
      <c r="C104" s="171" t="inlineStr">
        <is>
          <t>[OD_8] Confirm user is able to send message using send message option</t>
        </is>
      </c>
      <c r="D104" s="171" t="inlineStr">
        <is>
          <t>🔴 Manual only</t>
        </is>
      </c>
      <c r="E104" s="171" t="inlineStr">
        <is>
          <t>Push notification round-trip to mobile</t>
        </is>
      </c>
      <c r="F104" s="171" t="inlineStr">
        <is>
          <t>Pass 1: MTP vs test suite</t>
        </is>
      </c>
      <c r="G104" s="171" t="inlineStr">
        <is>
          <t>QA-owned (manual)</t>
        </is>
      </c>
    </row>
    <row r="105">
      <c r="A105" s="171" t="inlineStr">
        <is>
          <t>GAP-OD-04</t>
        </is>
      </c>
      <c r="B105" s="171" t="inlineStr">
        <is>
          <t>Opportunity dashboard</t>
        </is>
      </c>
      <c r="C105" s="171" t="inlineStr">
        <is>
          <t>[OD_10] Verify user is able to add budget for existing workers using add budget option</t>
        </is>
      </c>
      <c r="D105" s="171" t="inlineStr">
        <is>
          <t>🟡 Automatable - not yet done</t>
        </is>
      </c>
      <c r="E105" s="171" t="inlineStr">
        <is>
          <t>Standard web UI flow - no spec asserts this case</t>
        </is>
      </c>
      <c r="F105" s="171" t="inlineStr">
        <is>
          <t>Pass 1: MTP vs test suite</t>
        </is>
      </c>
      <c r="G105" s="171" t="inlineStr">
        <is>
          <t>Partial - likely eng-covered (confirm w/ eng)</t>
        </is>
      </c>
    </row>
    <row r="106">
      <c r="A106" s="171" t="inlineStr">
        <is>
          <t>GAP-OD-05</t>
        </is>
      </c>
      <c r="B106" s="171" t="inlineStr">
        <is>
          <t>Opportunity dashboard</t>
        </is>
      </c>
      <c r="C106" s="171" t="inlineStr">
        <is>
          <t>[OD_11] Verify user is able to increase the visits for existing workers</t>
        </is>
      </c>
      <c r="D106" s="171" t="inlineStr">
        <is>
          <t>🟡 Automatable - not yet done</t>
        </is>
      </c>
      <c r="E106" s="171" t="inlineStr">
        <is>
          <t>Standard web UI flow - no spec asserts this case</t>
        </is>
      </c>
      <c r="F106" s="171" t="inlineStr">
        <is>
          <t>Pass 1: MTP vs test suite</t>
        </is>
      </c>
      <c r="G106" s="171" t="inlineStr">
        <is>
          <t>QA-owned (UI/e2e - eng cannot cover)</t>
        </is>
      </c>
    </row>
    <row r="107">
      <c r="A107" s="171" t="inlineStr">
        <is>
          <t>GAP-OD-06</t>
        </is>
      </c>
      <c r="B107" s="171" t="inlineStr">
        <is>
          <t>Opportunity dashboard</t>
        </is>
      </c>
      <c r="C107" s="171" t="inlineStr">
        <is>
          <t>[OD_12] Verify user is able to increase the visits for existing workers</t>
        </is>
      </c>
      <c r="D107" s="171" t="inlineStr">
        <is>
          <t>🟡 Automatable - not yet done</t>
        </is>
      </c>
      <c r="E107" s="171" t="inlineStr">
        <is>
          <t>Standard web UI flow - no spec asserts this case</t>
        </is>
      </c>
      <c r="F107" s="171" t="inlineStr">
        <is>
          <t>Pass 1: MTP vs test suite</t>
        </is>
      </c>
      <c r="G107" s="171" t="inlineStr">
        <is>
          <t>QA-owned (UI/e2e - eng cannot cover)</t>
        </is>
      </c>
    </row>
    <row r="108">
      <c r="A108" s="171" t="inlineStr">
        <is>
          <t>GAP-OD-07</t>
        </is>
      </c>
      <c r="B108" s="171" t="inlineStr">
        <is>
          <t>Opportunity dashboard</t>
        </is>
      </c>
      <c r="C108" s="171" t="inlineStr">
        <is>
          <t>[OD_13] Verify error pop up is displayed by entering negative numbers in the visits field</t>
        </is>
      </c>
      <c r="D108" s="171" t="inlineStr">
        <is>
          <t>🟡 Automatable - not yet done</t>
        </is>
      </c>
      <c r="E108" s="171" t="inlineStr">
        <is>
          <t>Standard web UI flow - no spec asserts this case</t>
        </is>
      </c>
      <c r="F108" s="171" t="inlineStr">
        <is>
          <t>Pass 1: MTP vs test suite</t>
        </is>
      </c>
      <c r="G108" s="171" t="inlineStr">
        <is>
          <t>Partial - likely eng-covered (confirm w/ eng)</t>
        </is>
      </c>
    </row>
    <row r="109">
      <c r="A109" s="171" t="inlineStr">
        <is>
          <t>GAP-OD-08</t>
        </is>
      </c>
      <c r="B109" s="171" t="inlineStr">
        <is>
          <t>Opportunity dashboard</t>
        </is>
      </c>
      <c r="C109" s="171" t="inlineStr">
        <is>
          <t>[OD_14] Confirm user is not able decrease the completed visits</t>
        </is>
      </c>
      <c r="D109" s="171" t="inlineStr">
        <is>
          <t>🟡 Automatable - not yet done</t>
        </is>
      </c>
      <c r="E109" s="171" t="inlineStr">
        <is>
          <t>Standard web UI flow - no spec asserts this case</t>
        </is>
      </c>
      <c r="F109" s="171" t="inlineStr">
        <is>
          <t>Pass 1: MTP vs test suite</t>
        </is>
      </c>
      <c r="G109" s="171" t="inlineStr">
        <is>
          <t>QA-owned (UI/e2e - eng cannot cover)</t>
        </is>
      </c>
    </row>
    <row r="110">
      <c r="A110" s="171" t="inlineStr">
        <is>
          <t>GAP-OD-09</t>
        </is>
      </c>
      <c r="B110" s="171" t="inlineStr">
        <is>
          <t>Opportunity dashboard</t>
        </is>
      </c>
      <c r="C110" s="171" t="inlineStr">
        <is>
          <t>[OD_15] Verify that changes to delivery visits are correctly reflected on the Connect Workers page and on mobile.</t>
        </is>
      </c>
      <c r="D110" s="171" t="inlineStr">
        <is>
          <t>🔴 Manual only</t>
        </is>
      </c>
      <c r="E110" s="171" t="inlineStr">
        <is>
          <t>Requires verification on mobile app</t>
        </is>
      </c>
      <c r="F110" s="171" t="inlineStr">
        <is>
          <t>Pass 1: MTP vs test suite</t>
        </is>
      </c>
      <c r="G110" s="171" t="inlineStr">
        <is>
          <t>QA-owned (manual)</t>
        </is>
      </c>
    </row>
    <row r="111">
      <c r="A111" s="171" t="inlineStr">
        <is>
          <t>GAP-OD-10</t>
        </is>
      </c>
      <c r="B111" s="171" t="inlineStr">
        <is>
          <t>Opportunity dashboard</t>
        </is>
      </c>
      <c r="C111" s="171" t="inlineStr">
        <is>
          <t>[OD_16] Verify that the pop-up modal displays the correct amount and number of visits based on user changes.</t>
        </is>
      </c>
      <c r="D111" s="171" t="inlineStr">
        <is>
          <t>🟡 Automatable - not yet done</t>
        </is>
      </c>
      <c r="E111" s="171" t="inlineStr">
        <is>
          <t>Standard web UI flow - no spec asserts this case</t>
        </is>
      </c>
      <c r="F111" s="171" t="inlineStr">
        <is>
          <t>Pass 1: MTP vs test suite</t>
        </is>
      </c>
      <c r="G111" s="171" t="inlineStr">
        <is>
          <t>QA-owned (UI/e2e - eng cannot cover)</t>
        </is>
      </c>
    </row>
    <row r="112">
      <c r="A112" s="171" t="inlineStr">
        <is>
          <t>GAP-OD-11</t>
        </is>
      </c>
      <c r="B112" s="171" t="inlineStr">
        <is>
          <t>Opportunity dashboard</t>
        </is>
      </c>
      <c r="C112" s="171" t="inlineStr">
        <is>
          <t>[OD_17] Verify user is able to add budget for new connect workers using add budget option</t>
        </is>
      </c>
      <c r="D112" s="171" t="inlineStr">
        <is>
          <t>🟡 Automatable - not yet done</t>
        </is>
      </c>
      <c r="E112" s="171" t="inlineStr">
        <is>
          <t>Standard web UI flow - no spec asserts this case</t>
        </is>
      </c>
      <c r="F112" s="171" t="inlineStr">
        <is>
          <t>Pass 1: MTP vs test suite</t>
        </is>
      </c>
      <c r="G112" s="171" t="inlineStr">
        <is>
          <t>Partial - likely eng-covered (confirm w/ eng)</t>
        </is>
      </c>
    </row>
    <row r="113">
      <c r="A113" s="171" t="inlineStr">
        <is>
          <t>GAP-OD-12</t>
        </is>
      </c>
      <c r="B113" s="171" t="inlineStr">
        <is>
          <t>Opportunity dashboard</t>
        </is>
      </c>
      <c r="C113" s="171" t="inlineStr">
        <is>
          <t>[OD_18] Verify user can view the learn &amp; deliver apps information on the dashboard</t>
        </is>
      </c>
      <c r="D113" s="171" t="inlineStr">
        <is>
          <t>🟡 Automatable - not yet done</t>
        </is>
      </c>
      <c r="E113" s="171" t="inlineStr">
        <is>
          <t>Standard web UI flow - no spec asserts this case</t>
        </is>
      </c>
      <c r="F113" s="171" t="inlineStr">
        <is>
          <t>Pass 1: MTP vs test suite</t>
        </is>
      </c>
      <c r="G113" s="171" t="inlineStr">
        <is>
          <t>QA-owned (UI/e2e - eng cannot cover)</t>
        </is>
      </c>
    </row>
    <row r="114">
      <c r="A114" s="171" t="inlineStr">
        <is>
          <t>GAP-OD-13</t>
        </is>
      </c>
      <c r="B114" s="171" t="inlineStr">
        <is>
          <t>Opportunity dashboard</t>
        </is>
      </c>
      <c r="C114" s="171" t="inlineStr">
        <is>
          <t>[OD_19] Verify user can see all the payments units information on the opportunity dashboard</t>
        </is>
      </c>
      <c r="D114" s="171" t="inlineStr">
        <is>
          <t>🟡 Automatable - not yet done</t>
        </is>
      </c>
      <c r="E114" s="171" t="inlineStr">
        <is>
          <t>Standard web UI flow - no spec asserts this case</t>
        </is>
      </c>
      <c r="F114" s="171" t="inlineStr">
        <is>
          <t>Pass 1: MTP vs test suite</t>
        </is>
      </c>
      <c r="G114" s="171" t="inlineStr">
        <is>
          <t>QA-owned (UI/e2e - eng cannot cover)</t>
        </is>
      </c>
    </row>
    <row r="115">
      <c r="A115" s="171" t="inlineStr">
        <is>
          <t>GAP-OD-14</t>
        </is>
      </c>
      <c r="B115" s="171" t="inlineStr">
        <is>
          <t>Opportunity dashboard</t>
        </is>
      </c>
      <c r="C115" s="171" t="inlineStr">
        <is>
          <t>[OD_18] Verify user pre filters are applied when we click on the following buttons: - Inactive workers</t>
        </is>
      </c>
      <c r="D115" s="171" t="inlineStr">
        <is>
          <t>🟡 Automatable - not yet done</t>
        </is>
      </c>
      <c r="E115" s="171" t="inlineStr">
        <is>
          <t>Standard web UI flow - no spec asserts this case</t>
        </is>
      </c>
      <c r="F115" s="171" t="inlineStr">
        <is>
          <t>Pass 1: MTP vs test suite</t>
        </is>
      </c>
      <c r="G115" s="171" t="inlineStr">
        <is>
          <t>QA-owned (UI/e2e - eng cannot cover)</t>
        </is>
      </c>
    </row>
    <row r="116">
      <c r="A116" s="171" t="inlineStr">
        <is>
          <t>GAP-CW-01</t>
        </is>
      </c>
      <c r="B116" s="171" t="inlineStr">
        <is>
          <t>Connect workers page</t>
        </is>
      </c>
      <c r="C116" s="171" t="inlineStr">
        <is>
          <t>[Connect_worker_02] verify user is able to see the status as invite pending until the invitation is accepted</t>
        </is>
      </c>
      <c r="D116" s="171" t="inlineStr">
        <is>
          <t>🟡 Automatable - not yet done</t>
        </is>
      </c>
      <c r="E116" s="171" t="inlineStr">
        <is>
          <t>Standard web UI flow - no spec asserts this case</t>
        </is>
      </c>
      <c r="F116" s="171" t="inlineStr">
        <is>
          <t>Pass 1: MTP vs test suite</t>
        </is>
      </c>
      <c r="G116" s="171" t="inlineStr">
        <is>
          <t>QA-owned (UI/e2e - eng cannot cover)</t>
        </is>
      </c>
    </row>
    <row r="117">
      <c r="A117" s="171" t="inlineStr">
        <is>
          <t>GAP-CW-02</t>
        </is>
      </c>
      <c r="B117" s="171" t="inlineStr">
        <is>
          <t>Connect workers page</t>
        </is>
      </c>
      <c r="C117" s="171" t="inlineStr">
        <is>
          <t>[Connect_worker_03] Verify resend/delete invite buttons are enable only when user select the invites</t>
        </is>
      </c>
      <c r="D117" s="171" t="inlineStr">
        <is>
          <t>🟡 Automatable - not yet done</t>
        </is>
      </c>
      <c r="E117" s="171" t="inlineStr">
        <is>
          <t>Standard web UI flow - no spec asserts this case</t>
        </is>
      </c>
      <c r="F117" s="171" t="inlineStr">
        <is>
          <t>Pass 1: MTP vs test suite</t>
        </is>
      </c>
      <c r="G117" s="171" t="inlineStr">
        <is>
          <t>QA-owned (UI/e2e - eng cannot cover)</t>
        </is>
      </c>
    </row>
    <row r="118">
      <c r="A118" s="171" t="inlineStr">
        <is>
          <t>GAP-CW-03</t>
        </is>
      </c>
      <c r="B118" s="171" t="inlineStr">
        <is>
          <t>Connect workers page</t>
        </is>
      </c>
      <c r="C118" s="171" t="inlineStr">
        <is>
          <t>[Connect_worker_04] Verify worker status is updated to "invite accepted" when the invitation for an opportunity is accepted</t>
        </is>
      </c>
      <c r="D118" s="171" t="inlineStr">
        <is>
          <t>🔴 Manual only</t>
        </is>
      </c>
      <c r="E118" s="171" t="inlineStr">
        <is>
          <t>Invite acceptance happens on mobile app</t>
        </is>
      </c>
      <c r="F118" s="171" t="inlineStr">
        <is>
          <t>Pass 1: MTP vs test suite</t>
        </is>
      </c>
      <c r="G118" s="171" t="inlineStr">
        <is>
          <t>QA-owned (manual)</t>
        </is>
      </c>
    </row>
    <row r="119">
      <c r="A119" s="171" t="inlineStr">
        <is>
          <t>GAP-CW-04</t>
        </is>
      </c>
      <c r="B119" s="171" t="inlineStr">
        <is>
          <t>Connect workers page</t>
        </is>
      </c>
      <c r="C119" s="171" t="inlineStr">
        <is>
          <t>[Connect_worker_05] Verify we are able to pre invite the worker[Not registered for personal ID yet]</t>
        </is>
      </c>
      <c r="D119" s="171" t="inlineStr">
        <is>
          <t>🟡 Automatable - not yet done</t>
        </is>
      </c>
      <c r="E119" s="171" t="inlineStr">
        <is>
          <t>Standard web UI flow - no spec asserts this case</t>
        </is>
      </c>
      <c r="F119" s="171" t="inlineStr">
        <is>
          <t>Pass 1: MTP vs test suite</t>
        </is>
      </c>
      <c r="G119" s="171" t="inlineStr">
        <is>
          <t>QA-owned (UI/e2e - eng cannot cover)</t>
        </is>
      </c>
    </row>
    <row r="120">
      <c r="A120" s="171" t="inlineStr">
        <is>
          <t>GAP-CW-05</t>
        </is>
      </c>
      <c r="B120" s="171" t="inlineStr">
        <is>
          <t>Connect workers page</t>
        </is>
      </c>
      <c r="C120" s="171" t="inlineStr">
        <is>
          <t>[Connect_worker_06] Verify mobile number is displayed for "not found users" under name column</t>
        </is>
      </c>
      <c r="D120" s="171" t="inlineStr">
        <is>
          <t>🟡 Automatable - not yet done</t>
        </is>
      </c>
      <c r="E120" s="171" t="inlineStr">
        <is>
          <t>Standard web UI flow - no spec asserts this case</t>
        </is>
      </c>
      <c r="F120" s="171" t="inlineStr">
        <is>
          <t>Pass 1: MTP vs test suite</t>
        </is>
      </c>
      <c r="G120" s="171" t="inlineStr">
        <is>
          <t>QA-owned (UI/e2e - eng cannot cover)</t>
        </is>
      </c>
    </row>
    <row r="121">
      <c r="A121" s="171" t="inlineStr">
        <is>
          <t>GAP-CW-06</t>
        </is>
      </c>
      <c r="B121" s="171" t="inlineStr">
        <is>
          <t>Connect workers page</t>
        </is>
      </c>
      <c r="C121" s="171" t="inlineStr">
        <is>
          <t>[Connect_worker_08] verify user is able to delete the pending invites</t>
        </is>
      </c>
      <c r="D121" s="171" t="inlineStr">
        <is>
          <t>🟡 Automatable - not yet done</t>
        </is>
      </c>
      <c r="E121" s="171" t="inlineStr">
        <is>
          <t>Standard web UI flow - no spec asserts this case</t>
        </is>
      </c>
      <c r="F121" s="171" t="inlineStr">
        <is>
          <t>Pass 1: MTP vs test suite</t>
        </is>
      </c>
      <c r="G121" s="171" t="inlineStr">
        <is>
          <t>QA-owned (UI/e2e - eng cannot cover)</t>
        </is>
      </c>
    </row>
    <row r="122">
      <c r="A122" s="171" t="inlineStr">
        <is>
          <t>GAP-CW-07</t>
        </is>
      </c>
      <c r="B122" s="171" t="inlineStr">
        <is>
          <t>Connect workers page</t>
        </is>
      </c>
      <c r="C122" s="171" t="inlineStr">
        <is>
          <t>[Connect_worker_09] Verify user is not able to resend the invite for pending users within 24 hrs[Cooldown period]</t>
        </is>
      </c>
      <c r="D122" s="171" t="inlineStr">
        <is>
          <t>🔴 Manual only (by design)</t>
        </is>
      </c>
      <c r="E122" s="171" t="inlineStr">
        <is>
          <t>Manual only (by design): the cooldown needs a real registered number and every invite/resend texts it, so there is no automated test.</t>
        </is>
      </c>
      <c r="F122" s="171" t="inlineStr">
        <is>
          <t>Pass 1: MTP vs test suite</t>
        </is>
      </c>
      <c r="G122" s="171" t="inlineStr">
        <is>
          <t>QA-owned (manual)</t>
        </is>
      </c>
    </row>
    <row r="123">
      <c r="A123" s="171" t="inlineStr">
        <is>
          <t>GAP-CW-08</t>
        </is>
      </c>
      <c r="B123" s="171" t="inlineStr">
        <is>
          <t>Connect workers page</t>
        </is>
      </c>
      <c r="C123" s="171" t="inlineStr">
        <is>
          <t>[Connect_worker_10] Verify user is able to resend the invite for "invite pending" worker successfully after 24 hrs</t>
        </is>
      </c>
      <c r="D123" s="171" t="inlineStr">
        <is>
          <t>🟢 Already automated</t>
        </is>
      </c>
      <c r="E123" s="171" t="inlineStr">
        <is>
          <t>Closed: automated as Connect_worker_10, test_worker_lifecycle.py::test_connect_worker_10_resend_allowed_for_pending (seeded data, Worker_Lifecycle_Automation, 2026-09-10)</t>
        </is>
      </c>
      <c r="F123" s="171" t="inlineStr">
        <is>
          <t>Pass 1: MTP vs test suite</t>
        </is>
      </c>
      <c r="G123" s="171" t="inlineStr">
        <is>
          <t>Already automated (n/a)</t>
        </is>
      </c>
    </row>
    <row r="124">
      <c r="A124" s="171" t="inlineStr">
        <is>
          <t>GAP-CW-09</t>
        </is>
      </c>
      <c r="B124" s="171" t="inlineStr">
        <is>
          <t>Connect workers page</t>
        </is>
      </c>
      <c r="C124" s="171" t="inlineStr">
        <is>
          <t>[Connect_worker_11] verify user is not able to resend/delete the invite for accepted workers</t>
        </is>
      </c>
      <c r="D124" s="171" t="inlineStr">
        <is>
          <t>🟡 Automatable - not yet done</t>
        </is>
      </c>
      <c r="E124" s="171" t="inlineStr">
        <is>
          <t>Standard web UI flow - no spec asserts this case</t>
        </is>
      </c>
      <c r="F124" s="171" t="inlineStr">
        <is>
          <t>Pass 1: MTP vs test suite</t>
        </is>
      </c>
      <c r="G124" s="171" t="inlineStr">
        <is>
          <t>Partial - likely eng-covered (confirm w/ eng)</t>
        </is>
      </c>
    </row>
    <row r="125">
      <c r="A125" s="171" t="inlineStr">
        <is>
          <t>GAP-CW-10</t>
        </is>
      </c>
      <c r="B125" s="171" t="inlineStr">
        <is>
          <t>Connect workers page</t>
        </is>
      </c>
      <c r="C125" s="171" t="inlineStr">
        <is>
          <t>[Connect_worker_12] verify user is not able to resend invite for not found users</t>
        </is>
      </c>
      <c r="D125" s="171" t="inlineStr">
        <is>
          <t>🟡 Automatable - not yet done</t>
        </is>
      </c>
      <c r="E125" s="171" t="inlineStr">
        <is>
          <t>Standard web UI flow - no spec asserts this case</t>
        </is>
      </c>
      <c r="F125" s="171" t="inlineStr">
        <is>
          <t>Pass 1: MTP vs test suite</t>
        </is>
      </c>
      <c r="G125" s="171" t="inlineStr">
        <is>
          <t>Partial - likely eng-covered (confirm w/ eng)</t>
        </is>
      </c>
    </row>
    <row r="126">
      <c r="A126" s="171" t="inlineStr">
        <is>
          <t>GAP-CW-11</t>
        </is>
      </c>
      <c r="B126" s="171" t="inlineStr">
        <is>
          <t>Connect workers page</t>
        </is>
      </c>
      <c r="C126" s="171" t="inlineStr">
        <is>
          <t>[Connect_worker_13] verify user is able to delete not found users</t>
        </is>
      </c>
      <c r="D126" s="171" t="inlineStr">
        <is>
          <t>🟡 Automatable - not yet done</t>
        </is>
      </c>
      <c r="E126" s="171" t="inlineStr">
        <is>
          <t>Standard web UI flow - no spec asserts this case</t>
        </is>
      </c>
      <c r="F126" s="171" t="inlineStr">
        <is>
          <t>Pass 1: MTP vs test suite</t>
        </is>
      </c>
      <c r="G126" s="171" t="inlineStr">
        <is>
          <t>QA-owned (UI/e2e - eng cannot cover)</t>
        </is>
      </c>
    </row>
    <row r="127">
      <c r="A127" s="171" t="inlineStr">
        <is>
          <t>GAP-CW-12</t>
        </is>
      </c>
      <c r="B127" s="171" t="inlineStr">
        <is>
          <t>Connect workers page</t>
        </is>
      </c>
      <c r="C127" s="171" t="inlineStr">
        <is>
          <t>[Connect_worker_14] verify user is not able to resend/delete invite for suspend user</t>
        </is>
      </c>
      <c r="D127" s="171" t="inlineStr">
        <is>
          <t>🟡 Automatable - not yet done</t>
        </is>
      </c>
      <c r="E127" s="171" t="inlineStr">
        <is>
          <t>Standard web UI flow - no spec asserts this case</t>
        </is>
      </c>
      <c r="F127" s="171" t="inlineStr">
        <is>
          <t>Pass 1: MTP vs test suite</t>
        </is>
      </c>
      <c r="G127" s="171" t="inlineStr">
        <is>
          <t>Partial - likely eng-covered (confirm w/ eng)</t>
        </is>
      </c>
    </row>
    <row r="128">
      <c r="A128" s="171" t="inlineStr">
        <is>
          <t>GAP-CW-13</t>
        </is>
      </c>
      <c r="B128" s="171" t="inlineStr">
        <is>
          <t>Connect workers page</t>
        </is>
      </c>
      <c r="C128" s="171" t="inlineStr">
        <is>
          <t>[Connect_worker_15] verify appropriate messages are displayed when user sends invite to all types of users as a bulk [accepted,suspended,pending,not found]</t>
        </is>
      </c>
      <c r="D128" s="171" t="inlineStr">
        <is>
          <t>🟡 Automatable - not yet done</t>
        </is>
      </c>
      <c r="E128" s="171" t="inlineStr">
        <is>
          <t>Standard web UI flow - no spec asserts this case</t>
        </is>
      </c>
      <c r="F128" s="171" t="inlineStr">
        <is>
          <t>Pass 1: MTP vs test suite</t>
        </is>
      </c>
      <c r="G128" s="171" t="inlineStr">
        <is>
          <t>QA-owned (UI/e2e - eng cannot cover)</t>
        </is>
      </c>
    </row>
    <row r="129">
      <c r="A129" s="171" t="inlineStr">
        <is>
          <t>GAP-CW-14</t>
        </is>
      </c>
      <c r="B129" s="171" t="inlineStr">
        <is>
          <t>Connect workers page</t>
        </is>
      </c>
      <c r="C129" s="171" t="inlineStr">
        <is>
          <t>[Connect_worker_16] verify appropriate messages are displayed when user delete invites of all types of users [accepted,suspended,pending,not found] as bulk</t>
        </is>
      </c>
      <c r="D129" s="171" t="inlineStr">
        <is>
          <t>🟡 Automatable - not yet done</t>
        </is>
      </c>
      <c r="E129" s="171" t="inlineStr">
        <is>
          <t>Standard web UI flow - no spec asserts this case</t>
        </is>
      </c>
      <c r="F129" s="171" t="inlineStr">
        <is>
          <t>Pass 1: MTP vs test suite</t>
        </is>
      </c>
      <c r="G129" s="171" t="inlineStr">
        <is>
          <t>QA-owned (UI/e2e - eng cannot cover)</t>
        </is>
      </c>
    </row>
    <row r="130">
      <c r="A130" s="171" t="inlineStr">
        <is>
          <t>GAP-CW-15</t>
        </is>
      </c>
      <c r="B130" s="171" t="inlineStr">
        <is>
          <t>Connect workers page</t>
        </is>
      </c>
      <c r="C130" s="171" t="inlineStr">
        <is>
          <t>[Connect_worker_17] Verify user can sort the workers list by clicking the header columns</t>
        </is>
      </c>
      <c r="D130" s="171" t="inlineStr">
        <is>
          <t>🟡 Automatable - not yet done</t>
        </is>
      </c>
      <c r="E130" s="171" t="inlineStr">
        <is>
          <t>Standard web UI flow - no spec asserts this case</t>
        </is>
      </c>
      <c r="F130" s="171" t="inlineStr">
        <is>
          <t>Pass 1: MTP vs test suite</t>
        </is>
      </c>
      <c r="G130" s="171" t="inlineStr">
        <is>
          <t>QA-owned (UI/e2e - eng cannot cover)</t>
        </is>
      </c>
    </row>
    <row r="131">
      <c r="A131" s="171" t="inlineStr">
        <is>
          <t>GAP-CW-16</t>
        </is>
      </c>
      <c r="B131" s="171" t="inlineStr">
        <is>
          <t>Connect workers page</t>
        </is>
      </c>
      <c r="C131" s="171" t="inlineStr">
        <is>
          <t>[Learn_tab_02] Verify modules completed progress is updated as we submit learn apps is mobile</t>
        </is>
      </c>
      <c r="D131" s="171" t="inlineStr">
        <is>
          <t>🔴 Manual only</t>
        </is>
      </c>
      <c r="E131" s="171" t="inlineStr">
        <is>
          <t>Requires learn app submissions from mobile</t>
        </is>
      </c>
      <c r="F131" s="171" t="inlineStr">
        <is>
          <t>Pass 1: MTP vs test suite</t>
        </is>
      </c>
      <c r="G131" s="171" t="inlineStr">
        <is>
          <t>QA-owned (manual)</t>
        </is>
      </c>
    </row>
    <row r="132">
      <c r="A132" s="171" t="inlineStr">
        <is>
          <t>GAP-CW-17</t>
        </is>
      </c>
      <c r="B132" s="171" t="inlineStr">
        <is>
          <t>Connect workers page</t>
        </is>
      </c>
      <c r="C132" s="171" t="inlineStr">
        <is>
          <t>[Learn_tab_03] Verfiy Assessment status is shown as failed when user fails the assessment in mobile</t>
        </is>
      </c>
      <c r="D132" s="171" t="inlineStr">
        <is>
          <t>🔴 Manual only</t>
        </is>
      </c>
      <c r="E132" s="171" t="inlineStr">
        <is>
          <t>Requires failing assessment on mobile</t>
        </is>
      </c>
      <c r="F132" s="171" t="inlineStr">
        <is>
          <t>Pass 1: MTP vs test suite</t>
        </is>
      </c>
      <c r="G132" s="171" t="inlineStr">
        <is>
          <t>QA-owned (manual)</t>
        </is>
      </c>
    </row>
    <row r="133">
      <c r="A133" s="171" t="inlineStr">
        <is>
          <t>GAP-CW-18</t>
        </is>
      </c>
      <c r="B133" s="171" t="inlineStr">
        <is>
          <t>Connect workers page</t>
        </is>
      </c>
      <c r="C133" s="171" t="inlineStr">
        <is>
          <t>[Learn_tab_04] Verfiy Assessment status is shown as Passed when user pass the assessment in mobile</t>
        </is>
      </c>
      <c r="D133" s="171" t="inlineStr">
        <is>
          <t>🔴 Manual only</t>
        </is>
      </c>
      <c r="E133" s="171" t="inlineStr">
        <is>
          <t>Requires passing assessment on mobile</t>
        </is>
      </c>
      <c r="F133" s="171" t="inlineStr">
        <is>
          <t>Pass 1: MTP vs test suite</t>
        </is>
      </c>
      <c r="G133" s="171" t="inlineStr">
        <is>
          <t>QA-owned (manual)</t>
        </is>
      </c>
    </row>
    <row r="134">
      <c r="A134" s="171" t="inlineStr">
        <is>
          <t>GAP-CW-19</t>
        </is>
      </c>
      <c r="B134" s="171" t="inlineStr">
        <is>
          <t>Connect workers page</t>
        </is>
      </c>
      <c r="C134" s="171" t="inlineStr">
        <is>
          <t>[Delivery_tab_06] Verify that the visit count is considered as 1 per payment unit, even if it includes multiple required or optional visits.</t>
        </is>
      </c>
      <c r="D134" s="171" t="inlineStr">
        <is>
          <t>🔴 Manual only</t>
        </is>
      </c>
      <c r="E134" s="171" t="inlineStr">
        <is>
          <t>Requires mobile form submissions</t>
        </is>
      </c>
      <c r="F134" s="171" t="inlineStr">
        <is>
          <t>Pass 1: MTP vs test suite</t>
        </is>
      </c>
      <c r="G134" s="171" t="inlineStr">
        <is>
          <t>QA-owned (manual)</t>
        </is>
      </c>
    </row>
    <row r="135">
      <c r="A135" s="171" t="inlineStr">
        <is>
          <t>GAP-CW-20</t>
        </is>
      </c>
      <c r="B135" s="171" t="inlineStr">
        <is>
          <t>Connect workers page</t>
        </is>
      </c>
      <c r="C135" s="171" t="inlineStr">
        <is>
          <t>[Delivery_tab_07] Verify that the delivery is marked as complete when all required visits are submitted and approved, and at least one optional visit (if present) is approved.</t>
        </is>
      </c>
      <c r="D135" s="171" t="inlineStr">
        <is>
          <t>🔴 Manual only</t>
        </is>
      </c>
      <c r="E135" s="171" t="inlineStr">
        <is>
          <t>Requires mobile form submissions</t>
        </is>
      </c>
      <c r="F135" s="171" t="inlineStr">
        <is>
          <t>Pass 1: MTP vs test suite</t>
        </is>
      </c>
      <c r="G135" s="171" t="inlineStr">
        <is>
          <t>QA-owned (manual)</t>
        </is>
      </c>
    </row>
    <row r="136">
      <c r="A136" s="171" t="inlineStr">
        <is>
          <t>GAP-CW-21</t>
        </is>
      </c>
      <c r="B136" s="171" t="inlineStr">
        <is>
          <t>Connect workers page</t>
        </is>
      </c>
      <c r="C136" s="171" t="inlineStr">
        <is>
          <t>[Delivery_tab_10] Verify Filters pop up modal is displayed by clicking on the filters icon present in right corner  on delivery tab</t>
        </is>
      </c>
      <c r="D136" s="171" t="inlineStr">
        <is>
          <t>🟡 Automatable - not yet done</t>
        </is>
      </c>
      <c r="E136" s="171" t="inlineStr">
        <is>
          <t>Standard web UI flow - no spec asserts this case</t>
        </is>
      </c>
      <c r="F136" s="171" t="inlineStr">
        <is>
          <t>Pass 1: MTP vs test suite</t>
        </is>
      </c>
      <c r="G136" s="171" t="inlineStr">
        <is>
          <t>QA-owned (UI/e2e - eng cannot cover)</t>
        </is>
      </c>
    </row>
    <row r="137">
      <c r="A137" s="171" t="inlineStr">
        <is>
          <t>GAP-CW-22</t>
        </is>
      </c>
      <c r="B137" s="171" t="inlineStr">
        <is>
          <t>Connect workers page</t>
        </is>
      </c>
      <c r="C137" s="171" t="inlineStr">
        <is>
          <t>[Delivery_tab_11] Verify last active filed  dropdown contains following options: - Any time - 1 day ago - 3 days ago - 7 days ago</t>
        </is>
      </c>
      <c r="D137" s="171" t="inlineStr">
        <is>
          <t>🟡 Automatable - not yet done</t>
        </is>
      </c>
      <c r="E137" s="171" t="inlineStr">
        <is>
          <t>Standard web UI flow - no spec asserts this case</t>
        </is>
      </c>
      <c r="F137" s="171" t="inlineStr">
        <is>
          <t>Pass 1: MTP vs test suite</t>
        </is>
      </c>
      <c r="G137" s="171" t="inlineStr">
        <is>
          <t>QA-owned (UI/e2e - eng cannot cover)</t>
        </is>
      </c>
    </row>
    <row r="138">
      <c r="A138" s="171" t="inlineStr">
        <is>
          <t>GAP-CW-23</t>
        </is>
      </c>
      <c r="B138" s="171" t="inlineStr">
        <is>
          <t>Connect workers page</t>
        </is>
      </c>
      <c r="C138" s="171" t="inlineStr">
        <is>
          <t>[Delivery_tab_13] Verify "Deliveries with flags"  filed  dropdown contains following options: - Yes - No</t>
        </is>
      </c>
      <c r="D138" s="171" t="inlineStr">
        <is>
          <t>🟡 Automatable - not yet done</t>
        </is>
      </c>
      <c r="E138" s="171" t="inlineStr">
        <is>
          <t>Standard web UI flow - no spec asserts this case</t>
        </is>
      </c>
      <c r="F138" s="171" t="inlineStr">
        <is>
          <t>Pass 1: MTP vs test suite</t>
        </is>
      </c>
      <c r="G138" s="171" t="inlineStr">
        <is>
          <t>QA-owned (UI/e2e - eng cannot cover)</t>
        </is>
      </c>
    </row>
    <row r="139">
      <c r="A139" s="171" t="inlineStr">
        <is>
          <t>GAP-CW-24</t>
        </is>
      </c>
      <c r="B139" s="171" t="inlineStr">
        <is>
          <t>Connect workers page</t>
        </is>
      </c>
      <c r="C139" s="171" t="inlineStr">
        <is>
          <t>[Delivery_tab_14] Verify "Has overlimit Deliveries"  filed  dropdown contains following options: - Yes - No</t>
        </is>
      </c>
      <c r="D139" s="171" t="inlineStr">
        <is>
          <t>🟡 Automatable - not yet done</t>
        </is>
      </c>
      <c r="E139" s="171" t="inlineStr">
        <is>
          <t>Standard web UI flow - no spec asserts this case</t>
        </is>
      </c>
      <c r="F139" s="171" t="inlineStr">
        <is>
          <t>Pass 1: MTP vs test suite</t>
        </is>
      </c>
      <c r="G139" s="171" t="inlineStr">
        <is>
          <t>QA-owned (UI/e2e - eng cannot cover)</t>
        </is>
      </c>
    </row>
    <row r="140">
      <c r="A140" s="171" t="inlineStr">
        <is>
          <t>GAP-CW-25</t>
        </is>
      </c>
      <c r="B140" s="171" t="inlineStr">
        <is>
          <t>Connect workers page</t>
        </is>
      </c>
      <c r="C140" s="171" t="inlineStr">
        <is>
          <t>[Delivery_tab_16] Ensure that all filter combinations are applied simultaneously and function correctly.</t>
        </is>
      </c>
      <c r="D140" s="171" t="inlineStr">
        <is>
          <t>🟡 Automatable - not yet done</t>
        </is>
      </c>
      <c r="E140" s="171" t="inlineStr">
        <is>
          <t>Standard web UI flow - no spec asserts this case</t>
        </is>
      </c>
      <c r="F140" s="171" t="inlineStr">
        <is>
          <t>Pass 1: MTP vs test suite</t>
        </is>
      </c>
      <c r="G140" s="171" t="inlineStr">
        <is>
          <t>QA-owned (UI/e2e - eng cannot cover)</t>
        </is>
      </c>
    </row>
    <row r="141">
      <c r="A141" s="171" t="inlineStr">
        <is>
          <t>GAP-CW-26</t>
        </is>
      </c>
      <c r="B141" s="171" t="inlineStr">
        <is>
          <t>Connect workers page</t>
        </is>
      </c>
      <c r="C141" s="171" t="inlineStr">
        <is>
          <t>[Payment Processing_2] Confirm user sees a message when they click on the Pay button</t>
        </is>
      </c>
      <c r="D141" s="171" t="inlineStr">
        <is>
          <t>🟡 Automatable - not yet done</t>
        </is>
      </c>
      <c r="E141" s="171" t="inlineStr">
        <is>
          <t>Standard web UI flow - no spec asserts this case</t>
        </is>
      </c>
      <c r="F141" s="171" t="inlineStr">
        <is>
          <t>Pass 1: MTP vs test suite</t>
        </is>
      </c>
      <c r="G141" s="171" t="inlineStr">
        <is>
          <t>QA-owned (UI/e2e - eng cannot cover)</t>
        </is>
      </c>
    </row>
    <row r="142">
      <c r="A142" s="171" t="inlineStr">
        <is>
          <t>GAP-VV-01</t>
        </is>
      </c>
      <c r="B142" s="171" t="inlineStr">
        <is>
          <t>Visit verification page</t>
        </is>
      </c>
      <c r="C142" s="171" t="inlineStr">
        <is>
          <t>[Worker Visit Verification Page_2] User should also view the worker's to date performance at the top of the page</t>
        </is>
      </c>
      <c r="D142" s="171" t="inlineStr">
        <is>
          <t>🟡 Automatable - not yet done</t>
        </is>
      </c>
      <c r="E142" s="171" t="inlineStr">
        <is>
          <t>Standard web UI flow - no spec asserts this case</t>
        </is>
      </c>
      <c r="F142" s="171" t="inlineStr">
        <is>
          <t>Pass 1: MTP vs test suite</t>
        </is>
      </c>
      <c r="G142" s="171" t="inlineStr">
        <is>
          <t>QA-owned (UI/e2e - eng cannot cover)</t>
        </is>
      </c>
    </row>
    <row r="143">
      <c r="A143" s="171" t="inlineStr">
        <is>
          <t>GAP-VV-02</t>
        </is>
      </c>
      <c r="B143" s="171" t="inlineStr">
        <is>
          <t>Visit verification page</t>
        </is>
      </c>
      <c r="C143" s="171" t="inlineStr">
        <is>
          <t>[Worker Visit Verification Page_3] Confirm on selecting an image a pop-up should open with a carousel view</t>
        </is>
      </c>
      <c r="D143" s="171" t="inlineStr">
        <is>
          <t>🟡 Automatable - not yet done</t>
        </is>
      </c>
      <c r="E143" s="171" t="inlineStr">
        <is>
          <t>Standard web UI flow - no spec asserts this case</t>
        </is>
      </c>
      <c r="F143" s="171" t="inlineStr">
        <is>
          <t>Pass 1: MTP vs test suite</t>
        </is>
      </c>
      <c r="G143" s="171" t="inlineStr">
        <is>
          <t>QA-owned (UI/e2e - eng cannot cover)</t>
        </is>
      </c>
    </row>
    <row r="144">
      <c r="A144" s="171" t="inlineStr">
        <is>
          <t>GAP-VV-03</t>
        </is>
      </c>
      <c r="B144" s="171" t="inlineStr">
        <is>
          <t>Visit verification page</t>
        </is>
      </c>
      <c r="C144" s="171" t="inlineStr">
        <is>
          <t>[Worker Visit Verification Page_5] Verify user is able to see two tabs:  Visits and Tasks</t>
        </is>
      </c>
      <c r="D144" s="171" t="inlineStr">
        <is>
          <t>🟡 Automatable - not yet done</t>
        </is>
      </c>
      <c r="E144" s="171" t="inlineStr">
        <is>
          <t>Standard web UI flow - no spec asserts this case</t>
        </is>
      </c>
      <c r="F144" s="171" t="inlineStr">
        <is>
          <t>Pass 1: MTP vs test suite</t>
        </is>
      </c>
      <c r="G144" s="171" t="inlineStr">
        <is>
          <t>QA-owned (UI/e2e - eng cannot cover)</t>
        </is>
      </c>
    </row>
    <row r="145">
      <c r="A145" s="171" t="inlineStr">
        <is>
          <t>GAP-VV-04</t>
        </is>
      </c>
      <c r="B145" s="171" t="inlineStr">
        <is>
          <t>Visit verification page</t>
        </is>
      </c>
      <c r="C145" s="171" t="inlineStr">
        <is>
          <t>[Worker Visit Verification Page_6] Verify submitted visit is auto approved</t>
        </is>
      </c>
      <c r="D145" s="171" t="inlineStr">
        <is>
          <t>🔴 Manual only</t>
        </is>
      </c>
      <c r="E145" s="171" t="inlineStr">
        <is>
          <t>Auto-approval requires mobile submissions</t>
        </is>
      </c>
      <c r="F145" s="171" t="inlineStr">
        <is>
          <t>Pass 1: MTP vs test suite</t>
        </is>
      </c>
      <c r="G145" s="171" t="inlineStr">
        <is>
          <t>QA-owned (manual)</t>
        </is>
      </c>
    </row>
    <row r="146">
      <c r="A146" s="171" t="inlineStr">
        <is>
          <t>GAP-VV-05</t>
        </is>
      </c>
      <c r="B146" s="171" t="inlineStr">
        <is>
          <t>Visit verification page</t>
        </is>
      </c>
      <c r="C146" s="171" t="inlineStr">
        <is>
          <t>[Worker Visit Verification Page_7] Verify submitted visiit is auto rejected when doesn't satisfy the configured verification rules</t>
        </is>
      </c>
      <c r="D146" s="171" t="inlineStr">
        <is>
          <t>🔴 Manual only</t>
        </is>
      </c>
      <c r="E146" s="171" t="inlineStr">
        <is>
          <t>Verification rules need mobile submissions</t>
        </is>
      </c>
      <c r="F146" s="171" t="inlineStr">
        <is>
          <t>Pass 1: MTP vs test suite</t>
        </is>
      </c>
      <c r="G146" s="171" t="inlineStr">
        <is>
          <t>QA-owned (manual)</t>
        </is>
      </c>
    </row>
    <row r="147">
      <c r="A147" s="171" t="inlineStr">
        <is>
          <t>GAP-VV-06</t>
        </is>
      </c>
      <c r="B147" s="171" t="inlineStr">
        <is>
          <t>Visit verification page</t>
        </is>
      </c>
      <c r="C147" s="171" t="inlineStr">
        <is>
          <t>[Worker Visit Verification Page_8] Verify submitted visit is auto rejected when suspended user make a visit</t>
        </is>
      </c>
      <c r="D147" s="171" t="inlineStr">
        <is>
          <t>🔴 Manual only</t>
        </is>
      </c>
      <c r="E147" s="171" t="inlineStr">
        <is>
          <t>Suspended-user visits come from mobile</t>
        </is>
      </c>
      <c r="F147" s="171" t="inlineStr">
        <is>
          <t>Pass 1: MTP vs test suite</t>
        </is>
      </c>
      <c r="G147" s="171" t="inlineStr">
        <is>
          <t>QA-owned (manual)</t>
        </is>
      </c>
    </row>
    <row r="148">
      <c r="A148" s="171" t="inlineStr">
        <is>
          <t>GAP-VV-07</t>
        </is>
      </c>
      <c r="B148" s="171" t="inlineStr">
        <is>
          <t>Visit verification page</t>
        </is>
      </c>
      <c r="C148" s="171" t="inlineStr">
        <is>
          <t>[Worker Visit Verification Page_9] Verify user is able to see the visit details upon clicking on the visit</t>
        </is>
      </c>
      <c r="D148" s="171" t="inlineStr">
        <is>
          <t>🟡 Automatable - not yet done</t>
        </is>
      </c>
      <c r="E148" s="171" t="inlineStr">
        <is>
          <t>Standard web UI flow - no spec asserts this case</t>
        </is>
      </c>
      <c r="F148" s="171" t="inlineStr">
        <is>
          <t>Pass 1: MTP vs test suite</t>
        </is>
      </c>
      <c r="G148" s="171" t="inlineStr">
        <is>
          <t>QA-owned (UI/e2e - eng cannot cover)</t>
        </is>
      </c>
    </row>
    <row r="149">
      <c r="A149" s="171" t="inlineStr">
        <is>
          <t>GAP-VV-08</t>
        </is>
      </c>
      <c r="B149" s="171" t="inlineStr">
        <is>
          <t>Visit verification page</t>
        </is>
      </c>
      <c r="C149" s="171" t="inlineStr">
        <is>
          <t>[Worker Visit Verification Page_10] Verify Over Limit status is marked correctly when visits exceeding the configured daily limit are submitted on the same day.</t>
        </is>
      </c>
      <c r="D149" s="171" t="inlineStr">
        <is>
          <t>🔴 Manual only</t>
        </is>
      </c>
      <c r="E149" s="171" t="inlineStr">
        <is>
          <t>Over-limit/concurrency/offline-sync - needs mobile + concurrent submissions</t>
        </is>
      </c>
      <c r="F149" s="171" t="inlineStr">
        <is>
          <t>Pass 1: MTP vs test suite</t>
        </is>
      </c>
      <c r="G149" s="171" t="inlineStr">
        <is>
          <t>QA-owned (manual)</t>
        </is>
      </c>
    </row>
    <row r="150">
      <c r="A150" s="171" t="inlineStr">
        <is>
          <t>GAP-VV-09</t>
        </is>
      </c>
      <c r="B150" s="171" t="inlineStr">
        <is>
          <t>Visit verification page</t>
        </is>
      </c>
      <c r="C150" s="171" t="inlineStr">
        <is>
          <t>[Worker Visit Verification Page_11] Verify only the first N visits (up to the daily limit) remain valid and any additional visits are flagged as Over Limit.</t>
        </is>
      </c>
      <c r="D150" s="171" t="inlineStr">
        <is>
          <t>🔴 Manual only</t>
        </is>
      </c>
      <c r="E150" s="171" t="inlineStr">
        <is>
          <t>Over-limit/concurrency/offline-sync - needs mobile + concurrent submissions</t>
        </is>
      </c>
      <c r="F150" s="171" t="inlineStr">
        <is>
          <t>Pass 1: MTP vs test suite</t>
        </is>
      </c>
      <c r="G150" s="171" t="inlineStr">
        <is>
          <t>QA-owned (manual)</t>
        </is>
      </c>
    </row>
    <row r="151">
      <c r="A151" s="171" t="inlineStr">
        <is>
          <t>GAP-VV-10</t>
        </is>
      </c>
      <c r="B151" s="171" t="inlineStr">
        <is>
          <t>Visit verification page</t>
        </is>
      </c>
      <c r="C151" s="171" t="inlineStr">
        <is>
          <t>[Worker Visit Verification Page_12] Verify Over Limit status is marked correctly when visits exceeding the configured total/max visit limit are submitted.</t>
        </is>
      </c>
      <c r="D151" s="171" t="inlineStr">
        <is>
          <t>🔴 Manual only</t>
        </is>
      </c>
      <c r="E151" s="171" t="inlineStr">
        <is>
          <t>Over-limit/concurrency/offline-sync - needs mobile + concurrent submissions</t>
        </is>
      </c>
      <c r="F151" s="171" t="inlineStr">
        <is>
          <t>Pass 1: MTP vs test suite</t>
        </is>
      </c>
      <c r="G151" s="171" t="inlineStr">
        <is>
          <t>QA-owned (manual)</t>
        </is>
      </c>
    </row>
    <row r="152">
      <c r="A152" s="171" t="inlineStr">
        <is>
          <t>GAP-VV-11</t>
        </is>
      </c>
      <c r="B152" s="171" t="inlineStr">
        <is>
          <t>Visit verification page</t>
        </is>
      </c>
      <c r="C152" s="171" t="inlineStr">
        <is>
          <t>[Worker Visit Verification Page_13] Verify only the first N visits (up to the total visit limit) remain valid and any additional visits are flagged as Over Limit.</t>
        </is>
      </c>
      <c r="D152" s="171" t="inlineStr">
        <is>
          <t>🔴 Manual only</t>
        </is>
      </c>
      <c r="E152" s="171" t="inlineStr">
        <is>
          <t>Over-limit/concurrency/offline-sync - needs mobile + concurrent submissions</t>
        </is>
      </c>
      <c r="F152" s="171" t="inlineStr">
        <is>
          <t>Pass 1: MTP vs test suite</t>
        </is>
      </c>
      <c r="G152" s="171" t="inlineStr">
        <is>
          <t>QA-owned (manual)</t>
        </is>
      </c>
    </row>
    <row r="153">
      <c r="A153" s="171" t="inlineStr">
        <is>
          <t>GAP-VV-12</t>
        </is>
      </c>
      <c r="B153" s="171" t="inlineStr">
        <is>
          <t>Visit verification page</t>
        </is>
      </c>
      <c r="C153" s="171" t="inlineStr">
        <is>
          <t>[Worker Visit Verification Page_14] Verify no additional visits are accepted when multiple submissions are processed concurrently after the daily limit has been reached.</t>
        </is>
      </c>
      <c r="D153" s="171" t="inlineStr">
        <is>
          <t>🔴 Manual only</t>
        </is>
      </c>
      <c r="E153" s="171" t="inlineStr">
        <is>
          <t>Over-limit/concurrency/offline-sync - needs mobile + concurrent submissions</t>
        </is>
      </c>
      <c r="F153" s="171" t="inlineStr">
        <is>
          <t>Pass 1: MTP vs test suite</t>
        </is>
      </c>
      <c r="G153" s="171" t="inlineStr">
        <is>
          <t>QA-owned (manual)</t>
        </is>
      </c>
    </row>
    <row r="154">
      <c r="A154" s="171" t="inlineStr">
        <is>
          <t>GAP-VV-13</t>
        </is>
      </c>
      <c r="B154" s="171" t="inlineStr">
        <is>
          <t>Visit verification page</t>
        </is>
      </c>
      <c r="C154" s="171" t="inlineStr">
        <is>
          <t>[Worker Visit Verification Page_15] Verify no additional visits are accepted when multiple submissions are processed concurrently after the total visit limit has been reached.</t>
        </is>
      </c>
      <c r="D154" s="171" t="inlineStr">
        <is>
          <t>🔴 Manual only</t>
        </is>
      </c>
      <c r="E154" s="171" t="inlineStr">
        <is>
          <t>Over-limit/concurrency/offline-sync - needs mobile + concurrent submissions</t>
        </is>
      </c>
      <c r="F154" s="171" t="inlineStr">
        <is>
          <t>Pass 1: MTP vs test suite</t>
        </is>
      </c>
      <c r="G154" s="171" t="inlineStr">
        <is>
          <t>QA-owned (manual)</t>
        </is>
      </c>
    </row>
    <row r="155">
      <c r="A155" s="171" t="inlineStr">
        <is>
          <t>GAP-VV-14</t>
        </is>
      </c>
      <c r="B155" s="171" t="inlineStr">
        <is>
          <t>Visit verification page</t>
        </is>
      </c>
      <c r="C155" s="171" t="inlineStr">
        <is>
          <t>[Worker Visit Verification Page_16] Verify visits exceeding the daily limit are displayed with an Over Limit status on the Visit Verification screen.</t>
        </is>
      </c>
      <c r="D155" s="171" t="inlineStr">
        <is>
          <t>🔴 Manual only</t>
        </is>
      </c>
      <c r="E155" s="171" t="inlineStr">
        <is>
          <t>Over-limit/concurrency/offline-sync - needs mobile + concurrent submissions</t>
        </is>
      </c>
      <c r="F155" s="171" t="inlineStr">
        <is>
          <t>Pass 1: MTP vs test suite</t>
        </is>
      </c>
      <c r="G155" s="171" t="inlineStr">
        <is>
          <t>QA-owned (manual)</t>
        </is>
      </c>
    </row>
    <row r="156">
      <c r="A156" s="171" t="inlineStr">
        <is>
          <t>GAP-VV-15</t>
        </is>
      </c>
      <c r="B156" s="171" t="inlineStr">
        <is>
          <t>Visit verification page</t>
        </is>
      </c>
      <c r="C156" s="171" t="inlineStr">
        <is>
          <t>[Worker Visit Verification Page_17] Verify visits exceeding the total visit limit are displayed with an Over Limit status on the Visit Verification screen.</t>
        </is>
      </c>
      <c r="D156" s="171" t="inlineStr">
        <is>
          <t>🔴 Manual only</t>
        </is>
      </c>
      <c r="E156" s="171" t="inlineStr">
        <is>
          <t>Over-limit/concurrency/offline-sync - needs mobile + concurrent submissions</t>
        </is>
      </c>
      <c r="F156" s="171" t="inlineStr">
        <is>
          <t>Pass 1: MTP vs test suite</t>
        </is>
      </c>
      <c r="G156" s="171" t="inlineStr">
        <is>
          <t>QA-owned (manual)</t>
        </is>
      </c>
    </row>
    <row r="157">
      <c r="A157" s="171" t="inlineStr">
        <is>
          <t>GAP-VV-16</t>
        </is>
      </c>
      <c r="B157" s="171" t="inlineStr">
        <is>
          <t>Visit verification page</t>
        </is>
      </c>
      <c r="C157" s="171" t="inlineStr">
        <is>
          <t>[Worker Visit Verification Page_18] Verify the count of valid visits and Over Limit visits displayed on the Visit Verification screen is accurate after concurrent submissions.</t>
        </is>
      </c>
      <c r="D157" s="171" t="inlineStr">
        <is>
          <t>🔴 Manual only</t>
        </is>
      </c>
      <c r="E157" s="171" t="inlineStr">
        <is>
          <t>Over-limit/concurrency/offline-sync - needs mobile + concurrent submissions</t>
        </is>
      </c>
      <c r="F157" s="171" t="inlineStr">
        <is>
          <t>Pass 1: MTP vs test suite</t>
        </is>
      </c>
      <c r="G157" s="171" t="inlineStr">
        <is>
          <t>QA-owned (manual)</t>
        </is>
      </c>
    </row>
    <row r="158">
      <c r="A158" s="171" t="inlineStr">
        <is>
          <t>GAP-VV-17</t>
        </is>
      </c>
      <c r="B158" s="171" t="inlineStr">
        <is>
          <t>Visit verification page</t>
        </is>
      </c>
      <c r="C158" s="171" t="inlineStr">
        <is>
          <t>[Worker Visit Verification Page_19] Verify visits submitted through queued/offline sync are correctly evaluated against the daily limit when multiple submissions are processed together.</t>
        </is>
      </c>
      <c r="D158" s="171" t="inlineStr">
        <is>
          <t>🔴 Manual only</t>
        </is>
      </c>
      <c r="E158" s="171" t="inlineStr">
        <is>
          <t>Over-limit/concurrency/offline-sync - needs mobile + concurrent submissions</t>
        </is>
      </c>
      <c r="F158" s="171" t="inlineStr">
        <is>
          <t>Pass 1: MTP vs test suite</t>
        </is>
      </c>
      <c r="G158" s="171" t="inlineStr">
        <is>
          <t>QA-owned (manual)</t>
        </is>
      </c>
    </row>
    <row r="159">
      <c r="A159" s="171" t="inlineStr">
        <is>
          <t>GAP-VV-18</t>
        </is>
      </c>
      <c r="B159" s="171" t="inlineStr">
        <is>
          <t>Visit verification page</t>
        </is>
      </c>
      <c r="C159" s="171" t="inlineStr">
        <is>
          <t>[Worker Visit Verification Page_20] Verify visits submitted through queued/offline sync are correctly evaluated against the total visit limit when multiple submissions are processed together.</t>
        </is>
      </c>
      <c r="D159" s="171" t="inlineStr">
        <is>
          <t>🔴 Manual only</t>
        </is>
      </c>
      <c r="E159" s="171" t="inlineStr">
        <is>
          <t>Over-limit/concurrency/offline-sync - needs mobile + concurrent submissions</t>
        </is>
      </c>
      <c r="F159" s="171" t="inlineStr">
        <is>
          <t>Pass 1: MTP vs test suite</t>
        </is>
      </c>
      <c r="G159" s="171" t="inlineStr">
        <is>
          <t>QA-owned (manual)</t>
        </is>
      </c>
    </row>
    <row r="160">
      <c r="A160" s="171" t="inlineStr">
        <is>
          <t>GAP-VV-19</t>
        </is>
      </c>
      <c r="B160" s="171" t="inlineStr">
        <is>
          <t>Visit verification page</t>
        </is>
      </c>
      <c r="C160" s="171" t="inlineStr">
        <is>
          <t>[Worker Visit Verification Page_21] Verify trial visit submission</t>
        </is>
      </c>
      <c r="D160" s="171" t="inlineStr">
        <is>
          <t>🔴 Manual only</t>
        </is>
      </c>
      <c r="E160" s="171" t="inlineStr">
        <is>
          <t>Pre-start-date submission - time-dependent</t>
        </is>
      </c>
      <c r="F160" s="171" t="inlineStr">
        <is>
          <t>Pass 1: MTP vs test suite</t>
        </is>
      </c>
      <c r="G160" s="171" t="inlineStr">
        <is>
          <t>QA-owned (manual)</t>
        </is>
      </c>
    </row>
    <row r="161">
      <c r="A161" s="171" t="inlineStr">
        <is>
          <t>GAP-VV-20</t>
        </is>
      </c>
      <c r="B161" s="171" t="inlineStr">
        <is>
          <t>Visit verification page</t>
        </is>
      </c>
      <c r="C161" s="171" t="inlineStr">
        <is>
          <t>[Worker Visit Verification Page_22] Verify post end date submissions</t>
        </is>
      </c>
      <c r="D161" s="171" t="inlineStr">
        <is>
          <t>🔴 Manual only</t>
        </is>
      </c>
      <c r="E161" s="171" t="inlineStr">
        <is>
          <t>Post-end-date submission - time-dependent</t>
        </is>
      </c>
      <c r="F161" s="171" t="inlineStr">
        <is>
          <t>Pass 1: MTP vs test suite</t>
        </is>
      </c>
      <c r="G161" s="171" t="inlineStr">
        <is>
          <t>QA-owned (manual)</t>
        </is>
      </c>
    </row>
    <row r="162">
      <c r="A162" s="171" t="inlineStr">
        <is>
          <t>GAP-VV-21</t>
        </is>
      </c>
      <c r="B162" s="171" t="inlineStr">
        <is>
          <t>Visit verification page</t>
        </is>
      </c>
      <c r="C162" s="171" t="inlineStr">
        <is>
          <t>[Worker Visit Verification Page_23] Verify duplicate visits are billable only when visits are approved by NM and agreed by PM</t>
        </is>
      </c>
      <c r="D162" s="171" t="inlineStr">
        <is>
          <t>🔴 Manual only</t>
        </is>
      </c>
      <c r="E162" s="171" t="inlineStr">
        <is>
          <t>Duplicate-visit billing needs mobile submissions (CSV import step itself is automatable)</t>
        </is>
      </c>
      <c r="F162" s="171" t="inlineStr">
        <is>
          <t>Pass 1: MTP vs test suite</t>
        </is>
      </c>
      <c r="G162" s="171" t="inlineStr">
        <is>
          <t>QA-owned (manual)</t>
        </is>
      </c>
    </row>
    <row r="163">
      <c r="A163" s="171" t="inlineStr">
        <is>
          <t>GAP-VV-22</t>
        </is>
      </c>
      <c r="B163" s="171" t="inlineStr">
        <is>
          <t>Visit verification page</t>
        </is>
      </c>
      <c r="C163" s="171" t="inlineStr">
        <is>
          <t>[Worker Visit Verification Page_24] Verify duplicate visits are not billable when PM is not agreed</t>
        </is>
      </c>
      <c r="D163" s="171" t="inlineStr">
        <is>
          <t>🔴 Manual only</t>
        </is>
      </c>
      <c r="E163" s="171" t="inlineStr">
        <is>
          <t>Duplicate-visit billing needs mobile submissions (CSV import step itself is automatable)</t>
        </is>
      </c>
      <c r="F163" s="171" t="inlineStr">
        <is>
          <t>Pass 1: MTP vs test suite</t>
        </is>
      </c>
      <c r="G163" s="171" t="inlineStr">
        <is>
          <t>QA-owned (manual)</t>
        </is>
      </c>
    </row>
    <row r="164">
      <c r="A164" s="171" t="inlineStr">
        <is>
          <t>GAP-VV-23</t>
        </is>
      </c>
      <c r="B164" s="171" t="inlineStr">
        <is>
          <t>Visit verification page</t>
        </is>
      </c>
      <c r="C164" s="171" t="inlineStr">
        <is>
          <t>[Worker Visit Verification Page_25] Verfiy the visits are billable only when agreed by PM using import bulk</t>
        </is>
      </c>
      <c r="D164" s="171" t="inlineStr">
        <is>
          <t>🔴 Manual only</t>
        </is>
      </c>
      <c r="E164" s="171" t="inlineStr">
        <is>
          <t>Duplicate-visit billing needs mobile submissions (CSV import step itself is automatable)</t>
        </is>
      </c>
      <c r="F164" s="171" t="inlineStr">
        <is>
          <t>Pass 1: MTP vs test suite</t>
        </is>
      </c>
      <c r="G164" s="171" t="inlineStr">
        <is>
          <t>QA-owned (manual)</t>
        </is>
      </c>
    </row>
    <row r="165">
      <c r="A165" s="171" t="inlineStr">
        <is>
          <t>GAP-VV-24</t>
        </is>
      </c>
      <c r="B165" s="171" t="inlineStr">
        <is>
          <t>Visit verification page</t>
        </is>
      </c>
      <c r="C165" s="171" t="inlineStr">
        <is>
          <t>[Worker Visit Verification Page_26] Verfiy the visits are not billable when disagreed by PM using import bulk</t>
        </is>
      </c>
      <c r="D165" s="171" t="inlineStr">
        <is>
          <t>🔴 Manual only</t>
        </is>
      </c>
      <c r="E165" s="171" t="inlineStr">
        <is>
          <t>Duplicate-visit billing needs mobile submissions (CSV import step itself is automatable)</t>
        </is>
      </c>
      <c r="F165" s="171" t="inlineStr">
        <is>
          <t>Pass 1: MTP vs test suite</t>
        </is>
      </c>
      <c r="G165" s="171" t="inlineStr">
        <is>
          <t>QA-owned (manual)</t>
        </is>
      </c>
    </row>
    <row r="166">
      <c r="A166" s="171" t="inlineStr">
        <is>
          <t>GAP-VV-25</t>
        </is>
      </c>
      <c r="B166" s="171" t="inlineStr">
        <is>
          <t>Visit verification page</t>
        </is>
      </c>
      <c r="C166" s="171" t="inlineStr">
        <is>
          <t>[Worker Visit Verification Page_27] Verify combination of agreed/disgareed for duplicate visits using import</t>
        </is>
      </c>
      <c r="D166" s="171" t="inlineStr">
        <is>
          <t>🔴 Manual only</t>
        </is>
      </c>
      <c r="E166" s="171" t="inlineStr">
        <is>
          <t>Duplicate-visit billing needs mobile submissions (CSV import step itself is automatable)</t>
        </is>
      </c>
      <c r="F166" s="171" t="inlineStr">
        <is>
          <t>Pass 1: MTP vs test suite</t>
        </is>
      </c>
      <c r="G166" s="171" t="inlineStr">
        <is>
          <t>QA-owned (manual)</t>
        </is>
      </c>
    </row>
    <row r="167">
      <c r="A167" s="171" t="inlineStr">
        <is>
          <t>GAP-VV-26</t>
        </is>
      </c>
      <c r="B167" s="171" t="inlineStr">
        <is>
          <t>Visit verification page</t>
        </is>
      </c>
      <c r="C167" s="171" t="inlineStr">
        <is>
          <t>[Worker Visit Verification Page_28] Verify the invoice generating should contains only visits that are agreed by PM</t>
        </is>
      </c>
      <c r="D167" s="171" t="inlineStr">
        <is>
          <t>🔴 Manual only</t>
        </is>
      </c>
      <c r="E167" s="171" t="inlineStr">
        <is>
          <t>Duplicate-visit billing needs mobile submissions (CSV import step itself is automatable)</t>
        </is>
      </c>
      <c r="F167" s="171" t="inlineStr">
        <is>
          <t>Pass 1: MTP vs test suite</t>
        </is>
      </c>
      <c r="G167" s="171" t="inlineStr">
        <is>
          <t>QA-owned (manual)</t>
        </is>
      </c>
    </row>
    <row r="168">
      <c r="A168" s="171" t="inlineStr">
        <is>
          <t>GAP-VV-27</t>
        </is>
      </c>
      <c r="B168" s="171" t="inlineStr">
        <is>
          <t>Visit verification page</t>
        </is>
      </c>
      <c r="C168" s="171" t="inlineStr">
        <is>
          <t>[Worker Visit Verification Page_29] Verify payment is accrued only when all required visits and atleast one optional visit (if any) are agreed by PM</t>
        </is>
      </c>
      <c r="D168" s="171" t="inlineStr">
        <is>
          <t>🔴 Manual only</t>
        </is>
      </c>
      <c r="E168" s="171" t="inlineStr">
        <is>
          <t>Duplicate-visit billing needs mobile submissions (CSV import step itself is automatable)</t>
        </is>
      </c>
      <c r="F168" s="171" t="inlineStr">
        <is>
          <t>Pass 1: MTP vs test suite</t>
        </is>
      </c>
      <c r="G168" s="171" t="inlineStr">
        <is>
          <t>QA-owned (manual)</t>
        </is>
      </c>
    </row>
    <row r="169">
      <c r="A169" s="171" t="inlineStr">
        <is>
          <t>GAP-VV-28</t>
        </is>
      </c>
      <c r="B169" s="171" t="inlineStr">
        <is>
          <t>Visit verification page</t>
        </is>
      </c>
      <c r="C169" s="171" t="inlineStr">
        <is>
          <t>[Worker Visit Verification Page_30] Verify payment is not accrued when all required visits and atleast one optional visit (if any) are agreed by PM</t>
        </is>
      </c>
      <c r="D169" s="171" t="inlineStr">
        <is>
          <t>🔴 Manual only</t>
        </is>
      </c>
      <c r="E169" s="171" t="inlineStr">
        <is>
          <t>Duplicate-visit billing needs mobile submissions (CSV import step itself is automatable)</t>
        </is>
      </c>
      <c r="F169" s="171" t="inlineStr">
        <is>
          <t>Pass 1: MTP vs test suite</t>
        </is>
      </c>
      <c r="G169" s="171" t="inlineStr">
        <is>
          <t>QA-owned (manual)</t>
        </is>
      </c>
    </row>
    <row r="170">
      <c r="A170" s="171" t="inlineStr">
        <is>
          <t>GAP-VV-29</t>
        </is>
      </c>
      <c r="B170" s="171" t="inlineStr">
        <is>
          <t>Visit verification page</t>
        </is>
      </c>
      <c r="C170" s="171" t="inlineStr">
        <is>
          <t>[Worker Visit Verification Page_31] Verfiy user is able to reject the visits (NM user)</t>
        </is>
      </c>
      <c r="D170" s="171" t="inlineStr">
        <is>
          <t>🟡 Automatable - not yet done</t>
        </is>
      </c>
      <c r="E170" s="171" t="inlineStr">
        <is>
          <t>Standard web UI flow - no spec asserts this case</t>
        </is>
      </c>
      <c r="F170" s="171" t="inlineStr">
        <is>
          <t>Pass 1: MTP vs test suite</t>
        </is>
      </c>
      <c r="G170" s="171" t="inlineStr">
        <is>
          <t>QA-owned (UI/e2e - eng cannot cover)</t>
        </is>
      </c>
    </row>
    <row r="171">
      <c r="A171" s="171" t="inlineStr">
        <is>
          <t>GAP-VV-30</t>
        </is>
      </c>
      <c r="B171" s="171" t="inlineStr">
        <is>
          <t>Visit verification page</t>
        </is>
      </c>
      <c r="C171" s="171" t="inlineStr">
        <is>
          <t>[Worker Visit Verification Page_33] Verify user is able to agree the visits (PM user)</t>
        </is>
      </c>
      <c r="D171" s="171" t="inlineStr">
        <is>
          <t>🟡 Automatable - not yet done</t>
        </is>
      </c>
      <c r="E171" s="171" t="inlineStr">
        <is>
          <t>Standard web UI flow - no spec asserts this case</t>
        </is>
      </c>
      <c r="F171" s="171" t="inlineStr">
        <is>
          <t>Pass 1: MTP vs test suite</t>
        </is>
      </c>
      <c r="G171" s="171" t="inlineStr">
        <is>
          <t>QA-owned (UI/e2e - eng cannot cover)</t>
        </is>
      </c>
    </row>
    <row r="172">
      <c r="A172" s="171" t="inlineStr">
        <is>
          <t>GAP-VV-31</t>
        </is>
      </c>
      <c r="B172" s="171" t="inlineStr">
        <is>
          <t>Visit verification page</t>
        </is>
      </c>
      <c r="C172" s="171" t="inlineStr">
        <is>
          <t>[Worker Visit Verification Page_34] Verify user is able to disagree the visits (PM user)</t>
        </is>
      </c>
      <c r="D172" s="171" t="inlineStr">
        <is>
          <t>🟡 Automatable - not yet done</t>
        </is>
      </c>
      <c r="E172" s="171" t="inlineStr">
        <is>
          <t>Standard web UI flow - no spec asserts this case</t>
        </is>
      </c>
      <c r="F172" s="171" t="inlineStr">
        <is>
          <t>Pass 1: MTP vs test suite</t>
        </is>
      </c>
      <c r="G172" s="171" t="inlineStr">
        <is>
          <t>QA-owned (UI/e2e - eng cannot cover)</t>
        </is>
      </c>
    </row>
    <row r="173">
      <c r="A173" s="171" t="inlineStr">
        <is>
          <t>GAP-VV-32</t>
        </is>
      </c>
      <c r="B173" s="171" t="inlineStr">
        <is>
          <t>Visit verification page</t>
        </is>
      </c>
      <c r="C173" s="171" t="inlineStr">
        <is>
          <t>[Worker Visit Verification Page_35] Verify user is not able to agree the visit that is disagreed and vice versa</t>
        </is>
      </c>
      <c r="D173" s="171" t="inlineStr">
        <is>
          <t>🟡 Automatable - not yet done</t>
        </is>
      </c>
      <c r="E173" s="171" t="inlineStr">
        <is>
          <t>Standard web UI flow - no spec asserts this case</t>
        </is>
      </c>
      <c r="F173" s="171" t="inlineStr">
        <is>
          <t>Pass 1: MTP vs test suite</t>
        </is>
      </c>
      <c r="G173" s="171" t="inlineStr">
        <is>
          <t>Partial - likely eng-covered (confirm w/ eng)</t>
        </is>
      </c>
    </row>
    <row r="174">
      <c r="A174" s="171" t="inlineStr">
        <is>
          <t>GAP-VV-33</t>
        </is>
      </c>
      <c r="B174" s="171" t="inlineStr">
        <is>
          <t>Visit verification page</t>
        </is>
      </c>
      <c r="C174" s="171" t="inlineStr">
        <is>
          <t>[Payment eligibility_01] Verify user becomes eligible for payment when all required visits are approved</t>
        </is>
      </c>
      <c r="D174" s="171" t="inlineStr">
        <is>
          <t>🔴 Manual only</t>
        </is>
      </c>
      <c r="E174" s="171" t="inlineStr">
        <is>
          <t>Eligibility depends on mobile visit submissions</t>
        </is>
      </c>
      <c r="F174" s="171" t="inlineStr">
        <is>
          <t>Pass 1: MTP vs test suite</t>
        </is>
      </c>
      <c r="G174" s="171" t="inlineStr">
        <is>
          <t>QA-owned (manual)</t>
        </is>
      </c>
    </row>
    <row r="175">
      <c r="A175" s="171" t="inlineStr">
        <is>
          <t>GAP-VV-34</t>
        </is>
      </c>
      <c r="B175" s="171" t="inlineStr">
        <is>
          <t>Visit verification page</t>
        </is>
      </c>
      <c r="C175" s="171" t="inlineStr">
        <is>
          <t>[Payment eligibility_02] Verify user is not eligible for payment if any required visit is not approved</t>
        </is>
      </c>
      <c r="D175" s="171" t="inlineStr">
        <is>
          <t>🔴 Manual only</t>
        </is>
      </c>
      <c r="E175" s="171" t="inlineStr">
        <is>
          <t>Eligibility depends on mobile visit submissions</t>
        </is>
      </c>
      <c r="F175" s="171" t="inlineStr">
        <is>
          <t>Pass 1: MTP vs test suite</t>
        </is>
      </c>
      <c r="G175" s="171" t="inlineStr">
        <is>
          <t>QA-owned (manual)</t>
        </is>
      </c>
    </row>
    <row r="176">
      <c r="A176" s="171" t="inlineStr">
        <is>
          <t>GAP-VV-35</t>
        </is>
      </c>
      <c r="B176" s="171" t="inlineStr">
        <is>
          <t>Visit verification page</t>
        </is>
      </c>
      <c r="C176" s="171" t="inlineStr">
        <is>
          <t>[Payment eligibility_03] Verify payment eligibility when all required visits and at least one optional visit are approved</t>
        </is>
      </c>
      <c r="D176" s="171" t="inlineStr">
        <is>
          <t>🔴 Manual only</t>
        </is>
      </c>
      <c r="E176" s="171" t="inlineStr">
        <is>
          <t>Eligibility depends on mobile visit submissions</t>
        </is>
      </c>
      <c r="F176" s="171" t="inlineStr">
        <is>
          <t>Pass 1: MTP vs test suite</t>
        </is>
      </c>
      <c r="G176" s="171" t="inlineStr">
        <is>
          <t>QA-owned (manual)</t>
        </is>
      </c>
    </row>
    <row r="177">
      <c r="A177" s="171" t="inlineStr">
        <is>
          <t>GAP-VV-36</t>
        </is>
      </c>
      <c r="B177" s="171" t="inlineStr">
        <is>
          <t>Visit verification page</t>
        </is>
      </c>
      <c r="C177" s="171" t="inlineStr">
        <is>
          <t>[Payment eligibility_04] Verify worker is not eligible if optional visits exist but none are approved</t>
        </is>
      </c>
      <c r="D177" s="171" t="inlineStr">
        <is>
          <t>🔴 Manual only</t>
        </is>
      </c>
      <c r="E177" s="171" t="inlineStr">
        <is>
          <t>Eligibility depends on mobile visit submissions</t>
        </is>
      </c>
      <c r="F177" s="171" t="inlineStr">
        <is>
          <t>Pass 1: MTP vs test suite</t>
        </is>
      </c>
      <c r="G177" s="171" t="inlineStr">
        <is>
          <t>QA-owned (manual)</t>
        </is>
      </c>
    </row>
    <row r="178">
      <c r="A178" s="171" t="inlineStr">
        <is>
          <t>GAP-VV-37</t>
        </is>
      </c>
      <c r="B178" s="171" t="inlineStr">
        <is>
          <t>Visit verification page</t>
        </is>
      </c>
      <c r="C178" s="171" t="inlineStr">
        <is>
          <t>[Payment eligibility_06] Verify auto-approval system correctly marks eligibility</t>
        </is>
      </c>
      <c r="D178" s="171" t="inlineStr">
        <is>
          <t>🔴 Manual only</t>
        </is>
      </c>
      <c r="E178" s="171" t="inlineStr">
        <is>
          <t>Eligibility depends on mobile visit submissions</t>
        </is>
      </c>
      <c r="F178" s="171" t="inlineStr">
        <is>
          <t>Pass 1: MTP vs test suite</t>
        </is>
      </c>
      <c r="G178" s="171" t="inlineStr">
        <is>
          <t>QA-owned (manual)</t>
        </is>
      </c>
    </row>
    <row r="179">
      <c r="A179" s="171" t="inlineStr">
        <is>
          <t>GAP-VV-38</t>
        </is>
      </c>
      <c r="B179" s="171" t="inlineStr">
        <is>
          <t>Visit verification page</t>
        </is>
      </c>
      <c r="C179" s="171" t="inlineStr">
        <is>
          <t>[Payment eligibility_07] Verify manual approval works with new eligibility logic</t>
        </is>
      </c>
      <c r="D179" s="171" t="inlineStr">
        <is>
          <t>🔴 Manual only</t>
        </is>
      </c>
      <c r="E179" s="171" t="inlineStr">
        <is>
          <t>Eligibility depends on mobile visit submissions</t>
        </is>
      </c>
      <c r="F179" s="171" t="inlineStr">
        <is>
          <t>Pass 1: MTP vs test suite</t>
        </is>
      </c>
      <c r="G179" s="171" t="inlineStr">
        <is>
          <t>QA-owned (manual)</t>
        </is>
      </c>
    </row>
    <row r="180">
      <c r="A180" s="171" t="inlineStr">
        <is>
          <t>GAP-VV-39</t>
        </is>
      </c>
      <c r="B180" s="171" t="inlineStr">
        <is>
          <t>Visit verification page</t>
        </is>
      </c>
      <c r="C180" s="171" t="inlineStr">
        <is>
          <t>[Payment eligibility_08] Verify optional visit approved but required visits missing</t>
        </is>
      </c>
      <c r="D180" s="171" t="inlineStr">
        <is>
          <t>🔴 Manual only</t>
        </is>
      </c>
      <c r="E180" s="171" t="inlineStr">
        <is>
          <t>Eligibility depends on mobile visit submissions</t>
        </is>
      </c>
      <c r="F180" s="171" t="inlineStr">
        <is>
          <t>Pass 1: MTP vs test suite</t>
        </is>
      </c>
      <c r="G180" s="171" t="inlineStr">
        <is>
          <t>QA-owned (manual)</t>
        </is>
      </c>
    </row>
    <row r="181">
      <c r="A181" s="171" t="inlineStr">
        <is>
          <t>GAP-VV-40</t>
        </is>
      </c>
      <c r="B181" s="171" t="inlineStr">
        <is>
          <t>Visit verification page</t>
        </is>
      </c>
      <c r="C181" s="171" t="inlineStr">
        <is>
          <t>[Payment eligibility_09] Verify rejected visits do not count toward payment eligibility</t>
        </is>
      </c>
      <c r="D181" s="171" t="inlineStr">
        <is>
          <t>🔴 Manual only</t>
        </is>
      </c>
      <c r="E181" s="171" t="inlineStr">
        <is>
          <t>Eligibility depends on mobile visit submissions</t>
        </is>
      </c>
      <c r="F181" s="171" t="inlineStr">
        <is>
          <t>Pass 1: MTP vs test suite</t>
        </is>
      </c>
      <c r="G181" s="171" t="inlineStr">
        <is>
          <t>QA-owned (manual)</t>
        </is>
      </c>
    </row>
    <row r="182">
      <c r="A182" s="171" t="inlineStr">
        <is>
          <t>GAP-INV-01</t>
        </is>
      </c>
      <c r="B182" s="171" t="inlineStr">
        <is>
          <t>Invoices List page</t>
        </is>
      </c>
      <c r="C182" s="171" t="inlineStr">
        <is>
          <t>[Invoice_01] Verify user can land on the Invoice page by clicking "View Invoice" option from the opportunity dashboard page</t>
        </is>
      </c>
      <c r="D182" s="171" t="inlineStr">
        <is>
          <t>🟡 Automatable - not yet done</t>
        </is>
      </c>
      <c r="E182" s="171" t="inlineStr">
        <is>
          <t>Standard web UI flow - no spec asserts this case</t>
        </is>
      </c>
      <c r="F182" s="171" t="inlineStr">
        <is>
          <t>Pass 1: MTP vs test suite</t>
        </is>
      </c>
      <c r="G182" s="171" t="inlineStr">
        <is>
          <t>QA-owned (UI/e2e - eng cannot cover)</t>
        </is>
      </c>
    </row>
    <row r="183">
      <c r="A183" s="171" t="inlineStr">
        <is>
          <t>GAP-INV-02</t>
        </is>
      </c>
      <c r="B183" s="171" t="inlineStr">
        <is>
          <t>Invoices List page</t>
        </is>
      </c>
      <c r="C183" s="171" t="inlineStr">
        <is>
          <t>[Invoice_02] Verify user sees all the information for invoices under All Invoice tab</t>
        </is>
      </c>
      <c r="D183" s="171" t="inlineStr">
        <is>
          <t>🟡 Automatable - not yet done</t>
        </is>
      </c>
      <c r="E183" s="171" t="inlineStr">
        <is>
          <t>Standard web UI flow - no spec asserts this case</t>
        </is>
      </c>
      <c r="F183" s="171" t="inlineStr">
        <is>
          <t>Pass 1: MTP vs test suite</t>
        </is>
      </c>
      <c r="G183" s="171" t="inlineStr">
        <is>
          <t>QA-owned (UI/e2e - eng cannot cover)</t>
        </is>
      </c>
    </row>
    <row r="184">
      <c r="A184" s="171" t="inlineStr">
        <is>
          <t>GAP-INV-03</t>
        </is>
      </c>
      <c r="B184" s="171" t="inlineStr">
        <is>
          <t>Invoices List page</t>
        </is>
      </c>
      <c r="C184" s="171" t="inlineStr">
        <is>
          <t>[Invoice_03] Verify user sees the total accrued and paid amount for both worker and organization on the Payment Report page</t>
        </is>
      </c>
      <c r="D184" s="171" t="inlineStr">
        <is>
          <t>🟡 Automatable - not yet done</t>
        </is>
      </c>
      <c r="E184" s="171" t="inlineStr">
        <is>
          <t>Standard web UI flow - no spec asserts this case</t>
        </is>
      </c>
      <c r="F184" s="171" t="inlineStr">
        <is>
          <t>Pass 1: MTP vs test suite</t>
        </is>
      </c>
      <c r="G184" s="171" t="inlineStr">
        <is>
          <t>Partial - likely eng-covered (confirm w/ eng)</t>
        </is>
      </c>
    </row>
    <row r="185">
      <c r="A185" s="171" t="inlineStr">
        <is>
          <t>GAP-INV-04</t>
        </is>
      </c>
      <c r="B185" s="171" t="inlineStr">
        <is>
          <t>Invoices List page</t>
        </is>
      </c>
      <c r="C185" s="171" t="inlineStr">
        <is>
          <t>[Invoice_04] Verify on the Payment Report, the amount gets converted to USD when user toggles the switch</t>
        </is>
      </c>
      <c r="D185" s="171" t="inlineStr">
        <is>
          <t>🟡 Automatable - not yet done</t>
        </is>
      </c>
      <c r="E185" s="171" t="inlineStr">
        <is>
          <t>Standard web UI flow - no spec asserts this case</t>
        </is>
      </c>
      <c r="F185" s="171" t="inlineStr">
        <is>
          <t>Pass 1: MTP vs test suite</t>
        </is>
      </c>
      <c r="G185" s="171" t="inlineStr">
        <is>
          <t>QA-owned (UI/e2e - eng cannot cover)</t>
        </is>
      </c>
    </row>
    <row r="186">
      <c r="A186" s="171" t="inlineStr">
        <is>
          <t>GAP-INV-05</t>
        </is>
      </c>
      <c r="B186" s="171" t="inlineStr">
        <is>
          <t>Invoices List page</t>
        </is>
      </c>
      <c r="C186" s="171" t="inlineStr">
        <is>
          <t>[Invoice_05] Confirm user can create a new custom invoice by clicking on the "Create Invoice" button</t>
        </is>
      </c>
      <c r="D186" s="171" t="inlineStr">
        <is>
          <t>🟡 Automatable - not yet done</t>
        </is>
      </c>
      <c r="E186" s="171" t="inlineStr">
        <is>
          <t>Standard web UI flow - no spec asserts this case</t>
        </is>
      </c>
      <c r="F186" s="171" t="inlineStr">
        <is>
          <t>Pass 1: MTP vs test suite</t>
        </is>
      </c>
      <c r="G186" s="171" t="inlineStr">
        <is>
          <t>QA-owned (UI/e2e - eng cannot cover)</t>
        </is>
      </c>
    </row>
    <row r="187">
      <c r="A187" s="171" t="inlineStr">
        <is>
          <t>GAP-INV-06</t>
        </is>
      </c>
      <c r="B187" s="171" t="inlineStr">
        <is>
          <t>Invoices List page</t>
        </is>
      </c>
      <c r="C187" s="171" t="inlineStr">
        <is>
          <t>[Invoice_06] Confirm that user sees a message, displaying the amount in USD</t>
        </is>
      </c>
      <c r="D187" s="171" t="inlineStr">
        <is>
          <t>🟡 Automatable - not yet done</t>
        </is>
      </c>
      <c r="E187" s="171" t="inlineStr">
        <is>
          <t>Standard web UI flow - no spec asserts this case</t>
        </is>
      </c>
      <c r="F187" s="171" t="inlineStr">
        <is>
          <t>Pass 1: MTP vs test suite</t>
        </is>
      </c>
      <c r="G187" s="171" t="inlineStr">
        <is>
          <t>QA-owned (UI/e2e - eng cannot cover)</t>
        </is>
      </c>
    </row>
    <row r="188">
      <c r="A188" s="171" t="inlineStr">
        <is>
          <t>GAP-INV-07</t>
        </is>
      </c>
      <c r="B188" s="171" t="inlineStr">
        <is>
          <t>Invoices List page</t>
        </is>
      </c>
      <c r="C188" s="171" t="inlineStr">
        <is>
          <t>[Invoice_07] Verify mandatory fields for Custom Invoice</t>
        </is>
      </c>
      <c r="D188" s="171" t="inlineStr">
        <is>
          <t>🟡 Automatable - not yet done</t>
        </is>
      </c>
      <c r="E188" s="171" t="inlineStr">
        <is>
          <t>Standard web UI flow - no spec asserts this case</t>
        </is>
      </c>
      <c r="F188" s="171" t="inlineStr">
        <is>
          <t>Pass 1: MTP vs test suite</t>
        </is>
      </c>
      <c r="G188" s="171" t="inlineStr">
        <is>
          <t>Partial - likely eng-covered (confirm w/ eng)</t>
        </is>
      </c>
    </row>
    <row r="189">
      <c r="A189" s="171" t="inlineStr">
        <is>
          <t>GAP-INV-08</t>
        </is>
      </c>
      <c r="B189" s="171" t="inlineStr">
        <is>
          <t>Invoices List page</t>
        </is>
      </c>
      <c r="C189" s="171" t="inlineStr">
        <is>
          <t>[Invoice_08] Verify invoice status is show as "pending Network Manager Review" upon new invoice creation</t>
        </is>
      </c>
      <c r="D189" s="171" t="inlineStr">
        <is>
          <t>🟡 Automatable - not yet done</t>
        </is>
      </c>
      <c r="E189" s="171" t="inlineStr">
        <is>
          <t>Standard web UI flow - no spec asserts this case</t>
        </is>
      </c>
      <c r="F189" s="171" t="inlineStr">
        <is>
          <t>Pass 1: MTP vs test suite</t>
        </is>
      </c>
      <c r="G189" s="171" t="inlineStr">
        <is>
          <t>QA-owned (UI/e2e - eng cannot cover)</t>
        </is>
      </c>
    </row>
    <row r="190">
      <c r="A190" s="171" t="inlineStr">
        <is>
          <t>GAP-INV-09</t>
        </is>
      </c>
      <c r="B190" s="171" t="inlineStr">
        <is>
          <t>Invoices List page</t>
        </is>
      </c>
      <c r="C190" s="171" t="inlineStr">
        <is>
          <t>[Invoice_09] Verify user is able to submit inovice to program manager [NM user]</t>
        </is>
      </c>
      <c r="D190" s="171" t="inlineStr">
        <is>
          <t>🟡 Automatable - not yet done</t>
        </is>
      </c>
      <c r="E190" s="171" t="inlineStr">
        <is>
          <t>Standard web UI flow - no spec asserts this case</t>
        </is>
      </c>
      <c r="F190" s="171" t="inlineStr">
        <is>
          <t>Pass 1: MTP vs test suite</t>
        </is>
      </c>
      <c r="G190" s="171" t="inlineStr">
        <is>
          <t>QA-owned (UI/e2e - eng cannot cover)</t>
        </is>
      </c>
    </row>
    <row r="191">
      <c r="A191" s="171" t="inlineStr">
        <is>
          <t>GAP-INV-10</t>
        </is>
      </c>
      <c r="B191" s="171" t="inlineStr">
        <is>
          <t>Invoices List page</t>
        </is>
      </c>
      <c r="C191" s="171" t="inlineStr">
        <is>
          <t>[Invoice_10] Verify user is able to cancel the invoice as network manager</t>
        </is>
      </c>
      <c r="D191" s="171" t="inlineStr">
        <is>
          <t>🟡 Automatable - not yet done</t>
        </is>
      </c>
      <c r="E191" s="171" t="inlineStr">
        <is>
          <t>Standard web UI flow - no spec asserts this case</t>
        </is>
      </c>
      <c r="F191" s="171" t="inlineStr">
        <is>
          <t>Pass 1: MTP vs test suite</t>
        </is>
      </c>
      <c r="G191" s="171" t="inlineStr">
        <is>
          <t>QA-owned (UI/e2e - eng cannot cover)</t>
        </is>
      </c>
    </row>
    <row r="192">
      <c r="A192" s="171" t="inlineStr">
        <is>
          <t>GAP-INV-11</t>
        </is>
      </c>
      <c r="B192" s="171" t="inlineStr">
        <is>
          <t>Invoices List page</t>
        </is>
      </c>
      <c r="C192" s="171" t="inlineStr">
        <is>
          <t>[Invoice_11] Verify NM user is not able to cancel the invoice by clicking on close button on the invoice pop up</t>
        </is>
      </c>
      <c r="D192" s="171" t="inlineStr">
        <is>
          <t>🟡 Automatable - not yet done</t>
        </is>
      </c>
      <c r="E192" s="171" t="inlineStr">
        <is>
          <t>Standard web UI flow - no spec asserts this case</t>
        </is>
      </c>
      <c r="F192" s="171" t="inlineStr">
        <is>
          <t>Pass 1: MTP vs test suite</t>
        </is>
      </c>
      <c r="G192" s="171" t="inlineStr">
        <is>
          <t>Partial - likely eng-covered (confirm w/ eng)</t>
        </is>
      </c>
    </row>
    <row r="193">
      <c r="A193" s="171" t="inlineStr">
        <is>
          <t>GAP-INV-12</t>
        </is>
      </c>
      <c r="B193" s="171" t="inlineStr">
        <is>
          <t>Invoices List page</t>
        </is>
      </c>
      <c r="C193" s="171" t="inlineStr">
        <is>
          <t>[Invoice_12] Verify user is able to see the invoice status as "pending program manager review" after submited to PM</t>
        </is>
      </c>
      <c r="D193" s="171" t="inlineStr">
        <is>
          <t>🟡 Automatable - not yet done</t>
        </is>
      </c>
      <c r="E193" s="171" t="inlineStr">
        <is>
          <t>Standard web UI flow - no spec asserts this case</t>
        </is>
      </c>
      <c r="F193" s="171" t="inlineStr">
        <is>
          <t>Pass 1: MTP vs test suite</t>
        </is>
      </c>
      <c r="G193" s="171" t="inlineStr">
        <is>
          <t>QA-owned (UI/e2e - eng cannot cover)</t>
        </is>
      </c>
    </row>
    <row r="194">
      <c r="A194" s="171" t="inlineStr">
        <is>
          <t>GAP-INV-13</t>
        </is>
      </c>
      <c r="B194" s="171" t="inlineStr">
        <is>
          <t>Invoices List page</t>
        </is>
      </c>
      <c r="C194" s="171" t="inlineStr">
        <is>
          <t>[Invoice_13] Verify NM user cannot edit invoice after submission</t>
        </is>
      </c>
      <c r="D194" s="171" t="inlineStr">
        <is>
          <t>🟡 Automatable - not yet done</t>
        </is>
      </c>
      <c r="E194" s="171" t="inlineStr">
        <is>
          <t>Standard web UI flow - no spec asserts this case</t>
        </is>
      </c>
      <c r="F194" s="171" t="inlineStr">
        <is>
          <t>Pass 1: MTP vs test suite</t>
        </is>
      </c>
      <c r="G194" s="171" t="inlineStr">
        <is>
          <t>Partial - likely eng-covered (confirm w/ eng)</t>
        </is>
      </c>
    </row>
    <row r="195">
      <c r="A195" s="171" t="inlineStr">
        <is>
          <t>GAP-INV-14</t>
        </is>
      </c>
      <c r="B195" s="171" t="inlineStr">
        <is>
          <t>Invoices List page</t>
        </is>
      </c>
      <c r="C195" s="171" t="inlineStr">
        <is>
          <t>[Invoice_14] Verify PM user can review Custom Invoice in read-only mode</t>
        </is>
      </c>
      <c r="D195" s="171" t="inlineStr">
        <is>
          <t>🟡 Automatable - not yet done</t>
        </is>
      </c>
      <c r="E195" s="171" t="inlineStr">
        <is>
          <t>Standard web UI flow - no spec asserts this case</t>
        </is>
      </c>
      <c r="F195" s="171" t="inlineStr">
        <is>
          <t>Pass 1: MTP vs test suite</t>
        </is>
      </c>
      <c r="G195" s="171" t="inlineStr">
        <is>
          <t>QA-owned (UI/e2e - eng cannot cover)</t>
        </is>
      </c>
    </row>
    <row r="196">
      <c r="A196" s="171" t="inlineStr">
        <is>
          <t>GAP-INV-15</t>
        </is>
      </c>
      <c r="B196" s="171" t="inlineStr">
        <is>
          <t>Invoices List page</t>
        </is>
      </c>
      <c r="C196" s="171" t="inlineStr">
        <is>
          <t>[Invoice_15] Verify PM user can pay Custom Invoice</t>
        </is>
      </c>
      <c r="D196" s="171" t="inlineStr">
        <is>
          <t>🟡 Automatable - not yet done</t>
        </is>
      </c>
      <c r="E196" s="171" t="inlineStr">
        <is>
          <t>Standard web UI flow - no spec asserts this case</t>
        </is>
      </c>
      <c r="F196" s="171" t="inlineStr">
        <is>
          <t>Pass 1: MTP vs test suite</t>
        </is>
      </c>
      <c r="G196" s="171" t="inlineStr">
        <is>
          <t>QA-owned (UI/e2e - eng cannot cover)</t>
        </is>
      </c>
    </row>
    <row r="197">
      <c r="A197" s="171" t="inlineStr">
        <is>
          <t>GAP-INV-16</t>
        </is>
      </c>
      <c r="B197" s="171" t="inlineStr">
        <is>
          <t>Invoices List page</t>
        </is>
      </c>
      <c r="C197" s="171" t="inlineStr">
        <is>
          <t>[Invoice_16] Verify user is able to land on invoices list by clicking on back to invoices button</t>
        </is>
      </c>
      <c r="D197" s="171" t="inlineStr">
        <is>
          <t>🟡 Automatable - not yet done</t>
        </is>
      </c>
      <c r="E197" s="171" t="inlineStr">
        <is>
          <t>Standard web UI flow - no spec asserts this case</t>
        </is>
      </c>
      <c r="F197" s="171" t="inlineStr">
        <is>
          <t>Pass 1: MTP vs test suite</t>
        </is>
      </c>
      <c r="G197" s="171" t="inlineStr">
        <is>
          <t>QA-owned (UI/e2e - eng cannot cover)</t>
        </is>
      </c>
    </row>
    <row r="198">
      <c r="A198" s="171" t="inlineStr">
        <is>
          <t>GAP-INV-17</t>
        </is>
      </c>
      <c r="B198" s="171" t="inlineStr">
        <is>
          <t>Invoices List page</t>
        </is>
      </c>
      <c r="C198" s="171" t="inlineStr">
        <is>
          <t>[Invoice_17] Verify error is displayed when future date is selected under date of expenses field</t>
        </is>
      </c>
      <c r="D198" s="171" t="inlineStr">
        <is>
          <t>🟡 Automatable - not yet done</t>
        </is>
      </c>
      <c r="E198" s="171" t="inlineStr">
        <is>
          <t>Standard web UI flow - no spec asserts this case</t>
        </is>
      </c>
      <c r="F198" s="171" t="inlineStr">
        <is>
          <t>Pass 1: MTP vs test suite</t>
        </is>
      </c>
      <c r="G198" s="171" t="inlineStr">
        <is>
          <t>Partial - likely eng-covered (confirm w/ eng)</t>
        </is>
      </c>
    </row>
    <row r="199">
      <c r="A199" s="171" t="inlineStr">
        <is>
          <t>GAP-INV-18</t>
        </is>
      </c>
      <c r="B199" s="171" t="inlineStr">
        <is>
          <t>Invoices List page</t>
        </is>
      </c>
      <c r="C199" s="171" t="inlineStr">
        <is>
          <t>[Invoice_18] Verify user is able to create service delivery invoice manually</t>
        </is>
      </c>
      <c r="D199" s="171" t="inlineStr">
        <is>
          <t>🟡 Automatable - not yet done</t>
        </is>
      </c>
      <c r="E199" s="171" t="inlineStr">
        <is>
          <t>Standard web UI flow - no spec asserts this case</t>
        </is>
      </c>
      <c r="F199" s="171" t="inlineStr">
        <is>
          <t>Pass 1: MTP vs test suite</t>
        </is>
      </c>
      <c r="G199" s="171" t="inlineStr">
        <is>
          <t>QA-owned (UI/e2e - eng cannot cover)</t>
        </is>
      </c>
    </row>
    <row r="200">
      <c r="A200" s="171" t="inlineStr">
        <is>
          <t>GAP-INV-19</t>
        </is>
      </c>
      <c r="B200" s="171" t="inlineStr">
        <is>
          <t>Invoices List page</t>
        </is>
      </c>
      <c r="C200" s="171" t="inlineStr">
        <is>
          <t>[Invoice_19] Verify monthly data is listed seperately under the line items if date range includes mutliple months</t>
        </is>
      </c>
      <c r="D200" s="171" t="inlineStr">
        <is>
          <t>🟡 Automatable - not yet done</t>
        </is>
      </c>
      <c r="E200" s="171" t="inlineStr">
        <is>
          <t>Standard web UI flow - no spec asserts this case</t>
        </is>
      </c>
      <c r="F200" s="171" t="inlineStr">
        <is>
          <t>Pass 1: MTP vs test suite</t>
        </is>
      </c>
      <c r="G200" s="171" t="inlineStr">
        <is>
          <t>QA-owned (UI/e2e - eng cannot cover)</t>
        </is>
      </c>
    </row>
    <row r="201">
      <c r="A201" s="171" t="inlineStr">
        <is>
          <t>GAP-INV-20</t>
        </is>
      </c>
      <c r="B201" s="171" t="inlineStr">
        <is>
          <t>Invoices List page</t>
        </is>
      </c>
      <c r="C201" s="171" t="inlineStr">
        <is>
          <t>[Invoice_20] Verify user is able to download all the line items by clicking on the "Download All items"</t>
        </is>
      </c>
      <c r="D201" s="171" t="inlineStr">
        <is>
          <t>🟡 Automatable - not yet done</t>
        </is>
      </c>
      <c r="E201" s="171" t="inlineStr">
        <is>
          <t>Standard web UI flow - no spec asserts this case</t>
        </is>
      </c>
      <c r="F201" s="171" t="inlineStr">
        <is>
          <t>Pass 1: MTP vs test suite</t>
        </is>
      </c>
      <c r="G201" s="171" t="inlineStr">
        <is>
          <t>QA-owned (UI/e2e - eng cannot cover)</t>
        </is>
      </c>
    </row>
    <row r="202">
      <c r="A202" s="171" t="inlineStr">
        <is>
          <t>GAP-INV-21</t>
        </is>
      </c>
      <c r="B202" s="171" t="inlineStr">
        <is>
          <t>Invoices List page</t>
        </is>
      </c>
      <c r="C202" s="171" t="inlineStr">
        <is>
          <t>[Invoice_21] Verify invoices are generated automatically (NM user)</t>
        </is>
      </c>
      <c r="D202" s="171" t="inlineStr">
        <is>
          <t>🔴 Manual only</t>
        </is>
      </c>
      <c r="E202" s="171" t="inlineStr">
        <is>
          <t>Automatic monthly invoice generation - scheduled job</t>
        </is>
      </c>
      <c r="F202" s="171" t="inlineStr">
        <is>
          <t>Pass 1: MTP vs test suite</t>
        </is>
      </c>
      <c r="G202" s="171" t="inlineStr">
        <is>
          <t>QA-owned (manual)</t>
        </is>
      </c>
    </row>
    <row r="203">
      <c r="A203" s="171" t="inlineStr">
        <is>
          <t>GAP-INV-22</t>
        </is>
      </c>
      <c r="B203" s="171" t="inlineStr">
        <is>
          <t>Invoices List page</t>
        </is>
      </c>
      <c r="C203" s="171" t="inlineStr">
        <is>
          <t>[Invoice_22] Verify the invoice status is shown as 'Pending' for automatic generated invoices</t>
        </is>
      </c>
      <c r="D203" s="171" t="inlineStr">
        <is>
          <t>🔴 Manual only</t>
        </is>
      </c>
      <c r="E203" s="171" t="inlineStr">
        <is>
          <t>Depends on scheduled invoice generation</t>
        </is>
      </c>
      <c r="F203" s="171" t="inlineStr">
        <is>
          <t>Pass 1: MTP vs test suite</t>
        </is>
      </c>
      <c r="G203" s="171" t="inlineStr">
        <is>
          <t>QA-owned (manual)</t>
        </is>
      </c>
    </row>
    <row r="204">
      <c r="A204" s="171" t="inlineStr">
        <is>
          <t>GAP-INV-23</t>
        </is>
      </c>
      <c r="B204" s="171" t="inlineStr">
        <is>
          <t>Invoices List page</t>
        </is>
      </c>
      <c r="C204" s="171" t="inlineStr">
        <is>
          <t>[Invoice_23] Verify user is able to review  and submit the generated invoice(NM user)</t>
        </is>
      </c>
      <c r="D204" s="171" t="inlineStr">
        <is>
          <t>🔴 Manual only</t>
        </is>
      </c>
      <c r="E204" s="171" t="inlineStr">
        <is>
          <t>Depends on scheduled invoice generation</t>
        </is>
      </c>
      <c r="F204" s="171" t="inlineStr">
        <is>
          <t>Pass 1: MTP vs test suite</t>
        </is>
      </c>
      <c r="G204" s="171" t="inlineStr">
        <is>
          <t>QA-owned (manual)</t>
        </is>
      </c>
    </row>
    <row r="205">
      <c r="A205" s="171" t="inlineStr">
        <is>
          <t>GAP-INV-24</t>
        </is>
      </c>
      <c r="B205" s="171" t="inlineStr">
        <is>
          <t>Invoices List page</t>
        </is>
      </c>
      <c r="C205" s="171" t="inlineStr">
        <is>
          <t>[Invoice_24] Verify invoices generated automatically have correct information</t>
        </is>
      </c>
      <c r="D205" s="171" t="inlineStr">
        <is>
          <t>🔴 Manual only</t>
        </is>
      </c>
      <c r="E205" s="171" t="inlineStr">
        <is>
          <t>Depends on scheduled invoice generation</t>
        </is>
      </c>
      <c r="F205" s="171" t="inlineStr">
        <is>
          <t>Pass 1: MTP vs test suite</t>
        </is>
      </c>
      <c r="G205" s="171" t="inlineStr">
        <is>
          <t>QA-owned (manual)</t>
        </is>
      </c>
    </row>
    <row r="206">
      <c r="A206" s="171" t="inlineStr">
        <is>
          <t>GAP-INV-25</t>
        </is>
      </c>
      <c r="B206" s="171" t="inlineStr">
        <is>
          <t>Invoices List page</t>
        </is>
      </c>
      <c r="C206" s="171" t="inlineStr">
        <is>
          <t>[Invoice_25] Verify PM user can approve the generated invoice</t>
        </is>
      </c>
      <c r="D206" s="171" t="inlineStr">
        <is>
          <t>🟡 Automatable - not yet done</t>
        </is>
      </c>
      <c r="E206" s="171" t="inlineStr">
        <is>
          <t>Standard web UI flow - no spec asserts this case</t>
        </is>
      </c>
      <c r="F206" s="171" t="inlineStr">
        <is>
          <t>Pass 1: MTP vs test suite</t>
        </is>
      </c>
      <c r="G206" s="171" t="inlineStr">
        <is>
          <t>QA-owned (UI/e2e - eng cannot cover)</t>
        </is>
      </c>
    </row>
    <row r="207">
      <c r="A207" s="171" t="inlineStr">
        <is>
          <t>GAP-INV-26</t>
        </is>
      </c>
      <c r="B207" s="171" t="inlineStr">
        <is>
          <t>Invoices List page</t>
        </is>
      </c>
      <c r="C207" s="171" t="inlineStr">
        <is>
          <t>[Invoice_26] verify NM user is able to create the new invoice using cancelled invoice details</t>
        </is>
      </c>
      <c r="D207" s="171" t="inlineStr">
        <is>
          <t>🟡 Automatable - not yet done</t>
        </is>
      </c>
      <c r="E207" s="171" t="inlineStr">
        <is>
          <t>Standard web UI flow - no spec asserts this case</t>
        </is>
      </c>
      <c r="F207" s="171" t="inlineStr">
        <is>
          <t>Pass 1: MTP vs test suite</t>
        </is>
      </c>
      <c r="G207" s="171" t="inlineStr">
        <is>
          <t>QA-owned (UI/e2e - eng cannot cover)</t>
        </is>
      </c>
    </row>
    <row r="208">
      <c r="A208" s="171" t="inlineStr">
        <is>
          <t>GAP-INV-27</t>
        </is>
      </c>
      <c r="B208" s="171" t="inlineStr">
        <is>
          <t>Invoices List page</t>
        </is>
      </c>
      <c r="C208" s="171" t="inlineStr">
        <is>
          <t>[Invoice_27] verify NM user is able to create the new invoice using rejected invoice details [rejected by PM]</t>
        </is>
      </c>
      <c r="D208" s="171" t="inlineStr">
        <is>
          <t>🟡 Automatable - not yet done</t>
        </is>
      </c>
      <c r="E208" s="171" t="inlineStr">
        <is>
          <t>Standard web UI flow - no spec asserts this case</t>
        </is>
      </c>
      <c r="F208" s="171" t="inlineStr">
        <is>
          <t>Pass 1: MTP vs test suite</t>
        </is>
      </c>
      <c r="G208" s="171" t="inlineStr">
        <is>
          <t>QA-owned (UI/e2e - eng cannot cover)</t>
        </is>
      </c>
    </row>
    <row r="209">
      <c r="A209" s="171" t="inlineStr">
        <is>
          <t>GAP-INV-28</t>
        </is>
      </c>
      <c r="B209" s="171" t="inlineStr">
        <is>
          <t>Invoices List page</t>
        </is>
      </c>
      <c r="C209" s="171" t="inlineStr">
        <is>
          <t>[Invoice_28] Verify user is able to land on the invoices page when click on back to invoices option</t>
        </is>
      </c>
      <c r="D209" s="171" t="inlineStr">
        <is>
          <t>🟡 Automatable - not yet done</t>
        </is>
      </c>
      <c r="E209" s="171" t="inlineStr">
        <is>
          <t>Standard web UI flow - no spec asserts this case</t>
        </is>
      </c>
      <c r="F209" s="171" t="inlineStr">
        <is>
          <t>Pass 1: MTP vs test suite</t>
        </is>
      </c>
      <c r="G209" s="171" t="inlineStr">
        <is>
          <t>QA-owned (UI/e2e - eng cannot cover)</t>
        </is>
      </c>
    </row>
    <row r="210">
      <c r="A210" s="171" t="inlineStr">
        <is>
          <t>GAP-INV-29</t>
        </is>
      </c>
      <c r="B210" s="171" t="inlineStr">
        <is>
          <t>Invoices List page</t>
        </is>
      </c>
      <c r="C210" s="171" t="inlineStr">
        <is>
          <t>[Invoice_29] Verify user is able to edit the service delivery notes on the review page as NM user</t>
        </is>
      </c>
      <c r="D210" s="171" t="inlineStr">
        <is>
          <t>🟡 Automatable - not yet done</t>
        </is>
      </c>
      <c r="E210" s="171" t="inlineStr">
        <is>
          <t>Standard web UI flow - no spec asserts this case</t>
        </is>
      </c>
      <c r="F210" s="171" t="inlineStr">
        <is>
          <t>Pass 1: MTP vs test suite</t>
        </is>
      </c>
      <c r="G210" s="171" t="inlineStr">
        <is>
          <t>QA-owned (UI/e2e - eng cannot cover)</t>
        </is>
      </c>
    </row>
    <row r="211">
      <c r="A211" s="171" t="inlineStr">
        <is>
          <t>GAP-INV-30</t>
        </is>
      </c>
      <c r="B211" s="171" t="inlineStr">
        <is>
          <t>Invoices List page</t>
        </is>
      </c>
      <c r="C211" s="171" t="inlineStr">
        <is>
          <t>[Invoice List_30] Confirm user can see a list of all the invoices for an opportunity</t>
        </is>
      </c>
      <c r="D211" s="171" t="inlineStr">
        <is>
          <t>🟡 Automatable - not yet done</t>
        </is>
      </c>
      <c r="E211" s="171" t="inlineStr">
        <is>
          <t>Standard web UI flow - no spec asserts this case</t>
        </is>
      </c>
      <c r="F211" s="171" t="inlineStr">
        <is>
          <t>Pass 1: MTP vs test suite</t>
        </is>
      </c>
      <c r="G211" s="171" t="inlineStr">
        <is>
          <t>QA-owned (UI/e2e - eng cannot cover)</t>
        </is>
      </c>
    </row>
    <row r="212">
      <c r="A212" s="171" t="inlineStr">
        <is>
          <t>GAP-INV-31</t>
        </is>
      </c>
      <c r="B212" s="171" t="inlineStr">
        <is>
          <t>Invoices List page</t>
        </is>
      </c>
      <c r="C212" s="171" t="inlineStr">
        <is>
          <t>[Invoice List_31] Verify user is able to see the invoice status as "pending program manager review" after submited to PM</t>
        </is>
      </c>
      <c r="D212" s="171" t="inlineStr">
        <is>
          <t>🟡 Automatable - not yet done</t>
        </is>
      </c>
      <c r="E212" s="171" t="inlineStr">
        <is>
          <t>Standard web UI flow - no spec asserts this case</t>
        </is>
      </c>
      <c r="F212" s="171" t="inlineStr">
        <is>
          <t>Pass 1: MTP vs test suite</t>
        </is>
      </c>
      <c r="G212" s="171" t="inlineStr">
        <is>
          <t>QA-owned (UI/e2e - eng cannot cover)</t>
        </is>
      </c>
    </row>
    <row r="213">
      <c r="A213" s="171" t="inlineStr">
        <is>
          <t>GAP-INV-32</t>
        </is>
      </c>
      <c r="B213" s="171" t="inlineStr">
        <is>
          <t>Invoices List page</t>
        </is>
      </c>
      <c r="C213" s="171" t="inlineStr">
        <is>
          <t>[Invoice List_32] Verify user should see the Approval for payment processing option as PM user</t>
        </is>
      </c>
      <c r="D213" s="171" t="inlineStr">
        <is>
          <t>🟡 Automatable - not yet done</t>
        </is>
      </c>
      <c r="E213" s="171" t="inlineStr">
        <is>
          <t>Standard web UI flow - no spec asserts this case</t>
        </is>
      </c>
      <c r="F213" s="171" t="inlineStr">
        <is>
          <t>Pass 1: MTP vs test suite</t>
        </is>
      </c>
      <c r="G213" s="171" t="inlineStr">
        <is>
          <t>QA-owned (UI/e2e - eng cannot cover)</t>
        </is>
      </c>
    </row>
    <row r="214">
      <c r="A214" s="171" t="inlineStr">
        <is>
          <t>GAP-INV-33</t>
        </is>
      </c>
      <c r="B214" s="171" t="inlineStr">
        <is>
          <t>Invoices List page</t>
        </is>
      </c>
      <c r="C214" s="171" t="inlineStr">
        <is>
          <t>[Invoice List_33] Verify user is able to reject the invoice when invoice is in ready to pay status</t>
        </is>
      </c>
      <c r="D214" s="171" t="inlineStr">
        <is>
          <t>🟡 Automatable - not yet done</t>
        </is>
      </c>
      <c r="E214" s="171" t="inlineStr">
        <is>
          <t>Standard web UI flow - no spec asserts this case</t>
        </is>
      </c>
      <c r="F214" s="171" t="inlineStr">
        <is>
          <t>Pass 1: MTP vs test suite</t>
        </is>
      </c>
      <c r="G214" s="171" t="inlineStr">
        <is>
          <t>QA-owned (UI/e2e - eng cannot cover)</t>
        </is>
      </c>
    </row>
    <row r="215">
      <c r="A215" s="171" t="inlineStr">
        <is>
          <t>GAP-INV-34</t>
        </is>
      </c>
      <c r="B215" s="171" t="inlineStr">
        <is>
          <t>Invoices List page</t>
        </is>
      </c>
      <c r="C215" s="171" t="inlineStr">
        <is>
          <t>[Invoice List_34] Verify PM user is not able to reject the invoice by clicking on close button on the reject invoice pop up</t>
        </is>
      </c>
      <c r="D215" s="171" t="inlineStr">
        <is>
          <t>🟡 Automatable - not yet done</t>
        </is>
      </c>
      <c r="E215" s="171" t="inlineStr">
        <is>
          <t>Standard web UI flow - no spec asserts this case</t>
        </is>
      </c>
      <c r="F215" s="171" t="inlineStr">
        <is>
          <t>Pass 1: MTP vs test suite</t>
        </is>
      </c>
      <c r="G215" s="171" t="inlineStr">
        <is>
          <t>Partial - likely eng-covered (confirm w/ eng)</t>
        </is>
      </c>
    </row>
    <row r="216">
      <c r="A216" s="171" t="inlineStr">
        <is>
          <t>GAP-INV-35</t>
        </is>
      </c>
      <c r="B216" s="171" t="inlineStr">
        <is>
          <t>Invoices List page</t>
        </is>
      </c>
      <c r="C216" s="171" t="inlineStr">
        <is>
          <t>[Invoice List_35] Verify PM user is able to reject the invoice</t>
        </is>
      </c>
      <c r="D216" s="171" t="inlineStr">
        <is>
          <t>🟡 Automatable - not yet done</t>
        </is>
      </c>
      <c r="E216" s="171" t="inlineStr">
        <is>
          <t>Standard web UI flow - no spec asserts this case</t>
        </is>
      </c>
      <c r="F216" s="171" t="inlineStr">
        <is>
          <t>Pass 1: MTP vs test suite</t>
        </is>
      </c>
      <c r="G216" s="171" t="inlineStr">
        <is>
          <t>QA-owned (UI/e2e - eng cannot cover)</t>
        </is>
      </c>
    </row>
    <row r="217">
      <c r="A217" s="171" t="inlineStr">
        <is>
          <t>GAP-INV-36</t>
        </is>
      </c>
      <c r="B217" s="171" t="inlineStr">
        <is>
          <t>Invoices List page</t>
        </is>
      </c>
      <c r="C217" s="171" t="inlineStr">
        <is>
          <t>[Invoice List_36] Verify PM user is able to pay the invoice</t>
        </is>
      </c>
      <c r="D217" s="171" t="inlineStr">
        <is>
          <t>🟡 Automatable - not yet done</t>
        </is>
      </c>
      <c r="E217" s="171" t="inlineStr">
        <is>
          <t>Standard web UI flow - no spec asserts this case</t>
        </is>
      </c>
      <c r="F217" s="171" t="inlineStr">
        <is>
          <t>Pass 1: MTP vs test suite</t>
        </is>
      </c>
      <c r="G217" s="171" t="inlineStr">
        <is>
          <t>QA-owned (UI/e2e - eng cannot cover)</t>
        </is>
      </c>
    </row>
    <row r="218">
      <c r="A218" s="171" t="inlineStr">
        <is>
          <t>GAP-INV-37</t>
        </is>
      </c>
      <c r="B218" s="171" t="inlineStr">
        <is>
          <t>Invoices List page</t>
        </is>
      </c>
      <c r="C218" s="171" t="inlineStr">
        <is>
          <t>[Invoice List_37] Verify user is able to review the invoice in read only mode as PM user</t>
        </is>
      </c>
      <c r="D218" s="171" t="inlineStr">
        <is>
          <t>🟡 Automatable - not yet done</t>
        </is>
      </c>
      <c r="E218" s="171" t="inlineStr">
        <is>
          <t>Standard web UI flow - no spec asserts this case</t>
        </is>
      </c>
      <c r="F218" s="171" t="inlineStr">
        <is>
          <t>Pass 1: MTP vs test suite</t>
        </is>
      </c>
      <c r="G218" s="171" t="inlineStr">
        <is>
          <t>QA-owned (UI/e2e - eng cannot cover)</t>
        </is>
      </c>
    </row>
    <row r="219">
      <c r="A219" s="171" t="inlineStr">
        <is>
          <t>GAP-MSG-01</t>
        </is>
      </c>
      <c r="B219" s="171" t="inlineStr">
        <is>
          <t>Connect Messaging</t>
        </is>
      </c>
      <c r="C219" s="171" t="inlineStr">
        <is>
          <t>[Connect channel 1] Verify user is able to create connect channel</t>
        </is>
      </c>
      <c r="D219" s="171" t="inlineStr">
        <is>
          <t>🔴 Manual only</t>
        </is>
      </c>
      <c r="E219" s="171" t="inlineStr">
        <is>
          <t>HQ-to-mobile channel round-trip (message receipt on device)</t>
        </is>
      </c>
      <c r="F219" s="171" t="inlineStr">
        <is>
          <t>Pass 1: MTP vs test suite</t>
        </is>
      </c>
      <c r="G219" s="171" t="inlineStr">
        <is>
          <t>QA-owned (manual)</t>
        </is>
      </c>
    </row>
    <row r="220">
      <c r="A220" s="171" t="inlineStr">
        <is>
          <t>GAP-MSG-02</t>
        </is>
      </c>
      <c r="B220" s="171" t="inlineStr">
        <is>
          <t>Connect Messaging</t>
        </is>
      </c>
      <c r="C220" s="171" t="inlineStr">
        <is>
          <t>[Connect message1] Verify user is able to create a broadcast with connect message option</t>
        </is>
      </c>
      <c r="D220" s="171" t="inlineStr">
        <is>
          <t>🔴 Manual only</t>
        </is>
      </c>
      <c r="E220" s="171" t="inlineStr">
        <is>
          <t>HQ-to-mobile channel round-trip (message receipt on device)</t>
        </is>
      </c>
      <c r="F220" s="171" t="inlineStr">
        <is>
          <t>Pass 1: MTP vs test suite</t>
        </is>
      </c>
      <c r="G220" s="171" t="inlineStr">
        <is>
          <t>QA-owned (manual)</t>
        </is>
      </c>
    </row>
    <row r="221">
      <c r="A221" s="171" t="inlineStr">
        <is>
          <t>GAP-MSG-03</t>
        </is>
      </c>
      <c r="B221" s="171" t="inlineStr">
        <is>
          <t>Connect Messaging</t>
        </is>
      </c>
      <c r="C221" s="171" t="inlineStr">
        <is>
          <t>[Connect message2] Verify user is able to create a broadcast with connect survey option</t>
        </is>
      </c>
      <c r="D221" s="171" t="inlineStr">
        <is>
          <t>🔴 Manual only</t>
        </is>
      </c>
      <c r="E221" s="171" t="inlineStr">
        <is>
          <t>HQ-to-mobile channel round-trip (message receipt on device)</t>
        </is>
      </c>
      <c r="F221" s="171" t="inlineStr">
        <is>
          <t>Pass 1: MTP vs test suite</t>
        </is>
      </c>
      <c r="G221" s="171" t="inlineStr">
        <is>
          <t>QA-owned (manual)</t>
        </is>
      </c>
    </row>
    <row r="222">
      <c r="A222" s="171" t="inlineStr">
        <is>
          <t>GAP-MSG-04</t>
        </is>
      </c>
      <c r="B222" s="171" t="inlineStr">
        <is>
          <t>Connect Messaging</t>
        </is>
      </c>
      <c r="C222" s="171" t="inlineStr">
        <is>
          <t>[Connect message3] Verify all the options from Recipents dropdown is disabled except users upon selecting message type as connect message/survey</t>
        </is>
      </c>
      <c r="D222" s="171" t="inlineStr">
        <is>
          <t>🔴 Manual only</t>
        </is>
      </c>
      <c r="E222" s="171" t="inlineStr">
        <is>
          <t>HQ-to-mobile channel round-trip (message receipt on device)</t>
        </is>
      </c>
      <c r="F222" s="171" t="inlineStr">
        <is>
          <t>Pass 1: MTP vs test suite</t>
        </is>
      </c>
      <c r="G222" s="171" t="inlineStr">
        <is>
          <t>QA-owned (manual)</t>
        </is>
      </c>
    </row>
    <row r="223">
      <c r="A223" s="171" t="inlineStr">
        <is>
          <t>GAP-MSG-05</t>
        </is>
      </c>
      <c r="B223" s="171" t="inlineStr">
        <is>
          <t>Connect Messaging</t>
        </is>
      </c>
      <c r="C223" s="171" t="inlineStr">
        <is>
          <t>[Connect message4] Verify user is able to create a Conditional alerts with connect message option</t>
        </is>
      </c>
      <c r="D223" s="171" t="inlineStr">
        <is>
          <t>🔴 Manual only</t>
        </is>
      </c>
      <c r="E223" s="171" t="inlineStr">
        <is>
          <t>HQ-to-mobile channel round-trip (message receipt on device)</t>
        </is>
      </c>
      <c r="F223" s="171" t="inlineStr">
        <is>
          <t>Pass 1: MTP vs test suite</t>
        </is>
      </c>
      <c r="G223" s="171" t="inlineStr">
        <is>
          <t>QA-owned (manual)</t>
        </is>
      </c>
    </row>
    <row r="224">
      <c r="A224" s="171" t="inlineStr">
        <is>
          <t>GAP-MSG-06</t>
        </is>
      </c>
      <c r="B224" s="171" t="inlineStr">
        <is>
          <t>Connect Messaging</t>
        </is>
      </c>
      <c r="C224" s="171" t="inlineStr">
        <is>
          <t>[Connect message5] Verify user is able to create a conditional alerts with connect survey option</t>
        </is>
      </c>
      <c r="D224" s="171" t="inlineStr">
        <is>
          <t>🔴 Manual only</t>
        </is>
      </c>
      <c r="E224" s="171" t="inlineStr">
        <is>
          <t>HQ-to-mobile channel round-trip (message receipt on device)</t>
        </is>
      </c>
      <c r="F224" s="171" t="inlineStr">
        <is>
          <t>Pass 1: MTP vs test suite</t>
        </is>
      </c>
      <c r="G224" s="171" t="inlineStr">
        <is>
          <t>QA-owned (manual)</t>
        </is>
      </c>
    </row>
    <row r="225">
      <c r="A225" s="171" t="inlineStr">
        <is>
          <t>GAP-MSG-07</t>
        </is>
      </c>
      <c r="B225" s="171" t="inlineStr">
        <is>
          <t>Connect Messaging</t>
        </is>
      </c>
      <c r="C225" s="171" t="inlineStr">
        <is>
          <t>[Connect message6] Verify all the options from Recipents dropdown is disabled except users upon selecting message type as connect message/survey</t>
        </is>
      </c>
      <c r="D225" s="171" t="inlineStr">
        <is>
          <t>🔴 Manual only</t>
        </is>
      </c>
      <c r="E225" s="171" t="inlineStr">
        <is>
          <t>HQ-to-mobile channel round-trip (message receipt on device)</t>
        </is>
      </c>
      <c r="F225" s="171" t="inlineStr">
        <is>
          <t>Pass 1: MTP vs test suite</t>
        </is>
      </c>
      <c r="G225" s="171" t="inlineStr">
        <is>
          <t>QA-owned (manual)</t>
        </is>
      </c>
    </row>
    <row r="226">
      <c r="A226" s="171" t="inlineStr">
        <is>
          <t>GAP-MSG-08</t>
        </is>
      </c>
      <c r="B226" s="171" t="inlineStr">
        <is>
          <t>Connect Messaging</t>
        </is>
      </c>
      <c r="C226" s="171" t="inlineStr">
        <is>
          <t>[Connect message7] Verify user is able to select only active PID users while creating a Conditional alerts with connect message/survey options</t>
        </is>
      </c>
      <c r="D226" s="171" t="inlineStr">
        <is>
          <t>🔴 Manual only</t>
        </is>
      </c>
      <c r="E226" s="171" t="inlineStr">
        <is>
          <t>HQ-to-mobile channel round-trip (message receipt on device)</t>
        </is>
      </c>
      <c r="F226" s="171" t="inlineStr">
        <is>
          <t>Pass 1: MTP vs test suite</t>
        </is>
      </c>
      <c r="G226" s="171" t="inlineStr">
        <is>
          <t>QA-owned (manual)</t>
        </is>
      </c>
    </row>
    <row r="227">
      <c r="A227" s="171" t="inlineStr">
        <is>
          <t>GAP-MSG-09</t>
        </is>
      </c>
      <c r="B227" s="171" t="inlineStr">
        <is>
          <t>Connect Messaging</t>
        </is>
      </c>
      <c r="C227" s="171" t="inlineStr">
        <is>
          <t>[Connect message8] Verify user is able to create keyword for connect message</t>
        </is>
      </c>
      <c r="D227" s="171" t="inlineStr">
        <is>
          <t>🔴 Manual only</t>
        </is>
      </c>
      <c r="E227" s="171" t="inlineStr">
        <is>
          <t>HQ-to-mobile channel round-trip (message receipt on device)</t>
        </is>
      </c>
      <c r="F227" s="171" t="inlineStr">
        <is>
          <t>Pass 1: MTP vs test suite</t>
        </is>
      </c>
      <c r="G227" s="171" t="inlineStr">
        <is>
          <t>QA-owned (manual)</t>
        </is>
      </c>
    </row>
    <row r="228">
      <c r="A228" s="171" t="inlineStr">
        <is>
          <t>GAP-MSG-10</t>
        </is>
      </c>
      <c r="B228" s="171" t="inlineStr">
        <is>
          <t>Connect Messaging</t>
        </is>
      </c>
      <c r="C228" s="171" t="inlineStr">
        <is>
          <t>[Connect message9] Verify user is able to create keyword for connect survey</t>
        </is>
      </c>
      <c r="D228" s="171" t="inlineStr">
        <is>
          <t>🔴 Manual only</t>
        </is>
      </c>
      <c r="E228" s="171" t="inlineStr">
        <is>
          <t>HQ-to-mobile channel round-trip (message receipt on device)</t>
        </is>
      </c>
      <c r="F228" s="171" t="inlineStr">
        <is>
          <t>Pass 1: MTP vs test suite</t>
        </is>
      </c>
      <c r="G228" s="171" t="inlineStr">
        <is>
          <t>QA-owned (manual)</t>
        </is>
      </c>
    </row>
    <row r="229">
      <c r="A229" s="171" t="inlineStr">
        <is>
          <t>GAP-MAIL-01</t>
        </is>
      </c>
      <c r="B229" s="171" t="inlineStr">
        <is>
          <t>Delivery Reminder Mails</t>
        </is>
      </c>
      <c r="C229" s="171" t="inlineStr">
        <is>
          <t>[Review mail_01] Verify reminder mail is sent for all the members of organization regarding pending review deliveries for all the opportunities</t>
        </is>
      </c>
      <c r="D229" s="171" t="inlineStr">
        <is>
          <t>🔴 Manual only</t>
        </is>
      </c>
      <c r="E229" s="171" t="inlineStr">
        <is>
          <t>Email delivery + scheduled reminder job</t>
        </is>
      </c>
      <c r="F229" s="171" t="inlineStr">
        <is>
          <t>Pass 1: MTP vs test suite</t>
        </is>
      </c>
      <c r="G229" s="171" t="inlineStr">
        <is>
          <t>QA-owned (manual)</t>
        </is>
      </c>
    </row>
    <row r="230">
      <c r="A230" s="171" t="inlineStr">
        <is>
          <t>GAP-MAIL-02</t>
        </is>
      </c>
      <c r="B230" s="171" t="inlineStr">
        <is>
          <t>Delivery Reminder Mails</t>
        </is>
      </c>
      <c r="C230" s="171" t="inlineStr">
        <is>
          <t>[Review mail_02] Verify no mail is triggered when no pending visits are there for any of the opportunities user is a member</t>
        </is>
      </c>
      <c r="D230" s="171" t="inlineStr">
        <is>
          <t>🔴 Manual only</t>
        </is>
      </c>
      <c r="E230" s="171" t="inlineStr">
        <is>
          <t>Email delivery + scheduled reminder job</t>
        </is>
      </c>
      <c r="F230" s="171" t="inlineStr">
        <is>
          <t>Pass 1: MTP vs test suite</t>
        </is>
      </c>
      <c r="G230" s="171" t="inlineStr">
        <is>
          <t>QA-owned (manual)</t>
        </is>
      </c>
    </row>
    <row r="231">
      <c r="A231" s="171" t="inlineStr">
        <is>
          <t>GAP-MAIL-03</t>
        </is>
      </c>
      <c r="B231" s="171" t="inlineStr">
        <is>
          <t>Delivery Reminder Mails</t>
        </is>
      </c>
      <c r="C231" s="171" t="inlineStr">
        <is>
          <t>[Review mail_03] Verify reminder email contains a valid link to the workers list delivery tab page</t>
        </is>
      </c>
      <c r="D231" s="171" t="inlineStr">
        <is>
          <t>🔴 Manual only</t>
        </is>
      </c>
      <c r="E231" s="171" t="inlineStr">
        <is>
          <t>Email delivery + scheduled reminder job</t>
        </is>
      </c>
      <c r="F231" s="171" t="inlineStr">
        <is>
          <t>Pass 1: MTP vs test suite</t>
        </is>
      </c>
      <c r="G231" s="171" t="inlineStr">
        <is>
          <t>QA-owned (manual)</t>
        </is>
      </c>
    </row>
    <row r="232">
      <c r="A232" s="171" t="inlineStr">
        <is>
          <t>GAP-MAIL-04</t>
        </is>
      </c>
      <c r="B232" s="171" t="inlineStr">
        <is>
          <t>Delivery Reminder Mails</t>
        </is>
      </c>
      <c r="C232" s="171" t="inlineStr">
        <is>
          <t>[Review mail_04] Verify that the Opportunities list link redirects to the Connect Workers Delivery tab</t>
        </is>
      </c>
      <c r="D232" s="171" t="inlineStr">
        <is>
          <t>🔴 Manual only</t>
        </is>
      </c>
      <c r="E232" s="171" t="inlineStr">
        <is>
          <t>Email delivery + scheduled reminder job</t>
        </is>
      </c>
      <c r="F232" s="171" t="inlineStr">
        <is>
          <t>Pass 1: MTP vs test suite</t>
        </is>
      </c>
      <c r="G232" s="171" t="inlineStr">
        <is>
          <t>QA-owned (manual)</t>
        </is>
      </c>
    </row>
    <row r="233">
      <c r="A233" s="171" t="inlineStr">
        <is>
          <t>GAP-MAIL-05</t>
        </is>
      </c>
      <c r="B233" s="171" t="inlineStr">
        <is>
          <t>Delivery Reminder Mails</t>
        </is>
      </c>
      <c r="C233" s="171" t="inlineStr">
        <is>
          <t>[Review mail_05] Verify following details are included in reminder mail: Organization name and list of opportunities with redirect link</t>
        </is>
      </c>
      <c r="D233" s="171" t="inlineStr">
        <is>
          <t>🔴 Manual only</t>
        </is>
      </c>
      <c r="E233" s="171" t="inlineStr">
        <is>
          <t>Email delivery + scheduled reminder job</t>
        </is>
      </c>
      <c r="F233" s="171" t="inlineStr">
        <is>
          <t>Pass 1: MTP vs test suite</t>
        </is>
      </c>
      <c r="G233" s="171" t="inlineStr">
        <is>
          <t>QA-owned (manual)</t>
        </is>
      </c>
    </row>
    <row r="234">
      <c r="A234" s="171" t="inlineStr">
        <is>
          <t>GAP-MAIL-06</t>
        </is>
      </c>
      <c r="B234" s="171" t="inlineStr">
        <is>
          <t>Delivery Reminder Mails</t>
        </is>
      </c>
      <c r="C234" s="171" t="inlineStr">
        <is>
          <t>[Review mail_06] Verify mail is not triggered to the members who are not a part of organization</t>
        </is>
      </c>
      <c r="D234" s="171" t="inlineStr">
        <is>
          <t>🔴 Manual only</t>
        </is>
      </c>
      <c r="E234" s="171" t="inlineStr">
        <is>
          <t>Email delivery + scheduled reminder job</t>
        </is>
      </c>
      <c r="F234" s="171" t="inlineStr">
        <is>
          <t>Pass 1: MTP vs test suite</t>
        </is>
      </c>
      <c r="G234" s="171" t="inlineStr">
        <is>
          <t>QA-owned (manual)</t>
        </is>
      </c>
    </row>
    <row r="235">
      <c r="A235" s="171" t="inlineStr">
        <is>
          <t>GAP-MAIL-07</t>
        </is>
      </c>
      <c r="B235" s="171" t="inlineStr">
        <is>
          <t>Delivery Reminder Mails</t>
        </is>
      </c>
      <c r="C235" s="171" t="inlineStr">
        <is>
          <t>[Review mail_07] Verify opportunities which have only PM pending review will be included only in PM organization reminder mail</t>
        </is>
      </c>
      <c r="D235" s="171" t="inlineStr">
        <is>
          <t>🔴 Manual only</t>
        </is>
      </c>
      <c r="E235" s="171" t="inlineStr">
        <is>
          <t>Email delivery + scheduled reminder job</t>
        </is>
      </c>
      <c r="F235" s="171" t="inlineStr">
        <is>
          <t>Pass 1: MTP vs test suite</t>
        </is>
      </c>
      <c r="G235" s="171" t="inlineStr">
        <is>
          <t>QA-owned (manual)</t>
        </is>
      </c>
    </row>
    <row r="236">
      <c r="A236" s="171" t="inlineStr">
        <is>
          <t>GAP-MAIL-08</t>
        </is>
      </c>
      <c r="B236" s="171" t="inlineStr">
        <is>
          <t>Delivery Reminder Mails</t>
        </is>
      </c>
      <c r="C236" s="171" t="inlineStr">
        <is>
          <t>[Review mail_08] Verify opportunities that have only NM review will be included only in NM organization reminder mail</t>
        </is>
      </c>
      <c r="D236" s="171" t="inlineStr">
        <is>
          <t>🔴 Manual only</t>
        </is>
      </c>
      <c r="E236" s="171" t="inlineStr">
        <is>
          <t>Email delivery + scheduled reminder job</t>
        </is>
      </c>
      <c r="F236" s="171" t="inlineStr">
        <is>
          <t>Pass 1: MTP vs test suite</t>
        </is>
      </c>
      <c r="G236" s="171" t="inlineStr">
        <is>
          <t>QA-owned (manual)</t>
        </is>
      </c>
    </row>
    <row r="237">
      <c r="A237" s="171" t="inlineStr">
        <is>
          <t>GAP-CRED-01</t>
        </is>
      </c>
      <c r="B237" s="171" t="inlineStr">
        <is>
          <t>App Credentials</t>
        </is>
      </c>
      <c r="C237" s="171" t="inlineStr">
        <is>
          <t>[Credentials_1] Verify user is able to select an application for Issueing Credentials on HQ</t>
        </is>
      </c>
      <c r="D237" s="171" t="inlineStr">
        <is>
          <t>🟡 Automatable - not yet done</t>
        </is>
      </c>
      <c r="E237" s="171" t="inlineStr">
        <is>
          <t>Standard web UI flow - no spec asserts this case</t>
        </is>
      </c>
      <c r="F237" s="171" t="inlineStr">
        <is>
          <t>Pass 1: MTP vs test suite</t>
        </is>
      </c>
      <c r="G237" s="171" t="inlineStr">
        <is>
          <t>QA-owned (UI/e2e - eng cannot cover)</t>
        </is>
      </c>
    </row>
    <row r="238">
      <c r="A238" s="171" t="inlineStr">
        <is>
          <t>GAP-CRED-02</t>
        </is>
      </c>
      <c r="B238" s="171" t="inlineStr">
        <is>
          <t>App Credentials</t>
        </is>
      </c>
      <c r="C238" s="171" t="inlineStr">
        <is>
          <t>[Credentials_2] Confirm that we see the Worker Activity option for the selected app</t>
        </is>
      </c>
      <c r="D238" s="171" t="inlineStr">
        <is>
          <t>🟡 Automatable - not yet done</t>
        </is>
      </c>
      <c r="E238" s="171" t="inlineStr">
        <is>
          <t>Standard web UI flow - no spec asserts this case</t>
        </is>
      </c>
      <c r="F238" s="171" t="inlineStr">
        <is>
          <t>Pass 1: MTP vs test suite</t>
        </is>
      </c>
      <c r="G238" s="171" t="inlineStr">
        <is>
          <t>QA-owned (UI/e2e - eng cannot cover)</t>
        </is>
      </c>
    </row>
    <row r="239">
      <c r="A239" s="171" t="inlineStr">
        <is>
          <t>GAP-CRED-03</t>
        </is>
      </c>
      <c r="B239" s="171" t="inlineStr">
        <is>
          <t>App Credentials</t>
        </is>
      </c>
      <c r="C239" s="171" t="inlineStr">
        <is>
          <t>[Credentials_3] Verify that the profile.xml is updated for the app</t>
        </is>
      </c>
      <c r="D239" s="171" t="inlineStr">
        <is>
          <t>🔴 Manual only</t>
        </is>
      </c>
      <c r="E239" s="171" t="inlineStr">
        <is>
          <t>profile.xml verification on published app build</t>
        </is>
      </c>
      <c r="F239" s="171" t="inlineStr">
        <is>
          <t>Pass 1: MTP vs test suite</t>
        </is>
      </c>
      <c r="G239" s="171" t="inlineStr">
        <is>
          <t>QA-owned (manual)</t>
        </is>
      </c>
    </row>
    <row r="240">
      <c r="A240" s="171" t="inlineStr">
        <is>
          <t>GAP-RL-01</t>
        </is>
      </c>
      <c r="B240" s="171" t="inlineStr">
        <is>
          <t>Re-Learn Task</t>
        </is>
      </c>
      <c r="C240" s="171" t="inlineStr">
        <is>
          <t>[Re-Learn_01] Verify user is able to configure task type question in CC hq app</t>
        </is>
      </c>
      <c r="D240" s="171" t="inlineStr">
        <is>
          <t>🟡 Automatable - not yet done</t>
        </is>
      </c>
      <c r="E240" s="171" t="inlineStr">
        <is>
          <t>Standard web UI flow - no spec asserts this case</t>
        </is>
      </c>
      <c r="F240" s="171" t="inlineStr">
        <is>
          <t>Pass 1: MTP vs test suite</t>
        </is>
      </c>
      <c r="G240" s="171" t="inlineStr">
        <is>
          <t>QA-owned (UI/e2e - eng cannot cover)</t>
        </is>
      </c>
    </row>
    <row r="241">
      <c r="A241" s="171" t="inlineStr">
        <is>
          <t>GAP-RL-02</t>
        </is>
      </c>
      <c r="B241" s="171" t="inlineStr">
        <is>
          <t>Re-Learn Task</t>
        </is>
      </c>
      <c r="C241" s="171" t="inlineStr">
        <is>
          <t>[Re-Learn_02] Verify user is able to configure task type for an Opp</t>
        </is>
      </c>
      <c r="D241" s="171" t="inlineStr">
        <is>
          <t>🟡 Automatable - not yet done</t>
        </is>
      </c>
      <c r="E241" s="171" t="inlineStr">
        <is>
          <t>Standard web UI flow - no spec asserts this case</t>
        </is>
      </c>
      <c r="F241" s="171" t="inlineStr">
        <is>
          <t>Pass 1: MTP vs test suite</t>
        </is>
      </c>
      <c r="G241" s="171" t="inlineStr">
        <is>
          <t>QA-owned (UI/e2e - eng cannot cover)</t>
        </is>
      </c>
    </row>
    <row r="242">
      <c r="A242" s="171" t="inlineStr">
        <is>
          <t>GAP-RL-03</t>
        </is>
      </c>
      <c r="B242" s="171" t="inlineStr">
        <is>
          <t>Re-Learn Task</t>
        </is>
      </c>
      <c r="C242" s="171" t="inlineStr">
        <is>
          <t>[Re-Learn_03] Verify available tasks are listed as dropdown under task unit field</t>
        </is>
      </c>
      <c r="D242" s="171" t="inlineStr">
        <is>
          <t>🟡 Automatable - not yet done</t>
        </is>
      </c>
      <c r="E242" s="171" t="inlineStr">
        <is>
          <t>Standard web UI flow - no spec asserts this case</t>
        </is>
      </c>
      <c r="F242" s="171" t="inlineStr">
        <is>
          <t>Pass 1: MTP vs test suite</t>
        </is>
      </c>
      <c r="G242" s="171" t="inlineStr">
        <is>
          <t>QA-owned (UI/e2e - eng cannot cover)</t>
        </is>
      </c>
    </row>
    <row r="243">
      <c r="A243" s="171" t="inlineStr">
        <is>
          <t>GAP-RL-04</t>
        </is>
      </c>
      <c r="B243" s="171" t="inlineStr">
        <is>
          <t>Re-Learn Task</t>
        </is>
      </c>
      <c r="C243" s="171" t="inlineStr">
        <is>
          <t>[Re-Learn_04] Verify that the Name field is mandatory</t>
        </is>
      </c>
      <c r="D243" s="171" t="inlineStr">
        <is>
          <t>🟡 Automatable - not yet done</t>
        </is>
      </c>
      <c r="E243" s="171" t="inlineStr">
        <is>
          <t>Standard web UI flow - no spec asserts this case</t>
        </is>
      </c>
      <c r="F243" s="171" t="inlineStr">
        <is>
          <t>Pass 1: MTP vs test suite</t>
        </is>
      </c>
      <c r="G243" s="171" t="inlineStr">
        <is>
          <t>Partial - likely eng-covered (confirm w/ eng)</t>
        </is>
      </c>
    </row>
    <row r="244">
      <c r="A244" s="171" t="inlineStr">
        <is>
          <t>GAP-RL-05</t>
        </is>
      </c>
      <c r="B244" s="171" t="inlineStr">
        <is>
          <t>Re-Learn Task</t>
        </is>
      </c>
      <c r="C244" s="171" t="inlineStr">
        <is>
          <t>[Re-Learn_05] Verify that the Description field validation is displayed when left empty</t>
        </is>
      </c>
      <c r="D244" s="171" t="inlineStr">
        <is>
          <t>🟡 Automatable - not yet done</t>
        </is>
      </c>
      <c r="E244" s="171" t="inlineStr">
        <is>
          <t>Standard web UI flow - no spec asserts this case</t>
        </is>
      </c>
      <c r="F244" s="171" t="inlineStr">
        <is>
          <t>Pass 1: MTP vs test suite</t>
        </is>
      </c>
      <c r="G244" s="171" t="inlineStr">
        <is>
          <t>Partial - likely eng-covered (confirm w/ eng)</t>
        </is>
      </c>
    </row>
    <row r="245">
      <c r="A245" s="171" t="inlineStr">
        <is>
          <t>GAP-RL-06</t>
        </is>
      </c>
      <c r="B245" s="171" t="inlineStr">
        <is>
          <t>Re-Learn Task</t>
        </is>
      </c>
      <c r="C245" s="171" t="inlineStr">
        <is>
          <t>[Re-Learn_06] Verify that the user is able to configure a task type even when the case property is not entered</t>
        </is>
      </c>
      <c r="D245" s="171" t="inlineStr">
        <is>
          <t>🟡 Automatable - not yet done</t>
        </is>
      </c>
      <c r="E245" s="171" t="inlineStr">
        <is>
          <t>Standard web UI flow - no spec asserts this case</t>
        </is>
      </c>
      <c r="F245" s="171" t="inlineStr">
        <is>
          <t>Pass 1: MTP vs test suite</t>
        </is>
      </c>
      <c r="G245" s="171" t="inlineStr">
        <is>
          <t>QA-owned (UI/e2e - eng cannot cover)</t>
        </is>
      </c>
    </row>
    <row r="246">
      <c r="A246" s="171" t="inlineStr">
        <is>
          <t>GAP-RL-07</t>
        </is>
      </c>
      <c r="B246" s="171" t="inlineStr">
        <is>
          <t>Re-Learn Task</t>
        </is>
      </c>
      <c r="C246" s="171" t="inlineStr">
        <is>
          <t>[Re-Learn_07] Verify the validation for the Task Unit field</t>
        </is>
      </c>
      <c r="D246" s="171" t="inlineStr">
        <is>
          <t>🟡 Automatable - not yet done</t>
        </is>
      </c>
      <c r="E246" s="171" t="inlineStr">
        <is>
          <t>Standard web UI flow - no spec asserts this case</t>
        </is>
      </c>
      <c r="F246" s="171" t="inlineStr">
        <is>
          <t>Pass 1: MTP vs test suite</t>
        </is>
      </c>
      <c r="G246" s="171" t="inlineStr">
        <is>
          <t>Partial - likely eng-covered (confirm w/ eng)</t>
        </is>
      </c>
    </row>
    <row r="247">
      <c r="A247" s="171" t="inlineStr">
        <is>
          <t>GAP-RL-08</t>
        </is>
      </c>
      <c r="B247" s="171" t="inlineStr">
        <is>
          <t>Re-Learn Task</t>
        </is>
      </c>
      <c r="C247" s="171" t="inlineStr">
        <is>
          <t>[Re-Learn_08] Verify that the user is able to cancel the task configuration by clicking the Cancel button</t>
        </is>
      </c>
      <c r="D247" s="171" t="inlineStr">
        <is>
          <t>🟡 Automatable - not yet done</t>
        </is>
      </c>
      <c r="E247" s="171" t="inlineStr">
        <is>
          <t>Standard web UI flow - no spec asserts this case</t>
        </is>
      </c>
      <c r="F247" s="171" t="inlineStr">
        <is>
          <t>Pass 1: MTP vs test suite</t>
        </is>
      </c>
      <c r="G247" s="171" t="inlineStr">
        <is>
          <t>QA-owned (UI/e2e - eng cannot cover)</t>
        </is>
      </c>
    </row>
    <row r="248">
      <c r="A248" s="171" t="inlineStr">
        <is>
          <t>GAP-RL-09</t>
        </is>
      </c>
      <c r="B248" s="171" t="inlineStr">
        <is>
          <t>Re-Learn Task</t>
        </is>
      </c>
      <c r="C248" s="171" t="inlineStr">
        <is>
          <t>[Re-Learn_09] Verify user is able to close the task configuration when click on the "x"(Close) button</t>
        </is>
      </c>
      <c r="D248" s="171" t="inlineStr">
        <is>
          <t>🟡 Automatable - not yet done</t>
        </is>
      </c>
      <c r="E248" s="171" t="inlineStr">
        <is>
          <t>Standard web UI flow - no spec asserts this case</t>
        </is>
      </c>
      <c r="F248" s="171" t="inlineStr">
        <is>
          <t>Pass 1: MTP vs test suite</t>
        </is>
      </c>
      <c r="G248" s="171" t="inlineStr">
        <is>
          <t>QA-owned (UI/e2e - eng cannot cover)</t>
        </is>
      </c>
    </row>
    <row r="249">
      <c r="A249" s="171" t="inlineStr">
        <is>
          <t>GAP-RL-10</t>
        </is>
      </c>
      <c r="B249" s="171" t="inlineStr">
        <is>
          <t>Re-Learn Task</t>
        </is>
      </c>
      <c r="C249" s="171" t="inlineStr">
        <is>
          <t>[Re-Learn_10] Verify that the user is able to edit the configured task</t>
        </is>
      </c>
      <c r="D249" s="171" t="inlineStr">
        <is>
          <t>🟡 Automatable - not yet done</t>
        </is>
      </c>
      <c r="E249" s="171" t="inlineStr">
        <is>
          <t>Standard web UI flow - no spec asserts this case</t>
        </is>
      </c>
      <c r="F249" s="171" t="inlineStr">
        <is>
          <t>Pass 1: MTP vs test suite</t>
        </is>
      </c>
      <c r="G249" s="171" t="inlineStr">
        <is>
          <t>QA-owned (UI/e2e - eng cannot cover)</t>
        </is>
      </c>
    </row>
    <row r="250">
      <c r="A250" s="171" t="inlineStr">
        <is>
          <t>GAP-RL-11</t>
        </is>
      </c>
      <c r="B250" s="171" t="inlineStr">
        <is>
          <t>Re-Learn Task</t>
        </is>
      </c>
      <c r="C250" s="171" t="inlineStr">
        <is>
          <t>[Re-Learn_11] Verify user is able to archive the configured task</t>
        </is>
      </c>
      <c r="D250" s="171" t="inlineStr">
        <is>
          <t>🟡 Automatable - not yet done</t>
        </is>
      </c>
      <c r="E250" s="171" t="inlineStr">
        <is>
          <t>Standard web UI flow - no spec asserts this case</t>
        </is>
      </c>
      <c r="F250" s="171" t="inlineStr">
        <is>
          <t>Pass 1: MTP vs test suite</t>
        </is>
      </c>
      <c r="G250" s="171" t="inlineStr">
        <is>
          <t>QA-owned (UI/e2e - eng cannot cover)</t>
        </is>
      </c>
    </row>
    <row r="251">
      <c r="A251" s="171" t="inlineStr">
        <is>
          <t>GAP-RL-12</t>
        </is>
      </c>
      <c r="B251" s="171" t="inlineStr">
        <is>
          <t>Re-Learn Task</t>
        </is>
      </c>
      <c r="C251" s="171" t="inlineStr">
        <is>
          <t>[Re-Learn_12] Verify user is able to sort the tasks using "task type name" header sorting arrows</t>
        </is>
      </c>
      <c r="D251" s="171" t="inlineStr">
        <is>
          <t>🟡 Automatable - not yet done</t>
        </is>
      </c>
      <c r="E251" s="171" t="inlineStr">
        <is>
          <t>Standard web UI flow - no spec asserts this case</t>
        </is>
      </c>
      <c r="F251" s="171" t="inlineStr">
        <is>
          <t>Pass 1: MTP vs test suite</t>
        </is>
      </c>
      <c r="G251" s="171" t="inlineStr">
        <is>
          <t>QA-owned (UI/e2e - eng cannot cover)</t>
        </is>
      </c>
    </row>
    <row r="252">
      <c r="A252" s="171" t="inlineStr">
        <is>
          <t>GAP-RL-13</t>
        </is>
      </c>
      <c r="B252" s="171" t="inlineStr">
        <is>
          <t>Re-Learn Task</t>
        </is>
      </c>
      <c r="C252" s="171" t="inlineStr">
        <is>
          <t>[Re-Learn_13] Verify user is able to sort the tasks using "description" header sorting arrows</t>
        </is>
      </c>
      <c r="D252" s="171" t="inlineStr">
        <is>
          <t>🟡 Automatable - not yet done</t>
        </is>
      </c>
      <c r="E252" s="171" t="inlineStr">
        <is>
          <t>Standard web UI flow - no spec asserts this case</t>
        </is>
      </c>
      <c r="F252" s="171" t="inlineStr">
        <is>
          <t>Pass 1: MTP vs test suite</t>
        </is>
      </c>
      <c r="G252" s="171" t="inlineStr">
        <is>
          <t>QA-owned (UI/e2e - eng cannot cover)</t>
        </is>
      </c>
    </row>
    <row r="253">
      <c r="A253" s="171" t="inlineStr">
        <is>
          <t>GAP-RL-14</t>
        </is>
      </c>
      <c r="B253" s="171" t="inlineStr">
        <is>
          <t>Re-Learn Task</t>
        </is>
      </c>
      <c r="C253" s="171" t="inlineStr">
        <is>
          <t>[Re-Learn_14] Verify user is able to sort the tasks using "linked task unit" header sorting arrows</t>
        </is>
      </c>
      <c r="D253" s="171" t="inlineStr">
        <is>
          <t>🟡 Automatable - not yet done</t>
        </is>
      </c>
      <c r="E253" s="171" t="inlineStr">
        <is>
          <t>Standard web UI flow - no spec asserts this case</t>
        </is>
      </c>
      <c r="F253" s="171" t="inlineStr">
        <is>
          <t>Pass 1: MTP vs test suite</t>
        </is>
      </c>
      <c r="G253" s="171" t="inlineStr">
        <is>
          <t>QA-owned (UI/e2e - eng cannot cover)</t>
        </is>
      </c>
    </row>
    <row r="254">
      <c r="A254" s="171" t="inlineStr">
        <is>
          <t>GAP-RL-15</t>
        </is>
      </c>
      <c r="B254" s="171" t="inlineStr">
        <is>
          <t>Re-Learn Task</t>
        </is>
      </c>
      <c r="C254" s="171" t="inlineStr">
        <is>
          <t>[Re-Learn_15] Verify user is able to sort the tasks using "Archieved" header sorting arrows</t>
        </is>
      </c>
      <c r="D254" s="171" t="inlineStr">
        <is>
          <t>🟡 Automatable - not yet done</t>
        </is>
      </c>
      <c r="E254" s="171" t="inlineStr">
        <is>
          <t>Standard web UI flow - no spec asserts this case</t>
        </is>
      </c>
      <c r="F254" s="171" t="inlineStr">
        <is>
          <t>Pass 1: MTP vs test suite</t>
        </is>
      </c>
      <c r="G254" s="171" t="inlineStr">
        <is>
          <t>QA-owned (UI/e2e - eng cannot cover)</t>
        </is>
      </c>
    </row>
    <row r="255">
      <c r="A255" s="171" t="inlineStr">
        <is>
          <t>GAP-RL-16</t>
        </is>
      </c>
      <c r="B255" s="171" t="inlineStr">
        <is>
          <t>Re-Learn Task</t>
        </is>
      </c>
      <c r="C255" s="171" t="inlineStr">
        <is>
          <t>[Re-Learn_16] Verify user sees tasks tab on visits verification page</t>
        </is>
      </c>
      <c r="D255" s="171" t="inlineStr">
        <is>
          <t>🟡 Automatable - not yet done</t>
        </is>
      </c>
      <c r="E255" s="171" t="inlineStr">
        <is>
          <t>Standard web UI flow - no spec asserts this case</t>
        </is>
      </c>
      <c r="F255" s="171" t="inlineStr">
        <is>
          <t>Pass 1: MTP vs test suite</t>
        </is>
      </c>
      <c r="G255" s="171" t="inlineStr">
        <is>
          <t>QA-owned (UI/e2e - eng cannot cover)</t>
        </is>
      </c>
    </row>
    <row r="256">
      <c r="A256" s="171" t="inlineStr">
        <is>
          <t>GAP-RL-17</t>
        </is>
      </c>
      <c r="B256" s="171" t="inlineStr">
        <is>
          <t>Re-Learn Task</t>
        </is>
      </c>
      <c r="C256" s="171" t="inlineStr">
        <is>
          <t>[Re-Learn_17] Verify  user is able to assign tasks using "create task" button</t>
        </is>
      </c>
      <c r="D256" s="171" t="inlineStr">
        <is>
          <t>🟡 Automatable - not yet done</t>
        </is>
      </c>
      <c r="E256" s="171" t="inlineStr">
        <is>
          <t>Standard web UI flow - no spec asserts this case</t>
        </is>
      </c>
      <c r="F256" s="171" t="inlineStr">
        <is>
          <t>Pass 1: MTP vs test suite</t>
        </is>
      </c>
      <c r="G256" s="171" t="inlineStr">
        <is>
          <t>QA-owned (UI/e2e - eng cannot cover)</t>
        </is>
      </c>
    </row>
    <row r="257">
      <c r="A257" s="171" t="inlineStr">
        <is>
          <t>GAP-RL-18</t>
        </is>
      </c>
      <c r="B257" s="171" t="inlineStr">
        <is>
          <t>Re-Learn Task</t>
        </is>
      </c>
      <c r="C257" s="171" t="inlineStr">
        <is>
          <t>[Re-Learn_18] Verify  "delete task" button present at bottom of the tasks tab is disabled</t>
        </is>
      </c>
      <c r="D257" s="171" t="inlineStr">
        <is>
          <t>🟡 Automatable - not yet done</t>
        </is>
      </c>
      <c r="E257" s="171" t="inlineStr">
        <is>
          <t>Standard web UI flow - no spec asserts this case</t>
        </is>
      </c>
      <c r="F257" s="171" t="inlineStr">
        <is>
          <t>Pass 1: MTP vs test suite</t>
        </is>
      </c>
      <c r="G257" s="171" t="inlineStr">
        <is>
          <t>QA-owned (UI/e2e - eng cannot cover)</t>
        </is>
      </c>
    </row>
    <row r="258">
      <c r="A258" s="171" t="inlineStr">
        <is>
          <t>GAP-RL-19</t>
        </is>
      </c>
      <c r="B258" s="171" t="inlineStr">
        <is>
          <t>Re-Learn Task</t>
        </is>
      </c>
      <c r="C258" s="171" t="inlineStr">
        <is>
          <t>[Re-Learn_19] Verify details on create task pop up</t>
        </is>
      </c>
      <c r="D258" s="171" t="inlineStr">
        <is>
          <t>🟡 Automatable - not yet done</t>
        </is>
      </c>
      <c r="E258" s="171" t="inlineStr">
        <is>
          <t>Standard web UI flow - no spec asserts this case</t>
        </is>
      </c>
      <c r="F258" s="171" t="inlineStr">
        <is>
          <t>Pass 1: MTP vs test suite</t>
        </is>
      </c>
      <c r="G258" s="171" t="inlineStr">
        <is>
          <t>QA-owned (UI/e2e - eng cannot cover)</t>
        </is>
      </c>
    </row>
    <row r="259">
      <c r="A259" s="171" t="inlineStr">
        <is>
          <t>GAP-RL-20</t>
        </is>
      </c>
      <c r="B259" s="171" t="inlineStr">
        <is>
          <t>Re-Learn Task</t>
        </is>
      </c>
      <c r="C259" s="171" t="inlineStr">
        <is>
          <t>[Re-Learn_20] Verify the task field mandatory</t>
        </is>
      </c>
      <c r="D259" s="171" t="inlineStr">
        <is>
          <t>🟡 Automatable - not yet done</t>
        </is>
      </c>
      <c r="E259" s="171" t="inlineStr">
        <is>
          <t>Standard web UI flow - no spec asserts this case</t>
        </is>
      </c>
      <c r="F259" s="171" t="inlineStr">
        <is>
          <t>Pass 1: MTP vs test suite</t>
        </is>
      </c>
      <c r="G259" s="171" t="inlineStr">
        <is>
          <t>Partial - likely eng-covered (confirm w/ eng)</t>
        </is>
      </c>
    </row>
    <row r="260">
      <c r="A260" s="171" t="inlineStr">
        <is>
          <t>GAP-RL-21</t>
        </is>
      </c>
      <c r="B260" s="171" t="inlineStr">
        <is>
          <t>Re-Learn Task</t>
        </is>
      </c>
      <c r="C260" s="171" t="inlineStr">
        <is>
          <t>[Re-Learn_21] Verify due date field mandatory validation</t>
        </is>
      </c>
      <c r="D260" s="171" t="inlineStr">
        <is>
          <t>🟡 Automatable - not yet done</t>
        </is>
      </c>
      <c r="E260" s="171" t="inlineStr">
        <is>
          <t>Standard web UI flow - no spec asserts this case</t>
        </is>
      </c>
      <c r="F260" s="171" t="inlineStr">
        <is>
          <t>Pass 1: MTP vs test suite</t>
        </is>
      </c>
      <c r="G260" s="171" t="inlineStr">
        <is>
          <t>Partial - likely eng-covered (confirm w/ eng)</t>
        </is>
      </c>
    </row>
    <row r="261">
      <c r="A261" s="171" t="inlineStr">
        <is>
          <t>GAP-RL-22</t>
        </is>
      </c>
      <c r="B261" s="171" t="inlineStr">
        <is>
          <t>Re-Learn Task</t>
        </is>
      </c>
      <c r="C261" s="171" t="inlineStr">
        <is>
          <t>[Re-Learn_22] Verify user is not able to assign task by clicking on close button</t>
        </is>
      </c>
      <c r="D261" s="171" t="inlineStr">
        <is>
          <t>🟡 Automatable - not yet done</t>
        </is>
      </c>
      <c r="E261" s="171" t="inlineStr">
        <is>
          <t>Standard web UI flow - no spec asserts this case</t>
        </is>
      </c>
      <c r="F261" s="171" t="inlineStr">
        <is>
          <t>Pass 1: MTP vs test suite</t>
        </is>
      </c>
      <c r="G261" s="171" t="inlineStr">
        <is>
          <t>Partial - likely eng-covered (confirm w/ eng)</t>
        </is>
      </c>
    </row>
    <row r="262">
      <c r="A262" s="171" t="inlineStr">
        <is>
          <t>GAP-RL-23</t>
        </is>
      </c>
      <c r="B262" s="171" t="inlineStr">
        <is>
          <t>Re-Learn Task</t>
        </is>
      </c>
      <c r="C262" s="171" t="inlineStr">
        <is>
          <t>[Re-Learn_23] Verify user is able to edit the assigned task</t>
        </is>
      </c>
      <c r="D262" s="171" t="inlineStr">
        <is>
          <t>🟡 Automatable - not yet done</t>
        </is>
      </c>
      <c r="E262" s="171" t="inlineStr">
        <is>
          <t>Standard web UI flow - no spec asserts this case</t>
        </is>
      </c>
      <c r="F262" s="171" t="inlineStr">
        <is>
          <t>Pass 1: MTP vs test suite</t>
        </is>
      </c>
      <c r="G262" s="171" t="inlineStr">
        <is>
          <t>QA-owned (UI/e2e - eng cannot cover)</t>
        </is>
      </c>
    </row>
    <row r="263">
      <c r="A263" s="171" t="inlineStr">
        <is>
          <t>GAP-RL-24</t>
        </is>
      </c>
      <c r="B263" s="171" t="inlineStr">
        <is>
          <t>Re-Learn Task</t>
        </is>
      </c>
      <c r="C263" s="171" t="inlineStr">
        <is>
          <t>[Re-Learn_24] Verify user is able to view the submitted task form</t>
        </is>
      </c>
      <c r="D263" s="171" t="inlineStr">
        <is>
          <t>🔴 Manual only</t>
        </is>
      </c>
      <c r="E263" s="171" t="inlineStr">
        <is>
          <t>Requires task completion from mobile</t>
        </is>
      </c>
      <c r="F263" s="171" t="inlineStr">
        <is>
          <t>Pass 1: MTP vs test suite</t>
        </is>
      </c>
      <c r="G263" s="171" t="inlineStr">
        <is>
          <t>QA-owned (manual)</t>
        </is>
      </c>
    </row>
    <row r="264">
      <c r="A264" s="171" t="inlineStr">
        <is>
          <t>GAP-RL-25</t>
        </is>
      </c>
      <c r="B264" s="171" t="inlineStr">
        <is>
          <t>Re-Learn Task</t>
        </is>
      </c>
      <c r="C264" s="171" t="inlineStr">
        <is>
          <t>[Re-Learn_25] Verify task details</t>
        </is>
      </c>
      <c r="D264" s="171" t="inlineStr">
        <is>
          <t>🟡 Automatable - not yet done</t>
        </is>
      </c>
      <c r="E264" s="171" t="inlineStr">
        <is>
          <t>Standard web UI flow - no spec asserts this case</t>
        </is>
      </c>
      <c r="F264" s="171" t="inlineStr">
        <is>
          <t>Pass 1: MTP vs test suite</t>
        </is>
      </c>
      <c r="G264" s="171" t="inlineStr">
        <is>
          <t>QA-owned (UI/e2e - eng cannot cover)</t>
        </is>
      </c>
    </row>
    <row r="265">
      <c r="A265" s="171" t="inlineStr">
        <is>
          <t>GAP-RL-26</t>
        </is>
      </c>
      <c r="B265" s="171" t="inlineStr">
        <is>
          <t>Re-Learn Task</t>
        </is>
      </c>
      <c r="C265" s="171" t="inlineStr">
        <is>
          <t>[Re-Learn_26] Verify user is able to delete the "to do" tasks</t>
        </is>
      </c>
      <c r="D265" s="171" t="inlineStr">
        <is>
          <t>🟡 Automatable - not yet done</t>
        </is>
      </c>
      <c r="E265" s="171" t="inlineStr">
        <is>
          <t>Standard web UI flow - no spec asserts this case</t>
        </is>
      </c>
      <c r="F265" s="171" t="inlineStr">
        <is>
          <t>Pass 1: MTP vs test suite</t>
        </is>
      </c>
      <c r="G265" s="171" t="inlineStr">
        <is>
          <t>QA-owned (UI/e2e - eng cannot cover)</t>
        </is>
      </c>
    </row>
    <row r="266">
      <c r="A266" s="171" t="inlineStr">
        <is>
          <t>GAP-RL-27</t>
        </is>
      </c>
      <c r="B266" s="171" t="inlineStr">
        <is>
          <t>Re-Learn Task</t>
        </is>
      </c>
      <c r="C266" s="171" t="inlineStr">
        <is>
          <t>[Re-Learn_27] Verify user is able to land on Tasks list page</t>
        </is>
      </c>
      <c r="D266" s="171" t="inlineStr">
        <is>
          <t>🟡 Automatable - not yet done</t>
        </is>
      </c>
      <c r="E266" s="171" t="inlineStr">
        <is>
          <t>Standard web UI flow - no spec asserts this case</t>
        </is>
      </c>
      <c r="F266" s="171" t="inlineStr">
        <is>
          <t>Pass 1: MTP vs test suite</t>
        </is>
      </c>
      <c r="G266" s="171" t="inlineStr">
        <is>
          <t>QA-owned (UI/e2e - eng cannot cover)</t>
        </is>
      </c>
    </row>
    <row r="267">
      <c r="A267" s="171" t="inlineStr">
        <is>
          <t>GAP-RL-28</t>
        </is>
      </c>
      <c r="B267" s="171" t="inlineStr">
        <is>
          <t>Re-Learn Task</t>
        </is>
      </c>
      <c r="C267" s="171" t="inlineStr">
        <is>
          <t>[Re-Learn_28] Verfiy filters pop up on task tab (connect workers page)</t>
        </is>
      </c>
      <c r="D267" s="171" t="inlineStr">
        <is>
          <t>🟡 Automatable - not yet done</t>
        </is>
      </c>
      <c r="E267" s="171" t="inlineStr">
        <is>
          <t>Standard web UI flow - no spec asserts this case</t>
        </is>
      </c>
      <c r="F267" s="171" t="inlineStr">
        <is>
          <t>Pass 1: MTP vs test suite</t>
        </is>
      </c>
      <c r="G267" s="171" t="inlineStr">
        <is>
          <t>QA-owned (UI/e2e - eng cannot cover)</t>
        </is>
      </c>
    </row>
    <row r="268">
      <c r="A268" s="171" t="inlineStr">
        <is>
          <t>GAP-RL-29</t>
        </is>
      </c>
      <c r="B268" s="171" t="inlineStr">
        <is>
          <t>Re-Learn Task</t>
        </is>
      </c>
      <c r="C268" s="171" t="inlineStr">
        <is>
          <t>[Re-Learn_29] Verify filter combinations on tasks tab(connect workers page)</t>
        </is>
      </c>
      <c r="D268" s="171" t="inlineStr">
        <is>
          <t>🟡 Automatable - not yet done</t>
        </is>
      </c>
      <c r="E268" s="171" t="inlineStr">
        <is>
          <t>Standard web UI flow - no spec asserts this case</t>
        </is>
      </c>
      <c r="F268" s="171" t="inlineStr">
        <is>
          <t>Pass 1: MTP vs test suite</t>
        </is>
      </c>
      <c r="G268" s="171" t="inlineStr">
        <is>
          <t>QA-owned (UI/e2e - eng cannot cover)</t>
        </is>
      </c>
    </row>
    <row r="269">
      <c r="A269" s="171" t="inlineStr">
        <is>
          <t>GAP-RL-30</t>
        </is>
      </c>
      <c r="B269" s="171" t="inlineStr">
        <is>
          <t>Re-Learn Task</t>
        </is>
      </c>
      <c r="C269" s="171" t="inlineStr">
        <is>
          <t>[Re-Learn_30] Verfiy filters pop up on task tab (Visit verification page)</t>
        </is>
      </c>
      <c r="D269" s="171" t="inlineStr">
        <is>
          <t>🟡 Automatable - not yet done</t>
        </is>
      </c>
      <c r="E269" s="171" t="inlineStr">
        <is>
          <t>Standard web UI flow - no spec asserts this case</t>
        </is>
      </c>
      <c r="F269" s="171" t="inlineStr">
        <is>
          <t>Pass 1: MTP vs test suite</t>
        </is>
      </c>
      <c r="G269" s="171" t="inlineStr">
        <is>
          <t>QA-owned (UI/e2e - eng cannot cover)</t>
        </is>
      </c>
    </row>
    <row r="270">
      <c r="A270" s="171" t="inlineStr">
        <is>
          <t>GAP-RL-31</t>
        </is>
      </c>
      <c r="B270" s="171" t="inlineStr">
        <is>
          <t>Re-Learn Task</t>
        </is>
      </c>
      <c r="C270" s="171" t="inlineStr">
        <is>
          <t>[Re-Learn_31] Verify filter combinations on tasks tab(Visit verification page)</t>
        </is>
      </c>
      <c r="D270" s="171" t="inlineStr">
        <is>
          <t>🟡 Automatable - not yet done</t>
        </is>
      </c>
      <c r="E270" s="171" t="inlineStr">
        <is>
          <t>Standard web UI flow - no spec asserts this case</t>
        </is>
      </c>
      <c r="F270" s="171" t="inlineStr">
        <is>
          <t>Pass 1: MTP vs test suite</t>
        </is>
      </c>
      <c r="G270" s="171" t="inlineStr">
        <is>
          <t>QA-owned (UI/e2e - eng cannot cover)</t>
        </is>
      </c>
    </row>
    <row r="271">
      <c r="A271" s="171" t="inlineStr">
        <is>
          <t>GAP-RL-32</t>
        </is>
      </c>
      <c r="B271" s="171" t="inlineStr">
        <is>
          <t>Re-Learn Task</t>
        </is>
      </c>
      <c r="C271" s="171" t="inlineStr">
        <is>
          <t>[Re-Learn_32] Verify user lands on Task List page upon clicking on task assigned to connect workers on opp dashboard</t>
        </is>
      </c>
      <c r="D271" s="171" t="inlineStr">
        <is>
          <t>🟡 Automatable - not yet done</t>
        </is>
      </c>
      <c r="E271" s="171" t="inlineStr">
        <is>
          <t>Standard web UI flow - no spec asserts this case</t>
        </is>
      </c>
      <c r="F271" s="171" t="inlineStr">
        <is>
          <t>Pass 1: MTP vs test suite</t>
        </is>
      </c>
      <c r="G271" s="171" t="inlineStr">
        <is>
          <t>QA-owned (UI/e2e - eng cannot cover)</t>
        </is>
      </c>
    </row>
    <row r="272">
      <c r="A272" s="171" t="inlineStr">
        <is>
          <t>GAP-RL-33</t>
        </is>
      </c>
      <c r="B272" s="171" t="inlineStr">
        <is>
          <t>Re-Learn Task</t>
        </is>
      </c>
      <c r="C272" s="171" t="inlineStr">
        <is>
          <t>[Re-Learn_33] Verify user is able to create a task from task list page</t>
        </is>
      </c>
      <c r="D272" s="171" t="inlineStr">
        <is>
          <t>🟡 Automatable - not yet done</t>
        </is>
      </c>
      <c r="E272" s="171" t="inlineStr">
        <is>
          <t>Standard web UI flow - no spec asserts this case</t>
        </is>
      </c>
      <c r="F272" s="171" t="inlineStr">
        <is>
          <t>Pass 1: MTP vs test suite</t>
        </is>
      </c>
      <c r="G272" s="171" t="inlineStr">
        <is>
          <t>QA-owned (UI/e2e - eng cannot cover)</t>
        </is>
      </c>
    </row>
    <row r="273">
      <c r="A273" s="171" t="inlineStr">
        <is>
          <t>GAP-RL-34</t>
        </is>
      </c>
      <c r="B273" s="171" t="inlineStr">
        <is>
          <t>Re-Learn Task</t>
        </is>
      </c>
      <c r="C273" s="171" t="inlineStr">
        <is>
          <t>[Re-Learn_34] Verify user is able to delete task from task list page</t>
        </is>
      </c>
      <c r="D273" s="171" t="inlineStr">
        <is>
          <t>🟡 Automatable - not yet done</t>
        </is>
      </c>
      <c r="E273" s="171" t="inlineStr">
        <is>
          <t>Standard web UI flow - no spec asserts this case</t>
        </is>
      </c>
      <c r="F273" s="171" t="inlineStr">
        <is>
          <t>Pass 1: MTP vs test suite</t>
        </is>
      </c>
      <c r="G273" s="171" t="inlineStr">
        <is>
          <t>QA-owned (UI/e2e - eng cannot cover)</t>
        </is>
      </c>
    </row>
    <row r="274">
      <c r="A274" s="171" t="inlineStr">
        <is>
          <t>GAP-RL-35</t>
        </is>
      </c>
      <c r="B274" s="171" t="inlineStr">
        <is>
          <t>Re-Learn Task</t>
        </is>
      </c>
      <c r="C274" s="171" t="inlineStr">
        <is>
          <t>[Re-Learn_35] Verify user  is able to edit the to do task from task list page</t>
        </is>
      </c>
      <c r="D274" s="171" t="inlineStr">
        <is>
          <t>🟡 Automatable - not yet done</t>
        </is>
      </c>
      <c r="E274" s="171" t="inlineStr">
        <is>
          <t>Standard web UI flow - no spec asserts this case</t>
        </is>
      </c>
      <c r="F274" s="171" t="inlineStr">
        <is>
          <t>Pass 1: MTP vs test suite</t>
        </is>
      </c>
      <c r="G274" s="171" t="inlineStr">
        <is>
          <t>QA-owned (UI/e2e - eng cannot cover)</t>
        </is>
      </c>
    </row>
    <row r="275">
      <c r="A275" s="171" t="inlineStr">
        <is>
          <t>GAP-RL-36</t>
        </is>
      </c>
      <c r="B275" s="171" t="inlineStr">
        <is>
          <t>Re-Learn Task</t>
        </is>
      </c>
      <c r="C275" s="171" t="inlineStr">
        <is>
          <t>[Re-Learn_36] Verify filter combination on task list page</t>
        </is>
      </c>
      <c r="D275" s="171" t="inlineStr">
        <is>
          <t>🟡 Automatable - not yet done</t>
        </is>
      </c>
      <c r="E275" s="171" t="inlineStr">
        <is>
          <t>Standard web UI flow - no spec asserts this case</t>
        </is>
      </c>
      <c r="F275" s="171" t="inlineStr">
        <is>
          <t>Pass 1: MTP vs test suite</t>
        </is>
      </c>
      <c r="G275" s="171" t="inlineStr">
        <is>
          <t>QA-owned (UI/e2e - eng cannot cover)</t>
        </is>
      </c>
    </row>
    <row r="276">
      <c r="A276" s="171" t="inlineStr">
        <is>
          <t>GAP-RL-37</t>
        </is>
      </c>
      <c r="B276" s="171" t="inlineStr">
        <is>
          <t>Re-Learn Task</t>
        </is>
      </c>
      <c r="C276" s="171" t="inlineStr">
        <is>
          <t>[Re-Learn_37] Verfiy task list page details</t>
        </is>
      </c>
      <c r="D276" s="171" t="inlineStr">
        <is>
          <t>🟡 Automatable - not yet done</t>
        </is>
      </c>
      <c r="E276" s="171" t="inlineStr">
        <is>
          <t>Standard web UI flow - no spec asserts this case</t>
        </is>
      </c>
      <c r="F276" s="171" t="inlineStr">
        <is>
          <t>Pass 1: MTP vs test suite</t>
        </is>
      </c>
      <c r="G276" s="171" t="inlineStr">
        <is>
          <t>QA-owned (UI/e2e - eng cannot cover)</t>
        </is>
      </c>
    </row>
    <row r="277">
      <c r="A277" s="171" t="inlineStr">
        <is>
          <t>GAP-RL-38</t>
        </is>
      </c>
      <c r="B277" s="171" t="inlineStr">
        <is>
          <t>Re-Learn Task</t>
        </is>
      </c>
      <c r="C277" s="171" t="inlineStr">
        <is>
          <t>[Re-Learn_38] Verify user is able to sort details by headder arrows</t>
        </is>
      </c>
      <c r="D277" s="171" t="inlineStr">
        <is>
          <t>🟡 Automatable - not yet done</t>
        </is>
      </c>
      <c r="E277" s="171" t="inlineStr">
        <is>
          <t>Standard web UI flow - no spec asserts this case</t>
        </is>
      </c>
      <c r="F277" s="171" t="inlineStr">
        <is>
          <t>Pass 1: MTP vs test suite</t>
        </is>
      </c>
      <c r="G277" s="171" t="inlineStr">
        <is>
          <t>QA-owned (UI/e2e - eng cannot cover)</t>
        </is>
      </c>
    </row>
    <row r="278">
      <c r="A278" s="171" t="inlineStr">
        <is>
          <t>GAP-MP-01</t>
        </is>
      </c>
      <c r="B278" s="171" t="inlineStr">
        <is>
          <t>Microplanning</t>
        </is>
      </c>
      <c r="C278" s="171" t="inlineStr">
        <is>
          <t>[Microplanning_01] Verify user is able to land on select opportunity area page(microplanning)</t>
        </is>
      </c>
      <c r="D278" s="171" t="inlineStr">
        <is>
          <t>🟡 Automatable - not yet done</t>
        </is>
      </c>
      <c r="E278" s="171" t="inlineStr">
        <is>
          <t>Standard web UI flow - no spec asserts this case</t>
        </is>
      </c>
      <c r="F278" s="171" t="inlineStr">
        <is>
          <t>Pass 1: MTP vs test suite</t>
        </is>
      </c>
      <c r="G278" s="171" t="inlineStr">
        <is>
          <t>QA-owned (UI/e2e - eng cannot cover)</t>
        </is>
      </c>
    </row>
    <row r="279">
      <c r="A279" s="171" t="inlineStr">
        <is>
          <t>GAP-MP-02</t>
        </is>
      </c>
      <c r="B279" s="171" t="inlineStr">
        <is>
          <t>Microplanning</t>
        </is>
      </c>
      <c r="C279" s="171" t="inlineStr">
        <is>
          <t>[Microplanning_02] Verify user is able to cluster work areas</t>
        </is>
      </c>
      <c r="D279" s="171" t="inlineStr">
        <is>
          <t>🟡 Automatable - not yet done</t>
        </is>
      </c>
      <c r="E279" s="171" t="inlineStr">
        <is>
          <t>Standard web UI flow - no spec asserts this case</t>
        </is>
      </c>
      <c r="F279" s="171" t="inlineStr">
        <is>
          <t>Pass 1: MTP vs test suite</t>
        </is>
      </c>
      <c r="G279" s="171" t="inlineStr">
        <is>
          <t>QA-owned (UI/e2e - eng cannot cover)</t>
        </is>
      </c>
    </row>
    <row r="280">
      <c r="A280" s="171" t="inlineStr">
        <is>
          <t>GAP-MP-03</t>
        </is>
      </c>
      <c r="B280" s="171" t="inlineStr">
        <is>
          <t>Microplanning</t>
        </is>
      </c>
      <c r="C280" s="171" t="inlineStr">
        <is>
          <t>[Microplanning_03] Verify user is able to download the work area summary</t>
        </is>
      </c>
      <c r="D280" s="171" t="inlineStr">
        <is>
          <t>🟡 Automatable - not yet done</t>
        </is>
      </c>
      <c r="E280" s="171" t="inlineStr">
        <is>
          <t>Standard web UI flow - no spec asserts this case</t>
        </is>
      </c>
      <c r="F280" s="171" t="inlineStr">
        <is>
          <t>Pass 1: MTP vs test suite</t>
        </is>
      </c>
      <c r="G280" s="171" t="inlineStr">
        <is>
          <t>QA-owned (UI/e2e - eng cannot cover)</t>
        </is>
      </c>
    </row>
    <row r="281">
      <c r="A281" s="171" t="inlineStr">
        <is>
          <t>GAP-MP-04</t>
        </is>
      </c>
      <c r="B281" s="171" t="inlineStr">
        <is>
          <t>Microplanning</t>
        </is>
      </c>
      <c r="C281" s="171" t="inlineStr">
        <is>
          <t>[Microplanning_04] Verify Filter Map work Areas</t>
        </is>
      </c>
      <c r="D281" s="171" t="inlineStr">
        <is>
          <t>🟡 Automatable - not yet done</t>
        </is>
      </c>
      <c r="E281" s="171" t="inlineStr">
        <is>
          <t>Standard web UI flow - no spec asserts this case</t>
        </is>
      </c>
      <c r="F281" s="171" t="inlineStr">
        <is>
          <t>Pass 1: MTP vs test suite</t>
        </is>
      </c>
      <c r="G281" s="171" t="inlineStr">
        <is>
          <t>QA-owned (UI/e2e - eng cannot cover)</t>
        </is>
      </c>
    </row>
    <row r="282">
      <c r="A282" s="171" t="inlineStr">
        <is>
          <t>GAP-MP-05</t>
        </is>
      </c>
      <c r="B282" s="171" t="inlineStr">
        <is>
          <t>Microplanning</t>
        </is>
      </c>
      <c r="C282" s="171" t="inlineStr">
        <is>
          <t>[Microplanning_05] Verify show visits option under filter map work areas</t>
        </is>
      </c>
      <c r="D282" s="171" t="inlineStr">
        <is>
          <t>🟡 Automatable - not yet done</t>
        </is>
      </c>
      <c r="E282" s="171" t="inlineStr">
        <is>
          <t>Standard web UI flow - no spec asserts this case</t>
        </is>
      </c>
      <c r="F282" s="171" t="inlineStr">
        <is>
          <t>Pass 1: MTP vs test suite</t>
        </is>
      </c>
      <c r="G282" s="171" t="inlineStr">
        <is>
          <t>QA-owned (UI/e2e - eng cannot cover)</t>
        </is>
      </c>
    </row>
    <row r="283">
      <c r="A283" s="171" t="inlineStr">
        <is>
          <t>GAP-MP-06</t>
        </is>
      </c>
      <c r="B283" s="171" t="inlineStr">
        <is>
          <t>Microplanning</t>
        </is>
      </c>
      <c r="C283" s="171" t="inlineStr">
        <is>
          <t>[Microplanning_06] Verify show only unassigned option</t>
        </is>
      </c>
      <c r="D283" s="171" t="inlineStr">
        <is>
          <t>🟡 Automatable - not yet done</t>
        </is>
      </c>
      <c r="E283" s="171" t="inlineStr">
        <is>
          <t>Standard web UI flow - no spec asserts this case</t>
        </is>
      </c>
      <c r="F283" s="171" t="inlineStr">
        <is>
          <t>Pass 1: MTP vs test suite</t>
        </is>
      </c>
      <c r="G283" s="171" t="inlineStr">
        <is>
          <t>QA-owned (UI/e2e - eng cannot cover)</t>
        </is>
      </c>
    </row>
    <row r="284">
      <c r="A284" s="171" t="inlineStr">
        <is>
          <t>GAP-MP-07</t>
        </is>
      </c>
      <c r="B284" s="171" t="inlineStr">
        <is>
          <t>Microplanning</t>
        </is>
      </c>
      <c r="C284" s="171" t="inlineStr">
        <is>
          <t>[Microplanning_07] Verify work area status field</t>
        </is>
      </c>
      <c r="D284" s="171" t="inlineStr">
        <is>
          <t>🟡 Automatable - not yet done</t>
        </is>
      </c>
      <c r="E284" s="171" t="inlineStr">
        <is>
          <t>Standard web UI flow - no spec asserts this case</t>
        </is>
      </c>
      <c r="F284" s="171" t="inlineStr">
        <is>
          <t>Pass 1: MTP vs test suite</t>
        </is>
      </c>
      <c r="G284" s="171" t="inlineStr">
        <is>
          <t>QA-owned (UI/e2e - eng cannot cover)</t>
        </is>
      </c>
    </row>
    <row r="285">
      <c r="A285" s="171" t="inlineStr">
        <is>
          <t>GAP-MP-08</t>
        </is>
      </c>
      <c r="B285" s="171" t="inlineStr">
        <is>
          <t>Microplanning</t>
        </is>
      </c>
      <c r="C285" s="171" t="inlineStr">
        <is>
          <t>[Microplanning_08] Verify user is able to see the work areas highlighted based on selected status</t>
        </is>
      </c>
      <c r="D285" s="171" t="inlineStr">
        <is>
          <t>🟡 Automatable - not yet done</t>
        </is>
      </c>
      <c r="E285" s="171" t="inlineStr">
        <is>
          <t>Standard web UI flow - no spec asserts this case</t>
        </is>
      </c>
      <c r="F285" s="171" t="inlineStr">
        <is>
          <t>Pass 1: MTP vs test suite</t>
        </is>
      </c>
      <c r="G285" s="171" t="inlineStr">
        <is>
          <t>QA-owned (UI/e2e - eng cannot cover)</t>
        </is>
      </c>
    </row>
    <row r="286">
      <c r="A286" s="171" t="inlineStr">
        <is>
          <t>GAP-MP-09</t>
        </is>
      </c>
      <c r="B286" s="171" t="inlineStr">
        <is>
          <t>Microplanning</t>
        </is>
      </c>
      <c r="C286" s="171" t="inlineStr">
        <is>
          <t>[Microplanning_09] Verify user is able to review the inaccessible request</t>
        </is>
      </c>
      <c r="D286" s="171" t="inlineStr">
        <is>
          <t>🔴 Manual only</t>
        </is>
      </c>
      <c r="E286" s="171" t="inlineStr">
        <is>
          <t>Inaccessible request initiated from mobile</t>
        </is>
      </c>
      <c r="F286" s="171" t="inlineStr">
        <is>
          <t>Pass 1: MTP vs test suite</t>
        </is>
      </c>
      <c r="G286" s="171" t="inlineStr">
        <is>
          <t>QA-owned (manual)</t>
        </is>
      </c>
    </row>
    <row r="287">
      <c r="A287" s="171" t="inlineStr">
        <is>
          <t>GAP-MP-10</t>
        </is>
      </c>
      <c r="B287" s="171" t="inlineStr">
        <is>
          <t>Microplanning</t>
        </is>
      </c>
      <c r="C287" s="171" t="inlineStr">
        <is>
          <t>[Microplanning_10] Verify user is able to approve the inaccessible request</t>
        </is>
      </c>
      <c r="D287" s="171" t="inlineStr">
        <is>
          <t>🔴 Manual only</t>
        </is>
      </c>
      <c r="E287" s="171" t="inlineStr">
        <is>
          <t>Inaccessible request initiated from mobile</t>
        </is>
      </c>
      <c r="F287" s="171" t="inlineStr">
        <is>
          <t>Pass 1: MTP vs test suite</t>
        </is>
      </c>
      <c r="G287" s="171" t="inlineStr">
        <is>
          <t>QA-owned (manual)</t>
        </is>
      </c>
    </row>
    <row r="288">
      <c r="A288" s="171" t="inlineStr">
        <is>
          <t>GAP-MP-11</t>
        </is>
      </c>
      <c r="B288" s="171" t="inlineStr">
        <is>
          <t>Microplanning</t>
        </is>
      </c>
      <c r="C288" s="171" t="inlineStr">
        <is>
          <t>[Microplanning_11] Verify user is able to deny the inaccessible request</t>
        </is>
      </c>
      <c r="D288" s="171" t="inlineStr">
        <is>
          <t>🔴 Manual only</t>
        </is>
      </c>
      <c r="E288" s="171" t="inlineStr">
        <is>
          <t>Inaccessible request initiated from mobile</t>
        </is>
      </c>
      <c r="F288" s="171" t="inlineStr">
        <is>
          <t>Pass 1: MTP vs test suite</t>
        </is>
      </c>
      <c r="G288" s="171" t="inlineStr">
        <is>
          <t>QA-owned (manual)</t>
        </is>
      </c>
    </row>
    <row r="289">
      <c r="A289" s="171" t="inlineStr">
        <is>
          <t>GAP-MP-12</t>
        </is>
      </c>
      <c r="B289" s="171" t="inlineStr">
        <is>
          <t>Microplanning</t>
        </is>
      </c>
      <c r="C289" s="171" t="inlineStr">
        <is>
          <t>[Microplanning_12] Verify assignee field</t>
        </is>
      </c>
      <c r="D289" s="171" t="inlineStr">
        <is>
          <t>🟡 Automatable - not yet done</t>
        </is>
      </c>
      <c r="E289" s="171" t="inlineStr">
        <is>
          <t>Standard web UI flow - no spec asserts this case</t>
        </is>
      </c>
      <c r="F289" s="171" t="inlineStr">
        <is>
          <t>Pass 1: MTP vs test suite</t>
        </is>
      </c>
      <c r="G289" s="171" t="inlineStr">
        <is>
          <t>QA-owned (UI/e2e - eng cannot cover)</t>
        </is>
      </c>
    </row>
    <row r="290">
      <c r="A290" s="171" t="inlineStr">
        <is>
          <t>GAP-MP-13</t>
        </is>
      </c>
      <c r="B290" s="171" t="inlineStr">
        <is>
          <t>Microplanning</t>
        </is>
      </c>
      <c r="C290" s="171" t="inlineStr">
        <is>
          <t>[Microplanning_13] Verify start date field</t>
        </is>
      </c>
      <c r="D290" s="171" t="inlineStr">
        <is>
          <t>🟡 Automatable - not yet done</t>
        </is>
      </c>
      <c r="E290" s="171" t="inlineStr">
        <is>
          <t>Standard web UI flow - no spec asserts this case</t>
        </is>
      </c>
      <c r="F290" s="171" t="inlineStr">
        <is>
          <t>Pass 1: MTP vs test suite</t>
        </is>
      </c>
      <c r="G290" s="171" t="inlineStr">
        <is>
          <t>QA-owned (UI/e2e - eng cannot cover)</t>
        </is>
      </c>
    </row>
    <row r="291">
      <c r="A291" s="171" t="inlineStr">
        <is>
          <t>GAP-MP-14</t>
        </is>
      </c>
      <c r="B291" s="171" t="inlineStr">
        <is>
          <t>Microplanning</t>
        </is>
      </c>
      <c r="C291" s="171" t="inlineStr">
        <is>
          <t>[Microplanning_14] Verify end date field</t>
        </is>
      </c>
      <c r="D291" s="171" t="inlineStr">
        <is>
          <t>🟡 Automatable - not yet done</t>
        </is>
      </c>
      <c r="E291" s="171" t="inlineStr">
        <is>
          <t>Standard web UI flow - no spec asserts this case</t>
        </is>
      </c>
      <c r="F291" s="171" t="inlineStr">
        <is>
          <t>Pass 1: MTP vs test suite</t>
        </is>
      </c>
      <c r="G291" s="171" t="inlineStr">
        <is>
          <t>QA-owned (UI/e2e - eng cannot cover)</t>
        </is>
      </c>
    </row>
    <row r="292">
      <c r="A292" s="171" t="inlineStr">
        <is>
          <t>GAP-MP-15</t>
        </is>
      </c>
      <c r="B292" s="171" t="inlineStr">
        <is>
          <t>Microplanning</t>
        </is>
      </c>
      <c r="C292" s="171" t="inlineStr">
        <is>
          <t>[Microplanning_15] Verify different combinations of filters</t>
        </is>
      </c>
      <c r="D292" s="171" t="inlineStr">
        <is>
          <t>🟡 Automatable - not yet done</t>
        </is>
      </c>
      <c r="E292" s="171" t="inlineStr">
        <is>
          <t>Standard web UI flow - no spec asserts this case</t>
        </is>
      </c>
      <c r="F292" s="171" t="inlineStr">
        <is>
          <t>Pass 1: MTP vs test suite</t>
        </is>
      </c>
      <c r="G292" s="171" t="inlineStr">
        <is>
          <t>QA-owned (UI/e2e - eng cannot cover)</t>
        </is>
      </c>
    </row>
    <row r="293">
      <c r="A293" s="171" t="inlineStr">
        <is>
          <t>GAP-MP-16</t>
        </is>
      </c>
      <c r="B293" s="171" t="inlineStr">
        <is>
          <t>Microplanning</t>
        </is>
      </c>
      <c r="C293" s="171" t="inlineStr">
        <is>
          <t>[Microplanning_16] Verify select work area section</t>
        </is>
      </c>
      <c r="D293" s="171" t="inlineStr">
        <is>
          <t>🔴 Manual only</t>
        </is>
      </c>
      <c r="E293" s="171" t="inlineStr">
        <is>
          <t>Map canvas interaction - no stable DOM selectors (reviewer to confirm)</t>
        </is>
      </c>
      <c r="F293" s="171" t="inlineStr">
        <is>
          <t>Pass 1: MTP vs test suite</t>
        </is>
      </c>
      <c r="G293" s="171" t="inlineStr">
        <is>
          <t>QA-owned (manual)</t>
        </is>
      </c>
    </row>
    <row r="294">
      <c r="A294" s="171" t="inlineStr">
        <is>
          <t>GAP-MP-17</t>
        </is>
      </c>
      <c r="B294" s="171" t="inlineStr">
        <is>
          <t>Microplanning</t>
        </is>
      </c>
      <c r="C294" s="171" t="inlineStr">
        <is>
          <t>[Microplanning_17] Verify user is able to modify work area</t>
        </is>
      </c>
      <c r="D294" s="171" t="inlineStr">
        <is>
          <t>🔴 Manual only</t>
        </is>
      </c>
      <c r="E294" s="171" t="inlineStr">
        <is>
          <t>Map canvas interaction - no stable DOM selectors (reviewer to confirm)</t>
        </is>
      </c>
      <c r="F294" s="171" t="inlineStr">
        <is>
          <t>Pass 1: MTP vs test suite</t>
        </is>
      </c>
      <c r="G294" s="171" t="inlineStr">
        <is>
          <t>QA-owned (manual)</t>
        </is>
      </c>
    </row>
    <row r="295">
      <c r="A295" s="171" t="inlineStr">
        <is>
          <t>GAP-MP-18</t>
        </is>
      </c>
      <c r="B295" s="171" t="inlineStr">
        <is>
          <t>Microplanning</t>
        </is>
      </c>
      <c r="C295" s="171" t="inlineStr">
        <is>
          <t>[Microplanning_18] Verify user is able to land on work area assignment page upon clicking on enter assignment mode</t>
        </is>
      </c>
      <c r="D295" s="171" t="inlineStr">
        <is>
          <t>🟡 Automatable - not yet done</t>
        </is>
      </c>
      <c r="E295" s="171" t="inlineStr">
        <is>
          <t>Standard web UI flow - no spec asserts this case</t>
        </is>
      </c>
      <c r="F295" s="171" t="inlineStr">
        <is>
          <t>Pass 1: MTP vs test suite</t>
        </is>
      </c>
      <c r="G295" s="171" t="inlineStr">
        <is>
          <t>QA-owned (UI/e2e - eng cannot cover)</t>
        </is>
      </c>
    </row>
    <row r="296">
      <c r="A296" s="171" t="inlineStr">
        <is>
          <t>GAP-MP-19</t>
        </is>
      </c>
      <c r="B296" s="171" t="inlineStr">
        <is>
          <t>Microplanning</t>
        </is>
      </c>
      <c r="C296" s="171" t="inlineStr">
        <is>
          <t>[Microplanning_19] Verify user is able to assign work area to worker</t>
        </is>
      </c>
      <c r="D296" s="171" t="inlineStr">
        <is>
          <t>🔴 Manual only</t>
        </is>
      </c>
      <c r="E296" s="171" t="inlineStr">
        <is>
          <t>Map canvas interaction - no stable DOM selectors (reviewer to confirm)</t>
        </is>
      </c>
      <c r="F296" s="171" t="inlineStr">
        <is>
          <t>Pass 1: MTP vs test suite</t>
        </is>
      </c>
      <c r="G296" s="171" t="inlineStr">
        <is>
          <t>QA-owned (manual)</t>
        </is>
      </c>
    </row>
    <row r="297">
      <c r="A297" s="171" t="inlineStr">
        <is>
          <t>GAP-MP-20</t>
        </is>
      </c>
      <c r="B297" s="171" t="inlineStr">
        <is>
          <t>Microplanning</t>
        </is>
      </c>
      <c r="C297" s="171" t="inlineStr">
        <is>
          <t>[Microplanning_20] Verify user is able to assign multiple work areas to a worker in one action</t>
        </is>
      </c>
      <c r="D297" s="171" t="inlineStr">
        <is>
          <t>🔴 Manual only</t>
        </is>
      </c>
      <c r="E297" s="171" t="inlineStr">
        <is>
          <t>Map canvas interaction - no stable DOM selectors (reviewer to confirm)</t>
        </is>
      </c>
      <c r="F297" s="171" t="inlineStr">
        <is>
          <t>Pass 1: MTP vs test suite</t>
        </is>
      </c>
      <c r="G297" s="171" t="inlineStr">
        <is>
          <t>QA-owned (manual)</t>
        </is>
      </c>
    </row>
    <row r="298">
      <c r="A298" s="171" t="inlineStr">
        <is>
          <t>GAP-MP-21</t>
        </is>
      </c>
      <c r="B298" s="171" t="inlineStr">
        <is>
          <t>Microplanning</t>
        </is>
      </c>
      <c r="C298" s="171" t="inlineStr">
        <is>
          <t>[Microplanning_21] Verify "Show only unassigned Work Areas" toggle button</t>
        </is>
      </c>
      <c r="D298" s="171" t="inlineStr">
        <is>
          <t>🟡 Automatable - not yet done</t>
        </is>
      </c>
      <c r="E298" s="171" t="inlineStr">
        <is>
          <t>Standard web UI flow - no spec asserts this case</t>
        </is>
      </c>
      <c r="F298" s="171" t="inlineStr">
        <is>
          <t>Pass 1: MTP vs test suite</t>
        </is>
      </c>
      <c r="G298" s="171" t="inlineStr">
        <is>
          <t>QA-owned (UI/e2e - eng cannot cover)</t>
        </is>
      </c>
    </row>
    <row r="299">
      <c r="A299" s="171" t="inlineStr">
        <is>
          <t>GAP-MP-22</t>
        </is>
      </c>
      <c r="B299" s="171" t="inlineStr">
        <is>
          <t>Microplanning</t>
        </is>
      </c>
      <c r="C299" s="171" t="inlineStr">
        <is>
          <t>[Microplanning_22] Verify "Select Work Areas to Assign" dropdown contains list of work area groups</t>
        </is>
      </c>
      <c r="D299" s="171" t="inlineStr">
        <is>
          <t>🟡 Automatable - not yet done</t>
        </is>
      </c>
      <c r="E299" s="171" t="inlineStr">
        <is>
          <t>Standard web UI flow - no spec asserts this case</t>
        </is>
      </c>
      <c r="F299" s="171" t="inlineStr">
        <is>
          <t>Pass 1: MTP vs test suite</t>
        </is>
      </c>
      <c r="G299" s="171" t="inlineStr">
        <is>
          <t>QA-owned (UI/e2e - eng cannot cover)</t>
        </is>
      </c>
    </row>
    <row r="300">
      <c r="A300" s="171" t="inlineStr">
        <is>
          <t>GAP-MP-23</t>
        </is>
      </c>
      <c r="B300" s="171" t="inlineStr">
        <is>
          <t>Microplanning</t>
        </is>
      </c>
      <c r="C300" s="171" t="inlineStr">
        <is>
          <t>[Microplanning_23] Verify user is able to exclude assigned work area from opportunity</t>
        </is>
      </c>
      <c r="D300" s="171" t="inlineStr">
        <is>
          <t>🔴 Manual only</t>
        </is>
      </c>
      <c r="E300" s="171" t="inlineStr">
        <is>
          <t>Map canvas interaction - no stable DOM selectors (reviewer to confirm)</t>
        </is>
      </c>
      <c r="F300" s="171" t="inlineStr">
        <is>
          <t>Pass 1: MTP vs test suite</t>
        </is>
      </c>
      <c r="G300" s="171" t="inlineStr">
        <is>
          <t>QA-owned (manual)</t>
        </is>
      </c>
    </row>
    <row r="301">
      <c r="A301" s="171" t="inlineStr">
        <is>
          <t>GAP-MP-24</t>
        </is>
      </c>
      <c r="B301" s="171" t="inlineStr">
        <is>
          <t>Microplanning</t>
        </is>
      </c>
      <c r="C301" s="171" t="inlineStr">
        <is>
          <t>[Microplanning_24] Verify user is able unassign selected areas</t>
        </is>
      </c>
      <c r="D301" s="171" t="inlineStr">
        <is>
          <t>🔴 Manual only</t>
        </is>
      </c>
      <c r="E301" s="171" t="inlineStr">
        <is>
          <t>Map canvas interaction - no stable DOM selectors (reviewer to confirm)</t>
        </is>
      </c>
      <c r="F301" s="171" t="inlineStr">
        <is>
          <t>Pass 1: MTP vs test suite</t>
        </is>
      </c>
      <c r="G301" s="171" t="inlineStr">
        <is>
          <t>QA-owned (manual)</t>
        </is>
      </c>
    </row>
    <row r="302">
      <c r="A302" s="171" t="inlineStr">
        <is>
          <t>GAP-MP-25</t>
        </is>
      </c>
      <c r="B302" s="171" t="inlineStr">
        <is>
          <t>Microplanning</t>
        </is>
      </c>
      <c r="C302" s="171" t="inlineStr">
        <is>
          <t>[Microplanning_25] Verify select new assignee dropdown contains all the connect workers</t>
        </is>
      </c>
      <c r="D302" s="171" t="inlineStr">
        <is>
          <t>🟡 Automatable - not yet done</t>
        </is>
      </c>
      <c r="E302" s="171" t="inlineStr">
        <is>
          <t>Standard web UI flow - no spec asserts this case</t>
        </is>
      </c>
      <c r="F302" s="171" t="inlineStr">
        <is>
          <t>Pass 1: MTP vs test suite</t>
        </is>
      </c>
      <c r="G302" s="171" t="inlineStr">
        <is>
          <t>QA-owned (UI/e2e - eng cannot cover)</t>
        </is>
      </c>
    </row>
    <row r="303">
      <c r="A303" s="171" t="inlineStr">
        <is>
          <t>GAP-MP-26</t>
        </is>
      </c>
      <c r="B303" s="171" t="inlineStr">
        <is>
          <t>Microplanning</t>
        </is>
      </c>
      <c r="C303" s="171" t="inlineStr">
        <is>
          <t>[Microplanning_26] Verify user is able to asssign multiple workers in signle action</t>
        </is>
      </c>
      <c r="D303" s="171" t="inlineStr">
        <is>
          <t>🔴 Manual only</t>
        </is>
      </c>
      <c r="E303" s="171" t="inlineStr">
        <is>
          <t>Map canvas interaction - no stable DOM selectors (reviewer to confirm)</t>
        </is>
      </c>
      <c r="F303" s="171" t="inlineStr">
        <is>
          <t>Pass 1: MTP vs test suite</t>
        </is>
      </c>
      <c r="G303" s="171" t="inlineStr">
        <is>
          <t>QA-owned (manual)</t>
        </is>
      </c>
    </row>
    <row r="304">
      <c r="A304" s="171" t="inlineStr">
        <is>
          <t>GAP-MP-27</t>
        </is>
      </c>
      <c r="B304" s="171" t="inlineStr">
        <is>
          <t>Microplanning</t>
        </is>
      </c>
      <c r="C304" s="171" t="inlineStr">
        <is>
          <t>[Microplanning_27] Verify FLW summary</t>
        </is>
      </c>
      <c r="D304" s="171" t="inlineStr">
        <is>
          <t>🔴 Manual only</t>
        </is>
      </c>
      <c r="E304" s="171" t="inlineStr">
        <is>
          <t>Map canvas interaction - no stable DOM selectors (reviewer to confirm)</t>
        </is>
      </c>
      <c r="F304" s="171" t="inlineStr">
        <is>
          <t>Pass 1: MTP vs test suite</t>
        </is>
      </c>
      <c r="G304" s="171" t="inlineStr">
        <is>
          <t>QA-owned (manual)</t>
        </is>
      </c>
    </row>
    <row r="305">
      <c r="A305" s="171" t="inlineStr">
        <is>
          <t>GAP-MP-28</t>
        </is>
      </c>
      <c r="B305" s="171" t="inlineStr">
        <is>
          <t>Microplanning</t>
        </is>
      </c>
      <c r="C305" s="171" t="inlineStr">
        <is>
          <t>[Microplanning_28] Verify user lands on work area assignments page when clicking on view summary by FLW button</t>
        </is>
      </c>
      <c r="D305" s="171" t="inlineStr">
        <is>
          <t>🟡 Automatable - not yet done</t>
        </is>
      </c>
      <c r="E305" s="171" t="inlineStr">
        <is>
          <t>Standard web UI flow - no spec asserts this case</t>
        </is>
      </c>
      <c r="F305" s="171" t="inlineStr">
        <is>
          <t>Pass 1: MTP vs test suite</t>
        </is>
      </c>
      <c r="G305" s="171" t="inlineStr">
        <is>
          <t>QA-owned (UI/e2e - eng cannot cover)</t>
        </is>
      </c>
    </row>
    <row r="306">
      <c r="A306" s="171" t="inlineStr">
        <is>
          <t>GAP-MP-29</t>
        </is>
      </c>
      <c r="B306" s="171" t="inlineStr">
        <is>
          <t>Microplanning</t>
        </is>
      </c>
      <c r="C306" s="171" t="inlineStr">
        <is>
          <t>[Microplanning_29] Verify user lands on visits page when clicking on view visits button</t>
        </is>
      </c>
      <c r="D306" s="171" t="inlineStr">
        <is>
          <t>🟡 Automatable - not yet done</t>
        </is>
      </c>
      <c r="E306" s="171" t="inlineStr">
        <is>
          <t>Standard web UI flow - no spec asserts this case</t>
        </is>
      </c>
      <c r="F306" s="171" t="inlineStr">
        <is>
          <t>Pass 1: MTP vs test suite</t>
        </is>
      </c>
      <c r="G306" s="171" t="inlineStr">
        <is>
          <t>QA-owned (UI/e2e - eng cannot cover)</t>
        </is>
      </c>
    </row>
    <row r="307">
      <c r="A307" s="171" t="inlineStr">
        <is>
          <t>GAP-MP-30</t>
        </is>
      </c>
      <c r="B307" s="171" t="inlineStr">
        <is>
          <t>Microplanning</t>
        </is>
      </c>
      <c r="C307" s="171" t="inlineStr">
        <is>
          <t>[Microplanning_30] Verify details on opp card [microplanning page]</t>
        </is>
      </c>
      <c r="D307" s="171" t="inlineStr">
        <is>
          <t>🟡 Automatable - not yet done</t>
        </is>
      </c>
      <c r="E307" s="171" t="inlineStr">
        <is>
          <t>Standard web UI flow - no spec asserts this case</t>
        </is>
      </c>
      <c r="F307" s="171" t="inlineStr">
        <is>
          <t>Pass 1: MTP vs test suite</t>
        </is>
      </c>
      <c r="G307" s="171" t="inlineStr">
        <is>
          <t>QA-owned (UI/e2e - eng cannot cover)</t>
        </is>
      </c>
    </row>
    <row r="308">
      <c r="A308" s="171" t="inlineStr">
        <is>
          <t>GAP-MP-31</t>
        </is>
      </c>
      <c r="B308" s="171" t="inlineStr">
        <is>
          <t>Microplanning</t>
        </is>
      </c>
      <c r="C308" s="171" t="inlineStr">
        <is>
          <t>[Microplanning_31] Verify user is able to land on progress tracker page upon clicking on coverage(see more) button on microplanning page</t>
        </is>
      </c>
      <c r="D308" s="171" t="inlineStr">
        <is>
          <t>🟡 Automatable - not yet done</t>
        </is>
      </c>
      <c r="E308" s="171" t="inlineStr">
        <is>
          <t>Standard web UI flow - no spec asserts this case</t>
        </is>
      </c>
      <c r="F308" s="171" t="inlineStr">
        <is>
          <t>Pass 1: MTP vs test suite</t>
        </is>
      </c>
      <c r="G308" s="171" t="inlineStr">
        <is>
          <t>QA-owned (UI/e2e - eng cannot cover)</t>
        </is>
      </c>
    </row>
    <row r="309">
      <c r="A309" s="171" t="inlineStr">
        <is>
          <t>GAP-MP-32</t>
        </is>
      </c>
      <c r="B309" s="171" t="inlineStr">
        <is>
          <t>Microplanning</t>
        </is>
      </c>
      <c r="C309" s="171" t="inlineStr">
        <is>
          <t>[Microplanning_32] Verify metrics count on microplanning page matches the work areas</t>
        </is>
      </c>
      <c r="D309" s="171" t="inlineStr">
        <is>
          <t>🟡 Automatable - not yet done</t>
        </is>
      </c>
      <c r="E309" s="171" t="inlineStr">
        <is>
          <t>Standard web UI flow - no spec asserts this case</t>
        </is>
      </c>
      <c r="F309" s="171" t="inlineStr">
        <is>
          <t>Pass 1: MTP vs test suite</t>
        </is>
      </c>
      <c r="G309" s="171" t="inlineStr">
        <is>
          <t>QA-owned (UI/e2e - eng cannot cover)</t>
        </is>
      </c>
    </row>
    <row r="310">
      <c r="A310" s="171" t="inlineStr">
        <is>
          <t>GAP-MP-33</t>
        </is>
      </c>
      <c r="B310" s="171" t="inlineStr">
        <is>
          <t>Microplanning</t>
        </is>
      </c>
      <c r="C310" s="171" t="inlineStr">
        <is>
          <t>[Microplanning_33] Verify assigned work areas are shown under work area assignments tab</t>
        </is>
      </c>
      <c r="D310" s="171" t="inlineStr">
        <is>
          <t>🟡 Automatable - not yet done</t>
        </is>
      </c>
      <c r="E310" s="171" t="inlineStr">
        <is>
          <t>Standard web UI flow - no spec asserts this case</t>
        </is>
      </c>
      <c r="F310" s="171" t="inlineStr">
        <is>
          <t>Pass 1: MTP vs test suite</t>
        </is>
      </c>
      <c r="G310" s="171" t="inlineStr">
        <is>
          <t>QA-owned (UI/e2e - eng cannot cover)</t>
        </is>
      </c>
    </row>
    <row r="311">
      <c r="A311" s="171" t="inlineStr">
        <is>
          <t>GAP-MP-34</t>
        </is>
      </c>
      <c r="B311" s="171" t="inlineStr">
        <is>
          <t>Microplanning</t>
        </is>
      </c>
      <c r="C311" s="171" t="inlineStr">
        <is>
          <t>[Microplanning_34] Verify user should sort using sort arrows at headers on work area assignment tab</t>
        </is>
      </c>
      <c r="D311" s="171" t="inlineStr">
        <is>
          <t>🟡 Automatable - not yet done</t>
        </is>
      </c>
      <c r="E311" s="171" t="inlineStr">
        <is>
          <t>Standard web UI flow - no spec asserts this case</t>
        </is>
      </c>
      <c r="F311" s="171" t="inlineStr">
        <is>
          <t>Pass 1: MTP vs test suite</t>
        </is>
      </c>
      <c r="G311" s="171" t="inlineStr">
        <is>
          <t>QA-owned (UI/e2e - eng cannot cover)</t>
        </is>
      </c>
    </row>
    <row r="312">
      <c r="A312" s="171" t="inlineStr">
        <is>
          <t>GAP-MP-35</t>
        </is>
      </c>
      <c r="B312" s="171" t="inlineStr">
        <is>
          <t>Microplanning</t>
        </is>
      </c>
      <c r="C312" s="171" t="inlineStr">
        <is>
          <t>[Microplanning_35] Verify details on progress Tracker page</t>
        </is>
      </c>
      <c r="D312" s="171" t="inlineStr">
        <is>
          <t>🟡 Automatable - not yet done</t>
        </is>
      </c>
      <c r="E312" s="171" t="inlineStr">
        <is>
          <t>Standard web UI flow - no spec asserts this case</t>
        </is>
      </c>
      <c r="F312" s="171" t="inlineStr">
        <is>
          <t>Pass 1: MTP vs test suite</t>
        </is>
      </c>
      <c r="G312" s="171" t="inlineStr">
        <is>
          <t>QA-owned (UI/e2e - eng cannot cover)</t>
        </is>
      </c>
    </row>
    <row r="313">
      <c r="A313" s="171" t="inlineStr">
        <is>
          <t>GAP-MP-36</t>
        </is>
      </c>
      <c r="B313" s="171" t="inlineStr">
        <is>
          <t>Microplanning</t>
        </is>
      </c>
      <c r="C313" s="171" t="inlineStr">
        <is>
          <t>[Microplanning_36] Verify core metrics details</t>
        </is>
      </c>
      <c r="D313" s="171" t="inlineStr">
        <is>
          <t>🟡 Automatable - not yet done</t>
        </is>
      </c>
      <c r="E313" s="171" t="inlineStr">
        <is>
          <t>Standard web UI flow - no spec asserts this case</t>
        </is>
      </c>
      <c r="F313" s="171" t="inlineStr">
        <is>
          <t>Pass 1: MTP vs test suite</t>
        </is>
      </c>
      <c r="G313" s="171" t="inlineStr">
        <is>
          <t>QA-owned (UI/e2e - eng cannot cover)</t>
        </is>
      </c>
    </row>
    <row r="314">
      <c r="A314" s="171" t="inlineStr">
        <is>
          <t>GAP-MP-37</t>
        </is>
      </c>
      <c r="B314" s="171" t="inlineStr">
        <is>
          <t>Microplanning</t>
        </is>
      </c>
      <c r="C314" s="171" t="inlineStr">
        <is>
          <t>[Microplanning_37] Verify Metrics by work area group details</t>
        </is>
      </c>
      <c r="D314" s="171" t="inlineStr">
        <is>
          <t>🟡 Automatable - not yet done</t>
        </is>
      </c>
      <c r="E314" s="171" t="inlineStr">
        <is>
          <t>Standard web UI flow - no spec asserts this case</t>
        </is>
      </c>
      <c r="F314" s="171" t="inlineStr">
        <is>
          <t>Pass 1: MTP vs test suite</t>
        </is>
      </c>
      <c r="G314" s="171" t="inlineStr">
        <is>
          <t>QA-owned (UI/e2e - eng cannot cover)</t>
        </is>
      </c>
    </row>
    <row r="315">
      <c r="A315" s="171" t="inlineStr">
        <is>
          <t>GAP-MP-38</t>
        </is>
      </c>
      <c r="B315" s="171" t="inlineStr">
        <is>
          <t>Microplanning</t>
        </is>
      </c>
      <c r="C315" s="171" t="inlineStr">
        <is>
          <t>[Microplanning_38] Verify date filter on progress tracker page</t>
        </is>
      </c>
      <c r="D315" s="171" t="inlineStr">
        <is>
          <t>🟡 Automatable - not yet done</t>
        </is>
      </c>
      <c r="E315" s="171" t="inlineStr">
        <is>
          <t>Standard web UI flow - no spec asserts this case</t>
        </is>
      </c>
      <c r="F315" s="171" t="inlineStr">
        <is>
          <t>Pass 1: MTP vs test suite</t>
        </is>
      </c>
      <c r="G315" s="171" t="inlineStr">
        <is>
          <t>QA-owned (UI/e2e - eng cannot cover)</t>
        </is>
      </c>
    </row>
    <row r="316">
      <c r="A316" s="171" t="inlineStr">
        <is>
          <t>GAP-MP-39</t>
        </is>
      </c>
      <c r="B316" s="171" t="inlineStr">
        <is>
          <t>Microplanning</t>
        </is>
      </c>
      <c r="C316" s="171" t="inlineStr">
        <is>
          <t>[Microplanning_39] Verify ward saturation goal percentage</t>
        </is>
      </c>
      <c r="D316" s="171" t="inlineStr">
        <is>
          <t>🟡 Automatable - not yet done</t>
        </is>
      </c>
      <c r="E316" s="171" t="inlineStr">
        <is>
          <t>Standard web UI flow - no spec asserts this case</t>
        </is>
      </c>
      <c r="F316" s="171" t="inlineStr">
        <is>
          <t>Pass 1: MTP vs test suite</t>
        </is>
      </c>
      <c r="G316" s="171" t="inlineStr">
        <is>
          <t>QA-owned (UI/e2e - eng cannot cover)</t>
        </is>
      </c>
    </row>
    <row r="317">
      <c r="A317" s="171" t="inlineStr">
        <is>
          <t>GAP-MP-40</t>
        </is>
      </c>
      <c r="B317" s="171" t="inlineStr">
        <is>
          <t>Microplanning</t>
        </is>
      </c>
      <c r="C317" s="171" t="inlineStr">
        <is>
          <t>[Microplanning_40] Verify that core metrics are updated based on the selected date range.</t>
        </is>
      </c>
      <c r="D317" s="171" t="inlineStr">
        <is>
          <t>🟡 Automatable - not yet done</t>
        </is>
      </c>
      <c r="E317" s="171" t="inlineStr">
        <is>
          <t>Standard web UI flow - no spec asserts this case</t>
        </is>
      </c>
      <c r="F317" s="171" t="inlineStr">
        <is>
          <t>Pass 1: MTP vs test suite</t>
        </is>
      </c>
      <c r="G317" s="171" t="inlineStr">
        <is>
          <t>QA-owned (UI/e2e - eng cannot cover)</t>
        </is>
      </c>
    </row>
    <row r="318">
      <c r="A318" s="171" t="inlineStr">
        <is>
          <t>Connect_worker_17</t>
        </is>
      </c>
      <c r="B318" s="171" t="inlineStr">
        <is>
          <t>Connect workers page</t>
        </is>
      </c>
      <c r="C318" s="171" t="inlineStr">
        <is>
          <t>Verify user can sort the workers list by clicking the header columns</t>
        </is>
      </c>
      <c r="D318" s="171" t="inlineStr">
        <is>
          <t>🟢 Already automated</t>
        </is>
      </c>
      <c r="E318" s="171" t="inlineStr">
        <is>
          <t>test_worker_list_view.py::test_connect_worker_17_sort_list_by_header</t>
        </is>
      </c>
      <c r="F318" s="171" t="inlineStr">
        <is>
          <t>Connect Workers Batch A/B (feature/workers-web-automation, 2026-09-09)</t>
        </is>
      </c>
      <c r="G318" s="171" t="inlineStr">
        <is>
          <t>Already automated (n/a)</t>
        </is>
      </c>
    </row>
    <row r="319">
      <c r="A319" s="171" t="inlineStr">
        <is>
          <t>Delivery_tab_10</t>
        </is>
      </c>
      <c r="B319" s="171" t="inlineStr">
        <is>
          <t>Connect workers page</t>
        </is>
      </c>
      <c r="C319" s="171" t="inlineStr">
        <is>
          <t>Verify Filters pop up modal is displayed by clicking the filters icon on the delivery tab</t>
        </is>
      </c>
      <c r="D319" s="171" t="inlineStr">
        <is>
          <t>🟢 Already automated</t>
        </is>
      </c>
      <c r="E319" s="171" t="inlineStr">
        <is>
          <t>test_worker_deliver_filters.py::test_delivery_tab_10_filter_modal_opens</t>
        </is>
      </c>
      <c r="F319" s="171" t="inlineStr">
        <is>
          <t>Connect Workers Batch A/B (feature/workers-web-automation, 2026-09-09)</t>
        </is>
      </c>
      <c r="G319" s="171" t="inlineStr">
        <is>
          <t>Already automated (n/a)</t>
        </is>
      </c>
    </row>
    <row r="320">
      <c r="A320" s="171" t="inlineStr">
        <is>
          <t>Delivery_tab_11</t>
        </is>
      </c>
      <c r="B320" s="171" t="inlineStr">
        <is>
          <t>Connect workers page</t>
        </is>
      </c>
      <c r="C320" s="171" t="inlineStr">
        <is>
          <t>Verify Last active filter dropdown contains the expected options (Any time / 1 / 3 / 7 days ago)</t>
        </is>
      </c>
      <c r="D320" s="171" t="inlineStr">
        <is>
          <t>🟢 Already automated</t>
        </is>
      </c>
      <c r="E320" s="171" t="inlineStr">
        <is>
          <t>test_worker_deliver_filters.py::test_delivery_tab_11_last_active_options</t>
        </is>
      </c>
      <c r="F320" s="171" t="inlineStr">
        <is>
          <t>Connect Workers Batch A/B (feature/workers-web-automation, 2026-09-09)</t>
        </is>
      </c>
      <c r="G320" s="171" t="inlineStr">
        <is>
          <t>Already automated (n/a)</t>
        </is>
      </c>
    </row>
    <row r="321">
      <c r="A321" s="171" t="inlineStr">
        <is>
          <t>Delivery_tab_13</t>
        </is>
      </c>
      <c r="B321" s="171" t="inlineStr">
        <is>
          <t>Connect workers page</t>
        </is>
      </c>
      <c r="C321" s="171" t="inlineStr">
        <is>
          <t>Verify Deliveries-with-flags filter dropdown contains the expected options (---------/Yes/No)</t>
        </is>
      </c>
      <c r="D321" s="171" t="inlineStr">
        <is>
          <t>🟢 Already automated</t>
        </is>
      </c>
      <c r="E321" s="171" t="inlineStr">
        <is>
          <t>test_worker_deliver_filters.py::test_delivery_tab_13_deliveries_with_flags_options</t>
        </is>
      </c>
      <c r="F321" s="171" t="inlineStr">
        <is>
          <t>Connect Workers Batch A/B (feature/workers-web-automation, 2026-09-09)</t>
        </is>
      </c>
      <c r="G321" s="171" t="inlineStr">
        <is>
          <t>Already automated (n/a)</t>
        </is>
      </c>
    </row>
    <row r="322">
      <c r="A322" s="171" t="inlineStr">
        <is>
          <t>Delivery_tab_14</t>
        </is>
      </c>
      <c r="B322" s="171" t="inlineStr">
        <is>
          <t>Connect workers page</t>
        </is>
      </c>
      <c r="C322" s="171" t="inlineStr">
        <is>
          <t>Verify Has-overlimit-deliveries filter dropdown contains the expected options (---------/Yes/No)</t>
        </is>
      </c>
      <c r="D322" s="171" t="inlineStr">
        <is>
          <t>🟢 Already automated</t>
        </is>
      </c>
      <c r="E322" s="171" t="inlineStr">
        <is>
          <t>test_worker_deliver_filters.py::test_delivery_tab_14_has_overlimit_options</t>
        </is>
      </c>
      <c r="F322" s="171" t="inlineStr">
        <is>
          <t>Connect Workers Batch A/B (feature/workers-web-automation, 2026-09-09)</t>
        </is>
      </c>
      <c r="G322" s="171" t="inlineStr">
        <is>
          <t>Already automated (n/a)</t>
        </is>
      </c>
    </row>
    <row r="323">
      <c r="A323" s="171" t="inlineStr">
        <is>
          <t>Delivery_tab_16</t>
        </is>
      </c>
      <c r="B323" s="171" t="inlineStr">
        <is>
          <t>Connect workers page</t>
        </is>
      </c>
      <c r="C323" s="171" t="inlineStr">
        <is>
          <t>Ensure all filter combinations are applied simultaneously and function correctly (badge counts them)</t>
        </is>
      </c>
      <c r="D323" s="171" t="inlineStr">
        <is>
          <t>🟢 Already automated</t>
        </is>
      </c>
      <c r="E323" s="171" t="inlineStr">
        <is>
          <t>test_worker_deliver_filters.py::test_delivery_tab_16_filter_combination_applies</t>
        </is>
      </c>
      <c r="F323" s="171" t="inlineStr">
        <is>
          <t>Connect Workers Batch A/B (feature/workers-web-automation, 2026-09-09)</t>
        </is>
      </c>
      <c r="G323" s="171" t="inlineStr">
        <is>
          <t>Already automated (n/a)</t>
        </is>
      </c>
    </row>
    <row r="324">
      <c r="A324" s="171" t="inlineStr">
        <is>
          <t>Payment Processing_2</t>
        </is>
      </c>
      <c r="B324" s="171" t="inlineStr">
        <is>
          <t>Connect workers page</t>
        </is>
      </c>
      <c r="C324" s="171" t="inlineStr">
        <is>
          <t>Confirm user sees a message when a payment is made (covered via the import-confirmation path; confirm "Pay button" wording w/ product)</t>
        </is>
      </c>
      <c r="D324" s="171" t="inlineStr">
        <is>
          <t>🟢 Already automated</t>
        </is>
      </c>
      <c r="E324" s="171" t="inlineStr">
        <is>
          <t>test_worker_payments.py::test_payment_processing_01_02_03_04</t>
        </is>
      </c>
      <c r="F324" s="171" t="inlineStr">
        <is>
          <t>Connect Workers Batch A/B (feature/workers-web-automation, 2026-09-09)</t>
        </is>
      </c>
      <c r="G324" s="171" t="inlineStr">
        <is>
          <t>Already automated (n/a)</t>
        </is>
      </c>
    </row>
    <row r="325">
      <c r="A325" s="171" t="inlineStr">
        <is>
          <t>Learn_tab_04</t>
        </is>
      </c>
      <c r="B325" s="171" t="inlineStr">
        <is>
          <t>Connect workers page</t>
        </is>
      </c>
      <c r="C325" s="171" t="inlineStr">
        <is>
          <t>Verify Assessment status is shown as Passed when a worker passes the assessment (100% modules, attempts + completed learning present)</t>
        </is>
      </c>
      <c r="D325" s="171" t="inlineStr">
        <is>
          <t>🟢 Already automated</t>
        </is>
      </c>
      <c r="E325" s="171" t="inlineStr">
        <is>
          <t>test_worker_list_view.py::test_learn_tab_04_assessment_passed</t>
        </is>
      </c>
      <c r="F325" s="171" t="inlineStr">
        <is>
          <t>Connect Workers Batch D probe (feature/workers-web-automation, 2026-09-09)</t>
        </is>
      </c>
      <c r="G325" s="171" t="inlineStr">
        <is>
          <t>Already automated (n/a)</t>
        </is>
      </c>
    </row>
    <row r="326">
      <c r="A326" s="171" t="inlineStr">
        <is>
          <t>Connect_worker_02</t>
        </is>
      </c>
      <c r="B326" s="171" t="inlineStr">
        <is>
          <t>Connect workers page</t>
        </is>
      </c>
      <c r="C326" s="171" t="inlineStr">
        <is>
          <t>Verify user is able to see the status as invite pending until the invitation is accepted</t>
        </is>
      </c>
      <c r="D326" s="171" t="inlineStr">
        <is>
          <t>🟢 Already automated</t>
        </is>
      </c>
      <c r="E326" s="171" t="inlineStr">
        <is>
          <t>test_worker_invites.py::test_connect_worker_02_pending_invite_status</t>
        </is>
      </c>
      <c r="F326" s="171" t="inlineStr">
        <is>
          <t>Connect Workers Batch C phase 1 (feature/workers-web-automation, 2026-09-10)</t>
        </is>
      </c>
      <c r="G326" s="171" t="inlineStr">
        <is>
          <t>Already automated (n/a)</t>
        </is>
      </c>
    </row>
    <row r="327">
      <c r="A327" s="171" t="inlineStr">
        <is>
          <t>Connect_worker_03</t>
        </is>
      </c>
      <c r="B327" s="171" t="inlineStr">
        <is>
          <t>Connect workers page</t>
        </is>
      </c>
      <c r="C327" s="171" t="inlineStr">
        <is>
          <t>Verify resend/delete invite buttons are enabled only when the user selects the invites</t>
        </is>
      </c>
      <c r="D327" s="171" t="inlineStr">
        <is>
          <t>🟢 Already automated</t>
        </is>
      </c>
      <c r="E327" s="171" t="inlineStr">
        <is>
          <t>test_worker_invites.py::test_connect_worker_03_resend_delete_gated_by_selection</t>
        </is>
      </c>
      <c r="F327" s="171" t="inlineStr">
        <is>
          <t>Connect Workers Batch C phase 1 (feature/workers-web-automation, 2026-09-10)</t>
        </is>
      </c>
      <c r="G327" s="171" t="inlineStr">
        <is>
          <t>Already automated (n/a)</t>
        </is>
      </c>
    </row>
    <row r="328">
      <c r="A328" s="171" t="inlineStr">
        <is>
          <t>Connect_worker_05</t>
        </is>
      </c>
      <c r="B328" s="171" t="inlineStr">
        <is>
          <t>Connect workers page</t>
        </is>
      </c>
      <c r="C328" s="171" t="inlineStr">
        <is>
          <t>Verify we are able to pre-invite a worker that is not registered for Personal ID yet</t>
        </is>
      </c>
      <c r="D328" s="171" t="inlineStr">
        <is>
          <t>🟢 Already automated</t>
        </is>
      </c>
      <c r="E328" s="171" t="inlineStr">
        <is>
          <t>test_worker_invites.py::test_connect_worker_05_12_08_invite_resend_delete</t>
        </is>
      </c>
      <c r="F328" s="171" t="inlineStr">
        <is>
          <t>Connect Workers Batch C phase 2 (feature/workers-web-automation, 2026-09-10)</t>
        </is>
      </c>
      <c r="G328" s="171" t="inlineStr">
        <is>
          <t>Already automated (n/a)</t>
        </is>
      </c>
    </row>
    <row r="329">
      <c r="A329" s="171" t="inlineStr">
        <is>
          <t>Connect_worker_08</t>
        </is>
      </c>
      <c r="B329" s="171" t="inlineStr">
        <is>
          <t>Connect workers page</t>
        </is>
      </c>
      <c r="C329" s="171" t="inlineStr">
        <is>
          <t>Verify user is able to delete the pending invites</t>
        </is>
      </c>
      <c r="D329" s="171" t="inlineStr">
        <is>
          <t>🟢 Already automated</t>
        </is>
      </c>
      <c r="E329" s="171" t="inlineStr">
        <is>
          <t>test_worker_invites.py::test_connect_worker_05_12_08_invite_resend_delete</t>
        </is>
      </c>
      <c r="F329" s="171" t="inlineStr">
        <is>
          <t>Connect Workers Batch C phase 2 (feature/workers-web-automation, 2026-09-10)</t>
        </is>
      </c>
      <c r="G329" s="171" t="inlineStr">
        <is>
          <t>Already automated (n/a)</t>
        </is>
      </c>
    </row>
    <row r="330">
      <c r="A330" s="171" t="inlineStr">
        <is>
          <t>Connect_worker_12</t>
        </is>
      </c>
      <c r="B330" s="171" t="inlineStr">
        <is>
          <t>Connect workers page</t>
        </is>
      </c>
      <c r="C330" s="171" t="inlineStr">
        <is>
          <t>Verify user is not able to resend the invite for not-found (unregistered) users (skipped with a naming message)</t>
        </is>
      </c>
      <c r="D330" s="171" t="inlineStr">
        <is>
          <t>🟢 Already automated</t>
        </is>
      </c>
      <c r="E330" s="171" t="inlineStr">
        <is>
          <t>test_worker_invites.py::test_connect_worker_05_12_08_invite_resend_delete</t>
        </is>
      </c>
      <c r="F330" s="171" t="inlineStr">
        <is>
          <t>Connect Workers Batch C phase 2 (feature/workers-web-automation, 2026-09-10)</t>
        </is>
      </c>
      <c r="G330" s="171" t="inlineStr">
        <is>
          <t>Already automated (n/a)</t>
        </is>
      </c>
    </row>
    <row r="331">
      <c r="A331" s="171" t="inlineStr">
        <is>
          <t>Connect_worker_04</t>
        </is>
      </c>
      <c r="B331" s="171" t="inlineStr">
        <is>
          <t>Connect workers page</t>
        </is>
      </c>
      <c r="C331" s="171" t="inlineStr">
        <is>
          <t>Verify worker status is updated to invite accepted when the invitation is accepted</t>
        </is>
      </c>
      <c r="D331" s="171" t="inlineStr">
        <is>
          <t>🟢 Already automated</t>
        </is>
      </c>
      <c r="E331" s="171" t="inlineStr">
        <is>
          <t>test_worker_lifecycle.py::test_connect_worker_04_accepted_status</t>
        </is>
      </c>
      <c r="F331" s="171" t="inlineStr">
        <is>
          <t>Connect Workers Batch C seeded data (Worker_Lifecycle_Automation, 2026-09-10)</t>
        </is>
      </c>
      <c r="G331" s="171" t="inlineStr">
        <is>
          <t>Already automated (n/a)</t>
        </is>
      </c>
    </row>
    <row r="332">
      <c r="A332" s="171" t="inlineStr">
        <is>
          <t>Learn_tab_03</t>
        </is>
      </c>
      <c r="B332" s="171" t="inlineStr">
        <is>
          <t>Connect workers page</t>
        </is>
      </c>
      <c r="C332" s="171" t="inlineStr">
        <is>
          <t>Verify Assessment status is shown as Failed when the worker fails the assessment</t>
        </is>
      </c>
      <c r="D332" s="171" t="inlineStr">
        <is>
          <t>🟢 Already automated</t>
        </is>
      </c>
      <c r="E332" s="171" t="inlineStr">
        <is>
          <t>test_worker_lifecycle.py::test_learn_tab_03_assessment_failed</t>
        </is>
      </c>
      <c r="F332" s="171" t="inlineStr">
        <is>
          <t>Connect Workers Batch C seeded data (Worker_Lifecycle_Automation, 2026-09-10)</t>
        </is>
      </c>
      <c r="G332" s="171" t="inlineStr">
        <is>
          <t>Already automated (n/a)</t>
        </is>
      </c>
    </row>
    <row r="333">
      <c r="A333" s="171" t="inlineStr">
        <is>
          <t>Connect_worker_10</t>
        </is>
      </c>
      <c r="B333" s="171" t="inlineStr">
        <is>
          <t>Connect workers page</t>
        </is>
      </c>
      <c r="C333" s="171" t="inlineStr">
        <is>
          <t>Verify user is able to resend the invite for invite-pending workers (Successfully resent)</t>
        </is>
      </c>
      <c r="D333" s="171" t="inlineStr">
        <is>
          <t>🟢 Already automated</t>
        </is>
      </c>
      <c r="E333" s="171" t="inlineStr">
        <is>
          <t>test_worker_lifecycle.py::test_connect_worker_10_resend_allowed_for_pending</t>
        </is>
      </c>
      <c r="F333" s="171" t="inlineStr">
        <is>
          <t>Connect Workers Batch C seeded data (Worker_Lifecycle_Automation, 2026-09-10)</t>
        </is>
      </c>
      <c r="G333" s="171" t="inlineStr">
        <is>
          <t>Already automated (n/a)</t>
        </is>
      </c>
    </row>
    <row r="334">
      <c r="A334" s="171" t="inlineStr">
        <is>
          <t>Connect_worker_11</t>
        </is>
      </c>
      <c r="B334" s="171" t="inlineStr">
        <is>
          <t>Connect workers page</t>
        </is>
      </c>
      <c r="C334" s="171" t="inlineStr">
        <is>
          <t>Verify user is not able to resend the invite for accepted workers (skipped - already accepted)</t>
        </is>
      </c>
      <c r="D334" s="171" t="inlineStr">
        <is>
          <t>🟢 Already automated</t>
        </is>
      </c>
      <c r="E334" s="171" t="inlineStr">
        <is>
          <t>test_worker_lifecycle.py::test_connect_worker_11_resend_skipped_for_accepted</t>
        </is>
      </c>
      <c r="F334" s="171" t="inlineStr">
        <is>
          <t>Connect Workers Batch C seeded data (Worker_Lifecycle_Automation, 2026-09-10)</t>
        </is>
      </c>
      <c r="G334" s="171" t="inlineStr">
        <is>
          <t>Already automated (n/a)</t>
        </is>
      </c>
    </row>
    <row r="335">
      <c r="A335" s="171" t="inlineStr">
        <is>
          <t>Connect_worker_14</t>
        </is>
      </c>
      <c r="B335" s="171" t="inlineStr">
        <is>
          <t>Connect workers page</t>
        </is>
      </c>
      <c r="C335" s="171" t="inlineStr">
        <is>
          <t>Verify user is not able to resend the invite for suspended users (skipped)</t>
        </is>
      </c>
      <c r="D335" s="171" t="inlineStr">
        <is>
          <t>🟢 Already automated</t>
        </is>
      </c>
      <c r="E335" s="171" t="inlineStr">
        <is>
          <t>test_worker_lifecycle.py::test_connect_worker_14_resend_skipped_for_suspended</t>
        </is>
      </c>
      <c r="F335" s="171" t="inlineStr">
        <is>
          <t>Connect Workers Batch C seeded data (Worker_Lifecycle_Automation, 2026-09-10)</t>
        </is>
      </c>
      <c r="G335" s="171" t="inlineStr">
        <is>
          <t>Already automated (n/a)</t>
        </is>
      </c>
    </row>
    <row r="336">
      <c r="A336" s="171" t="inlineStr">
        <is>
          <t>Connect_worker_15</t>
        </is>
      </c>
      <c r="B336" s="171" t="inlineStr">
        <is>
          <t>Connect workers page</t>
        </is>
      </c>
      <c r="C336" s="171" t="inlineStr">
        <is>
          <t>Verify appropriate messages are displayed when the user bulk-resends invites to a mix of worker types (accepted/suspended skipped, pending resent)</t>
        </is>
      </c>
      <c r="D336" s="171" t="inlineStr">
        <is>
          <t>🟢 Already automated</t>
        </is>
      </c>
      <c r="E336" s="171" t="inlineStr">
        <is>
          <t>test_worker_lifecycle.py::test_connect_worker_15_bulk_resend_messages</t>
        </is>
      </c>
      <c r="F336" s="171" t="inlineStr">
        <is>
          <t>Connect Workers Batch C seeded data (Worker_Lifecycle_Automation, 2026-09-10)</t>
        </is>
      </c>
      <c r="G336" s="171" t="inlineStr">
        <is>
          <t>Already automated (n/a)</t>
        </is>
      </c>
    </row>
    <row r="337">
      <c r="A337" s="171" t="inlineStr">
        <is>
          <t>Connect_worker_06</t>
        </is>
      </c>
      <c r="B337" s="171" t="inlineStr">
        <is>
          <t>Connect workers page</t>
        </is>
      </c>
      <c r="C337" s="171" t="inlineStr">
        <is>
          <t>Verify a not-found (unregistered) user shows "User not found" with no name - only the mobile number</t>
        </is>
      </c>
      <c r="D337" s="171" t="inlineStr">
        <is>
          <t>🟢 Already automated</t>
        </is>
      </c>
      <c r="E337" s="171" t="inlineStr">
        <is>
          <t>test_worker_lifecycle.py::test_connect_worker_06_not_found_display</t>
        </is>
      </c>
      <c r="F337" s="171" t="inlineStr">
        <is>
          <t>Connect Workers Batch C - Anshu data 2 (Worker_Lifecycle_Automation, 2026-09-10)</t>
        </is>
      </c>
      <c r="G337" s="171" t="inlineStr">
        <is>
          <t>Already automated (n/a)</t>
        </is>
      </c>
    </row>
    <row r="338">
      <c r="A338" s="171" t="inlineStr">
        <is>
          <t>Connect_worker_09</t>
        </is>
      </c>
      <c r="B338" s="171" t="inlineStr">
        <is>
          <t>Connect workers page</t>
        </is>
      </c>
      <c r="C338" s="171" t="inlineStr">
        <is>
          <t>Verify user is not able to resend the invite within 24h (cooldown) - real number</t>
        </is>
      </c>
      <c r="D338" s="171" t="inlineStr">
        <is>
          <t>🔴 Manual only (by design)</t>
        </is>
      </c>
      <c r="E338" s="171" t="inlineStr">
        <is>
          <t>No automated test - manual by design (real-number cooldown)</t>
        </is>
      </c>
      <c r="F338" s="171" t="inlineStr">
        <is>
          <t>Connect Workers Batch C - Anshu data 2 (Worker_Lifecycle_Automation, 2026-09-10)</t>
        </is>
      </c>
      <c r="G338" s="171" t="inlineStr">
        <is>
          <t>QA-owned (manual) - real-number cooldown; run by hand before releases</t>
        </is>
      </c>
    </row>
    <row r="339">
      <c r="A339" s="171" t="inlineStr">
        <is>
          <t>Connect_worker_13</t>
        </is>
      </c>
      <c r="B339" s="171" t="inlineStr">
        <is>
          <t>Connect workers page</t>
        </is>
      </c>
      <c r="C339" s="171" t="inlineStr">
        <is>
          <t>Verify user is able to delete not-found users (Delete affordance; not executed to preserve seed)</t>
        </is>
      </c>
      <c r="D339" s="171" t="inlineStr">
        <is>
          <t>🟢 Already automated</t>
        </is>
      </c>
      <c r="E339" s="171" t="inlineStr">
        <is>
          <t>test_worker_lifecycle.py::test_connect_worker_13_not_found_deletable</t>
        </is>
      </c>
      <c r="F339" s="171" t="inlineStr">
        <is>
          <t>Connect Workers Batch C - Anshu data 2 (Worker_Lifecycle_Automation, 2026-09-10)</t>
        </is>
      </c>
      <c r="G339" s="171" t="inlineStr">
        <is>
          <t>Already automated (n/a)</t>
        </is>
      </c>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B21"/>
  <sheetViews>
    <sheetView workbookViewId="0">
      <selection activeCell="A1" sqref="A1"/>
    </sheetView>
  </sheetViews>
  <sheetFormatPr baseColWidth="8" defaultColWidth="12.63" defaultRowHeight="15.75" customHeight="1"/>
  <cols>
    <col width="36.38" customWidth="1" style="148" min="1" max="1"/>
    <col width="21.75" customWidth="1" style="148" min="2" max="2"/>
    <col width="17.38" customWidth="1" style="148" min="3" max="3"/>
    <col width="15.63" customWidth="1" style="148" min="4" max="4"/>
    <col width="6.38" customWidth="1" style="148" min="5" max="5"/>
    <col width="5.38" customWidth="1" style="148" min="6" max="12"/>
    <col width="22.5" customWidth="1" style="148" min="13" max="13"/>
    <col width="11.88" customWidth="1" style="148" min="14" max="28"/>
  </cols>
  <sheetData>
    <row r="1">
      <c r="A1" s="149" t="n"/>
      <c r="B1" s="150" t="inlineStr">
        <is>
          <t>CCC Web Platform [Master]</t>
        </is>
      </c>
      <c r="C1" s="151" t="n"/>
      <c r="D1" s="152" t="n"/>
      <c r="E1" s="5" t="n"/>
      <c r="F1" s="150" t="inlineStr">
        <is>
          <t>Keys</t>
        </is>
      </c>
      <c r="G1" s="153" t="n"/>
      <c r="H1" s="153" t="n"/>
      <c r="I1" s="153" t="n"/>
      <c r="J1" s="153" t="n"/>
      <c r="K1" s="153" t="n"/>
      <c r="L1" s="154" t="n"/>
      <c r="M1" s="69" t="n"/>
      <c r="N1" s="69" t="n"/>
      <c r="O1" s="69" t="n"/>
      <c r="P1" s="69" t="n"/>
      <c r="Q1" s="69" t="n"/>
      <c r="R1" s="69" t="n"/>
      <c r="S1" s="69" t="n"/>
      <c r="T1" s="69" t="n"/>
      <c r="U1" s="69" t="n"/>
      <c r="V1" s="69" t="n"/>
      <c r="W1" s="69" t="n"/>
      <c r="X1" s="69" t="n"/>
      <c r="Y1" s="69" t="n"/>
      <c r="Z1" s="69" t="n"/>
      <c r="AA1" s="69" t="n"/>
      <c r="AB1" s="69" t="n"/>
    </row>
    <row r="2" ht="20.25" customHeight="1" s="148">
      <c r="A2" s="155" t="n"/>
      <c r="B2" s="156" t="n"/>
      <c r="C2" s="157" t="n"/>
      <c r="D2" s="158" t="n"/>
      <c r="E2" s="5" t="n"/>
      <c r="F2" s="159" t="inlineStr">
        <is>
          <t>Pass</t>
        </is>
      </c>
      <c r="G2" s="154" t="n"/>
      <c r="H2" s="25" t="inlineStr">
        <is>
          <t>Passed steps of Test Case</t>
        </is>
      </c>
      <c r="I2" s="153" t="n"/>
      <c r="J2" s="153" t="n"/>
      <c r="K2" s="153" t="n"/>
      <c r="L2" s="154" t="n"/>
      <c r="M2" s="69" t="n"/>
      <c r="N2" s="69" t="n"/>
      <c r="O2" s="69" t="n"/>
      <c r="P2" s="69" t="n"/>
      <c r="Q2" s="69" t="n"/>
      <c r="R2" s="69" t="n"/>
      <c r="S2" s="69" t="n"/>
      <c r="T2" s="69" t="n"/>
      <c r="U2" s="69" t="n"/>
      <c r="V2" s="69" t="n"/>
      <c r="W2" s="25" t="n"/>
      <c r="X2" s="25" t="n"/>
      <c r="Y2" s="25" t="n"/>
      <c r="Z2" s="25" t="n"/>
      <c r="AA2" s="25" t="n"/>
      <c r="AB2" s="25" t="n"/>
    </row>
    <row r="3" ht="27" customHeight="1" s="148">
      <c r="A3" s="155" t="n"/>
      <c r="B3" s="160" t="n"/>
      <c r="C3" s="151" t="n"/>
      <c r="D3" s="152" t="n"/>
      <c r="E3" s="5" t="n"/>
      <c r="F3" s="159" t="inlineStr">
        <is>
          <t>Fail</t>
        </is>
      </c>
      <c r="G3" s="154" t="n"/>
      <c r="H3" s="25" t="inlineStr">
        <is>
          <t>Failed steps of Test Case</t>
        </is>
      </c>
      <c r="I3" s="153" t="n"/>
      <c r="J3" s="153" t="n"/>
      <c r="K3" s="153" t="n"/>
      <c r="L3" s="154" t="n"/>
      <c r="M3" s="69" t="n"/>
      <c r="N3" s="69" t="n"/>
      <c r="O3" s="69" t="n"/>
      <c r="P3" s="69" t="n"/>
      <c r="Q3" s="69" t="n"/>
      <c r="R3" s="69" t="n"/>
      <c r="S3" s="69" t="n"/>
      <c r="T3" s="69" t="n"/>
      <c r="U3" s="69" t="n"/>
      <c r="V3" s="69" t="n"/>
      <c r="W3" s="25" t="n"/>
      <c r="X3" s="25" t="n"/>
      <c r="Y3" s="25" t="n"/>
      <c r="Z3" s="25" t="n"/>
      <c r="AA3" s="25" t="n"/>
      <c r="AB3" s="25" t="n"/>
    </row>
    <row r="4" ht="27" customHeight="1" s="148">
      <c r="A4" s="155" t="n"/>
      <c r="B4" s="161" t="n"/>
      <c r="D4" s="162" t="n"/>
      <c r="E4" s="5" t="n"/>
      <c r="F4" s="159" t="inlineStr">
        <is>
          <t>N/A</t>
        </is>
      </c>
      <c r="G4" s="154" t="n"/>
      <c r="H4" s="25" t="inlineStr">
        <is>
          <t>Not applicable to your testing</t>
        </is>
      </c>
      <c r="I4" s="25" t="n"/>
      <c r="J4" s="25" t="n"/>
      <c r="K4" s="25" t="n"/>
      <c r="L4" s="25" t="n"/>
      <c r="M4" s="69" t="n"/>
      <c r="N4" s="69" t="n"/>
      <c r="O4" s="69" t="n"/>
      <c r="P4" s="69" t="n"/>
      <c r="Q4" s="69" t="n"/>
      <c r="R4" s="69" t="n"/>
      <c r="S4" s="69" t="n"/>
      <c r="T4" s="69" t="n"/>
      <c r="U4" s="69" t="n"/>
      <c r="V4" s="69" t="n"/>
      <c r="W4" s="25" t="n"/>
      <c r="X4" s="25" t="n"/>
      <c r="Y4" s="25" t="n"/>
      <c r="Z4" s="25" t="n"/>
      <c r="AA4" s="25" t="n"/>
      <c r="AB4" s="25" t="n"/>
    </row>
    <row r="5" ht="27" customHeight="1" s="148">
      <c r="A5" s="163" t="n"/>
      <c r="B5" s="156" t="n"/>
      <c r="C5" s="157" t="n"/>
      <c r="D5" s="158" t="n"/>
      <c r="E5" s="5" t="n"/>
      <c r="F5" s="164" t="inlineStr">
        <is>
          <t>Blocking</t>
        </is>
      </c>
      <c r="G5" s="154" t="n"/>
      <c r="H5" s="25" t="inlineStr">
        <is>
          <t>Failed and is a critical feature or cannot proceed with testing</t>
        </is>
      </c>
      <c r="I5" s="153" t="n"/>
      <c r="J5" s="153" t="n"/>
      <c r="K5" s="153" t="n"/>
      <c r="L5" s="154" t="n"/>
      <c r="M5" s="69" t="n"/>
      <c r="N5" s="69" t="n"/>
      <c r="O5" s="69" t="n"/>
      <c r="P5" s="69" t="n"/>
      <c r="Q5" s="69" t="n"/>
      <c r="R5" s="69" t="n"/>
      <c r="S5" s="69" t="n"/>
      <c r="T5" s="69" t="n"/>
      <c r="U5" s="69" t="n"/>
      <c r="V5" s="69" t="n"/>
      <c r="W5" s="93" t="n"/>
      <c r="X5" s="93" t="n"/>
      <c r="Y5" s="93" t="n"/>
      <c r="Z5" s="93" t="n"/>
      <c r="AA5" s="93" t="n"/>
      <c r="AB5" s="93" t="n"/>
    </row>
    <row r="6" ht="17.25" customHeight="1" s="148">
      <c r="A6" s="23" t="inlineStr">
        <is>
          <t>Name of Tester</t>
        </is>
      </c>
      <c r="B6" s="23" t="inlineStr">
        <is>
          <t>Start Date</t>
        </is>
      </c>
      <c r="C6" s="23" t="inlineStr">
        <is>
          <t>End Date</t>
        </is>
      </c>
      <c r="D6" s="5" t="n"/>
      <c r="E6" s="5" t="n"/>
      <c r="F6" s="165" t="inlineStr">
        <is>
          <t>Unanswered</t>
        </is>
      </c>
      <c r="G6" s="154" t="n"/>
      <c r="H6" s="25" t="inlineStr">
        <is>
          <t>Unanswered/ blank test cases</t>
        </is>
      </c>
      <c r="I6" s="153" t="n"/>
      <c r="J6" s="153" t="n"/>
      <c r="K6" s="153" t="n"/>
      <c r="L6" s="154" t="n"/>
      <c r="M6" s="25" t="n"/>
      <c r="N6" s="25" t="n"/>
      <c r="O6" s="25" t="n"/>
      <c r="P6" s="25" t="n"/>
      <c r="Q6" s="25" t="n"/>
      <c r="R6" s="25" t="n"/>
      <c r="S6" s="25" t="n"/>
      <c r="T6" s="25" t="n"/>
      <c r="U6" s="25" t="n"/>
      <c r="V6" s="25" t="n"/>
      <c r="W6" s="25" t="n"/>
      <c r="X6" s="25" t="n"/>
      <c r="Y6" s="25" t="n"/>
      <c r="Z6" s="25" t="n"/>
      <c r="AA6" s="25" t="n"/>
      <c r="AB6" s="25" t="n"/>
    </row>
    <row r="7">
      <c r="A7" s="29" t="n"/>
      <c r="B7" s="27" t="n"/>
      <c r="C7" s="28" t="n"/>
      <c r="D7" s="5" t="n"/>
      <c r="E7" s="5" t="n"/>
      <c r="F7" s="29" t="n"/>
      <c r="G7" s="29" t="n"/>
      <c r="H7" s="29" t="n"/>
      <c r="I7" s="29" t="n"/>
      <c r="J7" s="29" t="n"/>
      <c r="K7" s="29" t="n"/>
      <c r="L7" s="29" t="n"/>
      <c r="M7" s="29" t="n"/>
      <c r="N7" s="29" t="n"/>
      <c r="O7" s="29" t="n"/>
      <c r="P7" s="29" t="n"/>
      <c r="Q7" s="29" t="n"/>
      <c r="R7" s="29" t="n"/>
      <c r="S7" s="29" t="n"/>
      <c r="T7" s="29" t="n"/>
      <c r="U7" s="29" t="n"/>
      <c r="V7" s="29" t="n"/>
      <c r="W7" s="29" t="n"/>
      <c r="X7" s="29" t="n"/>
      <c r="Y7" s="29" t="n"/>
      <c r="Z7" s="29" t="n"/>
      <c r="AA7" s="29" t="n"/>
      <c r="AB7" s="29" t="n"/>
    </row>
    <row r="8">
      <c r="A8" s="29" t="n"/>
      <c r="B8" s="27" t="n"/>
      <c r="C8" s="28" t="n"/>
      <c r="D8" s="5" t="n"/>
      <c r="E8" s="5" t="n"/>
      <c r="F8" s="29" t="n"/>
      <c r="G8" s="29" t="n"/>
      <c r="H8" s="29" t="n"/>
      <c r="I8" s="29" t="n"/>
      <c r="J8" s="29" t="n"/>
      <c r="K8" s="29" t="n"/>
      <c r="L8" s="29" t="n"/>
      <c r="M8" s="29" t="n"/>
      <c r="N8" s="29" t="n"/>
      <c r="O8" s="29" t="n"/>
      <c r="P8" s="29" t="n"/>
      <c r="Q8" s="29" t="n"/>
      <c r="R8" s="29" t="n"/>
      <c r="S8" s="29" t="n"/>
      <c r="T8" s="29" t="n"/>
      <c r="U8" s="29" t="n"/>
      <c r="V8" s="29" t="n"/>
      <c r="W8" s="29" t="n"/>
      <c r="X8" s="29" t="n"/>
      <c r="Y8" s="29" t="n"/>
      <c r="Z8" s="29" t="n"/>
      <c r="AA8" s="29" t="n"/>
      <c r="AB8" s="29" t="n"/>
    </row>
    <row r="9">
      <c r="A9" s="32" t="inlineStr">
        <is>
          <t>Tab</t>
        </is>
      </c>
      <c r="B9" s="32" t="inlineStr">
        <is>
          <t>Execution Status</t>
        </is>
      </c>
      <c r="C9" s="32" t="inlineStr">
        <is>
          <t>Duration (In Hours)</t>
        </is>
      </c>
      <c r="D9" s="32" t="inlineStr">
        <is>
          <t>Comments (if any)</t>
        </is>
      </c>
      <c r="E9" s="5" t="n"/>
      <c r="F9" s="32" t="inlineStr">
        <is>
          <t>Case Results
(if none, displays as 0)</t>
        </is>
      </c>
      <c r="G9" s="153" t="n"/>
      <c r="H9" s="153" t="n"/>
      <c r="I9" s="153" t="n"/>
      <c r="J9" s="154" t="n"/>
      <c r="K9" s="32" t="inlineStr">
        <is>
          <t>Total</t>
        </is>
      </c>
      <c r="L9" s="34" t="n"/>
      <c r="M9" s="32" t="inlineStr">
        <is>
          <t>Ticket Summaries (if none, displays as #N/A)</t>
        </is>
      </c>
      <c r="N9" s="153" t="n"/>
      <c r="O9" s="153" t="n"/>
      <c r="P9" s="153" t="n"/>
      <c r="Q9" s="154" t="n"/>
      <c r="R9" s="32" t="n"/>
      <c r="S9" s="32" t="n"/>
      <c r="T9" s="32" t="n"/>
      <c r="U9" s="32" t="n"/>
      <c r="V9" s="32" t="n"/>
      <c r="W9" s="32" t="n"/>
      <c r="X9" s="32" t="n"/>
      <c r="Y9" s="32" t="n"/>
      <c r="Z9" s="32" t="n"/>
      <c r="AA9" s="32" t="n"/>
      <c r="AB9" s="32" t="n"/>
    </row>
    <row r="10">
      <c r="A10" s="35">
        <f>sheetName(2)</f>
        <v/>
      </c>
      <c r="B10" s="37" t="n"/>
      <c r="C10" s="37" t="n"/>
      <c r="D10" s="34" t="n"/>
      <c r="E10" s="5" t="n"/>
      <c r="F10" s="38">
        <f>countif(INDIRECT("'"&amp;A10&amp;"'!"&amp;"F2:F1000"), "Pass")</f>
        <v/>
      </c>
      <c r="G10" s="39">
        <f>countif(INDIRECT("'"&amp;A10&amp;"'!"&amp;"F2:F1000"), "Fail")</f>
        <v/>
      </c>
      <c r="H10" s="40">
        <f>countif(INDIRECT("'"&amp;A10&amp;"'!"&amp;"F2:F1000"), "N/A")</f>
        <v/>
      </c>
      <c r="I10" s="41">
        <f>countif(INDIRECT("'"&amp;A10&amp;"'!"&amp;"F2:F1000"), "Blocking")</f>
        <v/>
      </c>
      <c r="J10" s="42">
        <f>countif(INDIRECT("'"&amp;A10&amp;"'!"&amp;"F2:F1000"), "")</f>
        <v/>
      </c>
      <c r="K10" s="43">
        <f>sum(F10:J10)</f>
        <v/>
      </c>
      <c r="L10" s="34" t="n"/>
      <c r="M10" s="43">
        <f>IFERROR(__xludf.DUMMYFUNCTION(" TRANSPOSE(UNIQUE( FILTER( INDIRECT(""'""&amp;A10&amp;""'!""&amp;""G3:G200"") , NOT(ISBLANK(INDIRECT(""'""&amp;A10&amp;""'!""&amp;""G3:G200""))) ) ))"),"#N/A")</f>
        <v/>
      </c>
      <c r="N10" s="43" t="n"/>
      <c r="O10" s="43" t="n"/>
      <c r="P10" s="43" t="n"/>
      <c r="Q10" s="43" t="n"/>
      <c r="R10" s="43" t="n"/>
      <c r="S10" s="43" t="n"/>
      <c r="T10" s="43" t="n"/>
      <c r="U10" s="43" t="n"/>
      <c r="V10" s="43" t="n"/>
      <c r="W10" s="43" t="n"/>
      <c r="X10" s="43" t="n"/>
      <c r="Y10" s="43" t="n"/>
      <c r="Z10" s="43" t="n"/>
      <c r="AA10" s="43" t="n"/>
      <c r="AB10" s="43" t="n"/>
    </row>
    <row r="11">
      <c r="A11" s="35">
        <f>sheetName(3)</f>
        <v/>
      </c>
      <c r="B11" s="37" t="n"/>
      <c r="C11" s="37" t="n"/>
      <c r="D11" s="34" t="n"/>
      <c r="E11" s="5" t="n"/>
      <c r="F11" s="38">
        <f>countif(INDIRECT("'"&amp;A11&amp;"'!"&amp;"F2:F1000"), "Pass")</f>
        <v/>
      </c>
      <c r="G11" s="39">
        <f>countif(INDIRECT("'"&amp;A11&amp;"'!"&amp;"F2:F1000"), "Fail")</f>
        <v/>
      </c>
      <c r="H11" s="40">
        <f>countif(INDIRECT("'"&amp;A11&amp;"'!"&amp;"F2:F1000"), "N/A")</f>
        <v/>
      </c>
      <c r="I11" s="41">
        <f>countif(INDIRECT("'"&amp;A11&amp;"'!"&amp;"F2:F1000"), "Blocking")</f>
        <v/>
      </c>
      <c r="J11" s="42">
        <f>countif(INDIRECT("'"&amp;A11&amp;"'!"&amp;"F2:F1000"), "")</f>
        <v/>
      </c>
      <c r="K11" s="43">
        <f>sum(F11:J11)</f>
        <v/>
      </c>
      <c r="L11" s="34" t="n"/>
      <c r="M11" s="43" t="n"/>
      <c r="N11" s="43" t="n"/>
      <c r="O11" s="43" t="n"/>
      <c r="P11" s="43" t="n"/>
      <c r="Q11" s="43" t="n"/>
      <c r="R11" s="43" t="n"/>
      <c r="S11" s="43" t="n"/>
      <c r="T11" s="43" t="n"/>
      <c r="U11" s="43" t="n"/>
      <c r="V11" s="43" t="n"/>
      <c r="W11" s="43" t="n"/>
      <c r="X11" s="43" t="n"/>
      <c r="Y11" s="43" t="n"/>
      <c r="Z11" s="43" t="n"/>
      <c r="AA11" s="43" t="n"/>
      <c r="AB11" s="43" t="n"/>
    </row>
    <row r="12">
      <c r="A12" s="35">
        <f>sheetName(4)</f>
        <v/>
      </c>
      <c r="B12" s="37" t="n"/>
      <c r="C12" s="37" t="n"/>
      <c r="D12" s="34" t="n"/>
      <c r="E12" s="5" t="n"/>
      <c r="F12" s="38">
        <f>countif(INDIRECT("'"&amp;A12&amp;"'!"&amp;"F2:F1000"), "Pass")</f>
        <v/>
      </c>
      <c r="G12" s="39">
        <f>countif(INDIRECT("'"&amp;A12&amp;"'!"&amp;"F2:F1000"), "Fail")</f>
        <v/>
      </c>
      <c r="H12" s="40">
        <f>countif(INDIRECT("'"&amp;A12&amp;"'!"&amp;"F2:F1000"), "N/A")</f>
        <v/>
      </c>
      <c r="I12" s="41">
        <f>countif(INDIRECT("'"&amp;A12&amp;"'!"&amp;"F2:F1000"), "Blocking")</f>
        <v/>
      </c>
      <c r="J12" s="42">
        <f>countif(INDIRECT("'"&amp;A12&amp;"'!"&amp;"F2:F1000"), "")</f>
        <v/>
      </c>
      <c r="K12" s="43">
        <f>sum(F12:J12)</f>
        <v/>
      </c>
      <c r="L12" s="34" t="n"/>
      <c r="M12" s="43" t="n"/>
      <c r="N12" s="43" t="n"/>
      <c r="O12" s="43" t="n"/>
      <c r="P12" s="43" t="n"/>
      <c r="Q12" s="43" t="n"/>
      <c r="R12" s="43" t="n"/>
      <c r="S12" s="43" t="n"/>
      <c r="T12" s="43" t="n"/>
      <c r="U12" s="43" t="n"/>
      <c r="V12" s="43" t="n"/>
      <c r="W12" s="43" t="n"/>
      <c r="X12" s="43" t="n"/>
      <c r="Y12" s="43" t="n"/>
      <c r="Z12" s="43" t="n"/>
      <c r="AA12" s="43" t="n"/>
      <c r="AB12" s="43" t="n"/>
    </row>
    <row r="13">
      <c r="A13" s="35">
        <f>sheetName(5)</f>
        <v/>
      </c>
      <c r="B13" s="37" t="n"/>
      <c r="C13" s="37" t="n"/>
      <c r="D13" s="34" t="n"/>
      <c r="E13" s="5" t="n"/>
      <c r="F13" s="38">
        <f>countif(INDIRECT("'"&amp;A13&amp;"'!"&amp;"F2:F1000"), "Pass")</f>
        <v/>
      </c>
      <c r="G13" s="39">
        <f>countif(INDIRECT("'"&amp;A13&amp;"'!"&amp;"F2:F1000"), "Fail")</f>
        <v/>
      </c>
      <c r="H13" s="40">
        <f>countif(INDIRECT("'"&amp;A13&amp;"'!"&amp;"F2:F1000"), "N/A")</f>
        <v/>
      </c>
      <c r="I13" s="41">
        <f>countif(INDIRECT("'"&amp;A13&amp;"'!"&amp;"F2:F1000"), "Blocking")</f>
        <v/>
      </c>
      <c r="J13" s="42">
        <f>countif(INDIRECT("'"&amp;A13&amp;"'!"&amp;"F2:F1000"), "")</f>
        <v/>
      </c>
      <c r="K13" s="43">
        <f>sum(F13:J13)</f>
        <v/>
      </c>
      <c r="L13" s="34" t="n"/>
      <c r="M13" s="43" t="n"/>
      <c r="N13" s="43" t="n"/>
      <c r="O13" s="43" t="n"/>
      <c r="P13" s="43" t="n"/>
      <c r="Q13" s="43" t="n"/>
      <c r="R13" s="43" t="n"/>
      <c r="S13" s="43" t="n"/>
      <c r="T13" s="43" t="n"/>
      <c r="U13" s="43" t="n"/>
      <c r="V13" s="43" t="n"/>
      <c r="W13" s="43" t="n"/>
      <c r="X13" s="43" t="n"/>
      <c r="Y13" s="43" t="n"/>
      <c r="Z13" s="43" t="n"/>
      <c r="AA13" s="43" t="n"/>
      <c r="AB13" s="43" t="n"/>
    </row>
    <row r="14">
      <c r="A14" s="35">
        <f>sheetName(3)</f>
        <v/>
      </c>
      <c r="B14" s="37" t="n"/>
      <c r="C14" s="37" t="n"/>
      <c r="D14" s="34" t="n"/>
      <c r="E14" s="5" t="n"/>
      <c r="F14" s="38">
        <f>countif(INDIRECT("'"&amp;A14&amp;"'!"&amp;"F2:F1000"), "Pass")</f>
        <v/>
      </c>
      <c r="G14" s="39">
        <f>countif(INDIRECT("'"&amp;A14&amp;"'!"&amp;"F2:F1000"), "Fail")</f>
        <v/>
      </c>
      <c r="H14" s="40">
        <f>countif(INDIRECT("'"&amp;A14&amp;"'!"&amp;"F2:F1000"), "N/A")</f>
        <v/>
      </c>
      <c r="I14" s="41">
        <f>countif(INDIRECT("'"&amp;A14&amp;"'!"&amp;"F2:F1000"), "Blocking")</f>
        <v/>
      </c>
      <c r="J14" s="42">
        <f>countif(INDIRECT("'"&amp;A14&amp;"'!"&amp;"F2:F1000"), "")</f>
        <v/>
      </c>
      <c r="K14" s="43">
        <f>sum(F14:J14)</f>
        <v/>
      </c>
      <c r="L14" s="34" t="n"/>
      <c r="M14" s="43" t="n"/>
      <c r="N14" s="43" t="n"/>
      <c r="O14" s="43" t="n"/>
      <c r="P14" s="43" t="n"/>
      <c r="Q14" s="43" t="n"/>
      <c r="R14" s="43" t="n"/>
      <c r="S14" s="43" t="n"/>
      <c r="T14" s="43" t="n"/>
      <c r="U14" s="43" t="n"/>
      <c r="V14" s="43" t="n"/>
      <c r="W14" s="43" t="n"/>
      <c r="X14" s="43" t="n"/>
      <c r="Y14" s="43" t="n"/>
      <c r="Z14" s="43" t="n"/>
      <c r="AA14" s="43" t="n"/>
      <c r="AB14" s="43" t="n"/>
    </row>
    <row r="15">
      <c r="A15" s="35">
        <f>sheetName(7)</f>
        <v/>
      </c>
      <c r="B15" s="37" t="n"/>
      <c r="C15" s="37" t="n"/>
      <c r="D15" s="34" t="n"/>
      <c r="E15" s="5" t="n"/>
      <c r="F15" s="38">
        <f>countif(INDIRECT("'"&amp;A15&amp;"'!"&amp;"F2:F1000"), "Pass")</f>
        <v/>
      </c>
      <c r="G15" s="39">
        <f>countif(INDIRECT("'"&amp;A15&amp;"'!"&amp;"F2:F1000"), "Fail")</f>
        <v/>
      </c>
      <c r="H15" s="40">
        <f>countif(INDIRECT("'"&amp;A15&amp;"'!"&amp;"F2:F1000"), "N/A")</f>
        <v/>
      </c>
      <c r="I15" s="41">
        <f>countif(INDIRECT("'"&amp;A15&amp;"'!"&amp;"F2:F1000"), "Blocking")</f>
        <v/>
      </c>
      <c r="J15" s="42">
        <f>countif(INDIRECT("'"&amp;A15&amp;"'!"&amp;"F2:F1000"), "")</f>
        <v/>
      </c>
      <c r="K15" s="43">
        <f>sum(F15:J15)</f>
        <v/>
      </c>
      <c r="L15" s="34" t="n"/>
      <c r="M15" s="43" t="n"/>
      <c r="N15" s="43" t="n"/>
      <c r="O15" s="43" t="n"/>
      <c r="P15" s="43" t="n"/>
      <c r="Q15" s="43" t="n"/>
      <c r="R15" s="43" t="n"/>
      <c r="S15" s="43" t="n"/>
      <c r="T15" s="43" t="n"/>
      <c r="U15" s="43" t="n"/>
      <c r="V15" s="43" t="n"/>
      <c r="W15" s="43" t="n"/>
      <c r="X15" s="43" t="n"/>
      <c r="Y15" s="43" t="n"/>
      <c r="Z15" s="43" t="n"/>
      <c r="AA15" s="43" t="n"/>
      <c r="AB15" s="43" t="n"/>
    </row>
    <row r="16">
      <c r="A16" s="35">
        <f>sheetName(8)</f>
        <v/>
      </c>
      <c r="B16" s="37" t="n"/>
      <c r="C16" s="37" t="n"/>
      <c r="D16" s="34" t="n"/>
      <c r="E16" s="5" t="n"/>
      <c r="F16" s="38">
        <f>countif(INDIRECT("'"&amp;A16&amp;"'!"&amp;"F2:F1000"), "Pass")</f>
        <v/>
      </c>
      <c r="G16" s="39">
        <f>countif(INDIRECT("'"&amp;A16&amp;"'!"&amp;"F2:F1000"), "Fail")</f>
        <v/>
      </c>
      <c r="H16" s="40">
        <f>countif(INDIRECT("'"&amp;A16&amp;"'!"&amp;"F2:F1000"), "N/A")</f>
        <v/>
      </c>
      <c r="I16" s="41">
        <f>countif(INDIRECT("'"&amp;A16&amp;"'!"&amp;"F2:F1000"), "Blocking")</f>
        <v/>
      </c>
      <c r="J16" s="42">
        <f>countif(INDIRECT("'"&amp;A16&amp;"'!"&amp;"F2:F1000"), "")</f>
        <v/>
      </c>
      <c r="K16" s="43">
        <f>sum(F16:J16)</f>
        <v/>
      </c>
      <c r="L16" s="34" t="n"/>
      <c r="M16" s="43" t="n"/>
      <c r="N16" s="43" t="n"/>
      <c r="O16" s="43" t="n"/>
      <c r="P16" s="43" t="n"/>
      <c r="Q16" s="43" t="n"/>
      <c r="R16" s="43" t="n"/>
      <c r="S16" s="43" t="n"/>
      <c r="T16" s="43" t="n"/>
      <c r="U16" s="43" t="n"/>
      <c r="V16" s="43" t="n"/>
      <c r="W16" s="43" t="n"/>
      <c r="X16" s="43" t="n"/>
      <c r="Y16" s="43" t="n"/>
      <c r="Z16" s="43" t="n"/>
      <c r="AA16" s="43" t="n"/>
      <c r="AB16" s="43" t="n"/>
    </row>
    <row r="17">
      <c r="A17" s="35">
        <f>sheetName(9)</f>
        <v/>
      </c>
      <c r="B17" s="37" t="n"/>
      <c r="C17" s="37" t="n"/>
      <c r="D17" s="34" t="n"/>
      <c r="E17" s="5" t="n"/>
      <c r="F17" s="38">
        <f>countif(INDIRECT("'"&amp;A17&amp;"'!"&amp;"F2:F1000"), "Pass")</f>
        <v/>
      </c>
      <c r="G17" s="39">
        <f>countif(INDIRECT("'"&amp;A17&amp;"'!"&amp;"F2:F1000"), "Fail")</f>
        <v/>
      </c>
      <c r="H17" s="40">
        <f>countif(INDIRECT("'"&amp;A17&amp;"'!"&amp;"F2:F1000"), "N/A")</f>
        <v/>
      </c>
      <c r="I17" s="41">
        <f>countif(INDIRECT("'"&amp;A17&amp;"'!"&amp;"F2:F1000"), "Blocking")</f>
        <v/>
      </c>
      <c r="J17" s="42">
        <f>countif(INDIRECT("'"&amp;A17&amp;"'!"&amp;"F2:F1000"), "")</f>
        <v/>
      </c>
      <c r="K17" s="43">
        <f>sum(F17:J17)</f>
        <v/>
      </c>
      <c r="L17" s="34" t="n"/>
      <c r="M17" s="43" t="n"/>
      <c r="N17" s="43" t="n"/>
      <c r="O17" s="43" t="n"/>
      <c r="P17" s="43" t="n"/>
      <c r="Q17" s="43" t="n"/>
      <c r="R17" s="43" t="n"/>
      <c r="S17" s="43" t="n"/>
      <c r="T17" s="43" t="n"/>
      <c r="U17" s="43" t="n"/>
      <c r="V17" s="43" t="n"/>
      <c r="W17" s="43" t="n"/>
      <c r="X17" s="43" t="n"/>
      <c r="Y17" s="43" t="n"/>
      <c r="Z17" s="43" t="n"/>
      <c r="AA17" s="43" t="n"/>
      <c r="AB17" s="43" t="n"/>
    </row>
    <row r="18">
      <c r="A18" s="35">
        <f>sheetName(10)</f>
        <v/>
      </c>
      <c r="B18" s="37" t="n"/>
      <c r="C18" s="37" t="n"/>
      <c r="D18" s="34" t="n"/>
      <c r="E18" s="5" t="n"/>
      <c r="F18" s="38">
        <f>countif(INDIRECT("'"&amp;A18&amp;"'!"&amp;"F2:F1000"), "Pass")</f>
        <v/>
      </c>
      <c r="G18" s="39">
        <f>countif(INDIRECT("'"&amp;A18&amp;"'!"&amp;"F2:F1000"), "Fail")</f>
        <v/>
      </c>
      <c r="H18" s="40">
        <f>countif(INDIRECT("'"&amp;A18&amp;"'!"&amp;"F2:F1000"), "N/A")</f>
        <v/>
      </c>
      <c r="I18" s="41">
        <f>countif(INDIRECT("'"&amp;A18&amp;"'!"&amp;"F2:F1000"), "Blocking")</f>
        <v/>
      </c>
      <c r="J18" s="42">
        <f>countif(INDIRECT("'"&amp;A18&amp;"'!"&amp;"F2:F1000"), "")</f>
        <v/>
      </c>
      <c r="K18" s="43">
        <f>sum(F18:J18)</f>
        <v/>
      </c>
      <c r="L18" s="34" t="n"/>
      <c r="M18" s="43" t="n"/>
      <c r="N18" s="43" t="n"/>
      <c r="O18" s="43" t="n"/>
      <c r="P18" s="43" t="n"/>
      <c r="Q18" s="43" t="n"/>
      <c r="R18" s="43" t="n"/>
      <c r="S18" s="43" t="n"/>
      <c r="T18" s="43" t="n"/>
      <c r="U18" s="43" t="n"/>
      <c r="V18" s="43" t="n"/>
      <c r="W18" s="43" t="n"/>
      <c r="X18" s="43" t="n"/>
      <c r="Y18" s="43" t="n"/>
      <c r="Z18" s="43" t="n"/>
      <c r="AA18" s="43" t="n"/>
      <c r="AB18" s="43" t="n"/>
    </row>
    <row r="19">
      <c r="A19" s="35">
        <f>sheetName(11)</f>
        <v/>
      </c>
      <c r="B19" s="37" t="n"/>
      <c r="C19" s="37" t="n"/>
      <c r="D19" s="34" t="n"/>
      <c r="E19" s="5" t="n"/>
      <c r="F19" s="38">
        <f>countif(INDIRECT("'"&amp;A19&amp;"'!"&amp;"F2:F1000"), "Pass")</f>
        <v/>
      </c>
      <c r="G19" s="39">
        <f>countif(INDIRECT("'"&amp;A19&amp;"'!"&amp;"F2:F1000"), "Fail")</f>
        <v/>
      </c>
      <c r="H19" s="40">
        <f>countif(INDIRECT("'"&amp;A19&amp;"'!"&amp;"F2:F1000"), "N/A")</f>
        <v/>
      </c>
      <c r="I19" s="41">
        <f>countif(INDIRECT("'"&amp;A19&amp;"'!"&amp;"F2:F1000"), "Blocking")</f>
        <v/>
      </c>
      <c r="J19" s="42">
        <f>countif(INDIRECT("'"&amp;A19&amp;"'!"&amp;"F2:F1000"), "")</f>
        <v/>
      </c>
      <c r="K19" s="43">
        <f>sum(F19:J19)</f>
        <v/>
      </c>
      <c r="L19" s="34" t="n"/>
      <c r="M19" s="43" t="n"/>
      <c r="N19" s="43" t="n"/>
      <c r="O19" s="43" t="n"/>
      <c r="P19" s="43" t="n"/>
      <c r="Q19" s="43" t="n"/>
      <c r="R19" s="43" t="n"/>
      <c r="S19" s="43" t="n"/>
      <c r="T19" s="43" t="n"/>
      <c r="U19" s="43" t="n"/>
      <c r="V19" s="43" t="n"/>
      <c r="W19" s="43" t="n"/>
      <c r="X19" s="43" t="n"/>
      <c r="Y19" s="43" t="n"/>
      <c r="Z19" s="43" t="n"/>
      <c r="AA19" s="43" t="n"/>
      <c r="AB19" s="43" t="n"/>
    </row>
    <row r="20">
      <c r="A20" s="35">
        <f>sheetName(12)</f>
        <v/>
      </c>
      <c r="B20" s="37" t="n"/>
      <c r="C20" s="37" t="n"/>
      <c r="D20" s="34" t="n"/>
      <c r="E20" s="5" t="n"/>
      <c r="F20" s="38">
        <f>countif(INDIRECT("'"&amp;A20&amp;"'!"&amp;"F2:F1000"), "Pass")</f>
        <v/>
      </c>
      <c r="G20" s="39">
        <f>countif(INDIRECT("'"&amp;A20&amp;"'!"&amp;"F2:F1000"), "Fail")</f>
        <v/>
      </c>
      <c r="H20" s="40">
        <f>countif(INDIRECT("'"&amp;A20&amp;"'!"&amp;"F2:F1000"), "N/A")</f>
        <v/>
      </c>
      <c r="I20" s="41">
        <f>countif(INDIRECT("'"&amp;A20&amp;"'!"&amp;"F2:F1000"), "Blocking")</f>
        <v/>
      </c>
      <c r="J20" s="42">
        <f>countif(INDIRECT("'"&amp;A20&amp;"'!"&amp;"F2:F1000"), "")</f>
        <v/>
      </c>
      <c r="K20" s="43">
        <f>sum(F20:J20)</f>
        <v/>
      </c>
      <c r="L20" s="34" t="n"/>
      <c r="M20" s="43" t="n"/>
      <c r="N20" s="43" t="n"/>
      <c r="O20" s="43" t="n"/>
      <c r="P20" s="43" t="n"/>
      <c r="Q20" s="43" t="n"/>
      <c r="R20" s="43" t="n"/>
      <c r="S20" s="43" t="n"/>
      <c r="T20" s="43" t="n"/>
      <c r="U20" s="43" t="n"/>
      <c r="V20" s="43" t="n"/>
      <c r="W20" s="43" t="n"/>
      <c r="X20" s="43" t="n"/>
      <c r="Y20" s="43" t="n"/>
      <c r="Z20" s="43" t="n"/>
      <c r="AA20" s="43" t="n"/>
      <c r="AB20" s="43" t="n"/>
    </row>
    <row r="21">
      <c r="A21" s="35">
        <f>sheetName(13)</f>
        <v/>
      </c>
      <c r="B21" s="45" t="n"/>
      <c r="C21" s="45" t="n"/>
      <c r="D21" s="46" t="n"/>
      <c r="E21" s="47" t="n"/>
      <c r="F21" s="48" t="n"/>
      <c r="G21" s="49" t="n"/>
      <c r="H21" s="50" t="n"/>
      <c r="I21" s="51" t="n"/>
      <c r="J21" s="52" t="n"/>
      <c r="K21" s="53" t="n"/>
      <c r="L21" s="46" t="n"/>
      <c r="M21" s="53" t="n"/>
      <c r="N21" s="53" t="n"/>
      <c r="O21" s="53" t="n"/>
      <c r="P21" s="53" t="n"/>
      <c r="Q21" s="53" t="n"/>
      <c r="R21" s="53" t="n"/>
      <c r="S21" s="53" t="n"/>
      <c r="T21" s="53" t="n"/>
      <c r="U21" s="53" t="n"/>
      <c r="V21" s="53" t="n"/>
      <c r="W21" s="53" t="n"/>
      <c r="X21" s="53" t="n"/>
      <c r="Y21" s="53" t="n"/>
      <c r="Z21" s="53" t="n"/>
      <c r="AA21" s="53" t="n"/>
      <c r="AB21" s="53" t="n"/>
    </row>
  </sheetData>
  <mergeCells count="15">
    <mergeCell ref="F3:G3"/>
    <mergeCell ref="F4:G4"/>
    <mergeCell ref="F2:G2"/>
    <mergeCell ref="F1:L1"/>
    <mergeCell ref="F9:J9"/>
    <mergeCell ref="H2:L2"/>
    <mergeCell ref="B1:D2"/>
    <mergeCell ref="H3:L3"/>
    <mergeCell ref="B3:D5"/>
    <mergeCell ref="H6:L6"/>
    <mergeCell ref="F5:G5"/>
    <mergeCell ref="F6:G6"/>
    <mergeCell ref="H5:L5"/>
    <mergeCell ref="M9:Q9"/>
    <mergeCell ref="A1:A5"/>
  </mergeCells>
  <conditionalFormatting sqref="F2:F5">
    <cfRule type="cellIs" priority="1" operator="equal" dxfId="0">
      <formula>"Blocking"</formula>
    </cfRule>
    <cfRule type="cellIs" priority="2" operator="equal" dxfId="1">
      <formula>"Fail"</formula>
    </cfRule>
    <cfRule type="cellIs" priority="3" operator="equal" dxfId="2">
      <formula>"N/A"</formula>
    </cfRule>
    <cfRule type="cellIs" priority="4" operator="equal" dxfId="3">
      <formula>"Blocking"</formula>
    </cfRule>
    <cfRule type="cellIs" priority="5" operator="equal" dxfId="4">
      <formula>"Pass"</formula>
    </cfRule>
    <cfRule type="cellIs" priority="6" operator="equal" dxfId="5">
      <formula>"Fail"</formula>
    </cfRule>
    <cfRule type="cellIs" priority="7" operator="equal" dxfId="6">
      <formula>"N/A"</formula>
    </cfRule>
    <cfRule type="cellIs" priority="8" operator="equal" dxfId="7">
      <formula>"Blocking"</formula>
    </cfRule>
  </conditionalFormatting>
  <dataValidations count="2">
    <dataValidation sqref="F2:F5" showDropDown="0" showInputMessage="0" showErrorMessage="1" allowBlank="1" type="list">
      <formula1>"Pass,Fail,N/A,Blocking"</formula1>
    </dataValidation>
    <dataValidation sqref="B10:B21" showDropDown="0" showInputMessage="0" showErrorMessage="1" allowBlank="1" type="list">
      <formula1>"In Progress,Done,Blocked,Not Started"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0" summaryRight="0"/>
    <pageSetUpPr/>
  </sheetPr>
  <dimension ref="A1:H11"/>
  <sheetViews>
    <sheetView workbookViewId="0">
      <pane ySplit="1" topLeftCell="A2" activePane="bottomLeft" state="frozen"/>
      <selection pane="bottomLeft" activeCell="B3" sqref="B3"/>
    </sheetView>
  </sheetViews>
  <sheetFormatPr baseColWidth="8" defaultColWidth="12.63" defaultRowHeight="15.75" customHeight="1"/>
  <cols>
    <col width="20.5" customWidth="1" style="148" min="1" max="1"/>
    <col width="43.88" customWidth="1" style="148" min="2" max="3"/>
    <col width="41.38" customWidth="1" style="148" min="4" max="4"/>
    <col width="14.88" customWidth="1" style="148" min="5" max="5"/>
    <col width="17.5" customWidth="1" style="148" min="6" max="8"/>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c r="H1" s="55" t="n"/>
    </row>
    <row r="2" ht="12.75" customHeight="1" s="148">
      <c r="A2" s="76" t="inlineStr">
        <is>
          <t>Login Page</t>
        </is>
      </c>
      <c r="B2" s="153" t="n"/>
      <c r="C2" s="153" t="n"/>
      <c r="D2" s="153" t="n"/>
      <c r="E2" s="153" t="n"/>
      <c r="F2" s="153" t="n"/>
      <c r="G2" s="154" t="n"/>
      <c r="H2" s="76" t="n"/>
    </row>
    <row r="3" ht="12.75" customHeight="1" s="148">
      <c r="A3" s="58" t="inlineStr">
        <is>
          <t xml:space="preserve">Login 1 </t>
        </is>
      </c>
      <c r="B3" s="59" t="inlineStr">
        <is>
          <t xml:space="preserve">Verify user sees the username and password fields on the login page </t>
        </is>
      </c>
      <c r="C3" s="60" t="inlineStr">
        <is>
          <t>1. Click on the link: https://connect-staging.dimagi.com/accounts/login</t>
        </is>
      </c>
      <c r="D3" s="68" t="inlineStr">
        <is>
          <t>- User should see the two fields for password and username on the login page 
- User should be able to input any value in the fields 
- User should see a Login button 
- User should also see Reset password button</t>
        </is>
      </c>
      <c r="E3" s="62" t="n"/>
      <c r="F3" s="80" t="n"/>
      <c r="G3" s="80" t="n"/>
      <c r="H3" s="80" t="n"/>
    </row>
    <row r="4" ht="12.75" customHeight="1" s="148">
      <c r="A4" s="58" t="inlineStr">
        <is>
          <t>Login 2</t>
        </is>
      </c>
      <c r="B4" s="59" t="inlineStr">
        <is>
          <t xml:space="preserve">Verify the fields accept the correct inputs only </t>
        </is>
      </c>
      <c r="C4" s="68" t="inlineStr">
        <is>
          <t>1. Navigate to CCC login page
2. enter the username and password</t>
        </is>
      </c>
      <c r="D4" s="68" t="inlineStr">
        <is>
          <t xml:space="preserve">- The username field should show the appropriate error messages if user enters email in wrong format
- We should display placeholder text in the fields for users  </t>
        </is>
      </c>
      <c r="E4" s="62" t="n"/>
      <c r="F4" s="80" t="n"/>
      <c r="G4" s="80" t="n"/>
      <c r="H4" s="80" t="n"/>
    </row>
    <row r="5" ht="12.75" customHeight="1" s="148">
      <c r="A5" s="58" t="inlineStr">
        <is>
          <t>Login 3</t>
        </is>
      </c>
      <c r="B5" s="59" t="inlineStr">
        <is>
          <t xml:space="preserve">Verify user can login by entering the correct credentials </t>
        </is>
      </c>
      <c r="C5" s="68" t="inlineStr">
        <is>
          <t>cont to above TC
- Click on login button</t>
        </is>
      </c>
      <c r="D5" s="68" t="inlineStr">
        <is>
          <t xml:space="preserve">- User should be able to login with the right creds
- User should not be able to login with wrong credentials </t>
        </is>
      </c>
      <c r="E5" s="62" t="n"/>
      <c r="F5" s="80" t="n"/>
      <c r="G5" s="80" t="n"/>
      <c r="H5" s="80" t="n"/>
    </row>
    <row r="6" ht="12.75" customHeight="1" s="148">
      <c r="A6" s="58" t="inlineStr">
        <is>
          <t>Login 4</t>
        </is>
      </c>
      <c r="B6" s="59" t="inlineStr">
        <is>
          <t>User should be able to login using CommCare HQ login option i.e. SSO</t>
        </is>
      </c>
      <c r="C6" s="68" t="inlineStr">
        <is>
          <t>1.Navigate to CCC web login page
2.Click on login with commcare 
3. Authorize the commcare
4. You will be login to CCC web</t>
        </is>
      </c>
      <c r="D6" s="68" t="n"/>
      <c r="E6" s="62" t="n"/>
      <c r="F6" s="80" t="n"/>
      <c r="G6" s="80" t="n"/>
      <c r="H6" s="80" t="n"/>
    </row>
    <row r="7" ht="12.75" customHeight="1" s="148">
      <c r="A7" s="58" t="inlineStr">
        <is>
          <t>Login 5</t>
        </is>
      </c>
      <c r="B7" s="59" t="inlineStr">
        <is>
          <t xml:space="preserve">Verify if the user see a sign-up option </t>
        </is>
      </c>
      <c r="C7" s="68" t="inlineStr">
        <is>
          <t>1. On CCC web login page, click on the sign up link at the bottom
2. Create a CCC account</t>
        </is>
      </c>
      <c r="D7" s="68" t="inlineStr">
        <is>
          <t xml:space="preserve">- User should be taken to the sign up page on clicking the sign up button </t>
        </is>
      </c>
      <c r="E7" s="62" t="n"/>
      <c r="F7" s="80" t="n"/>
      <c r="G7" s="80" t="n"/>
      <c r="H7" s="80" t="n"/>
    </row>
    <row r="8" ht="12.75" customHeight="1" s="148">
      <c r="A8" s="58" t="inlineStr">
        <is>
          <t>Login 6</t>
        </is>
      </c>
      <c r="B8" s="59" t="inlineStr">
        <is>
          <t xml:space="preserve">Ensure user is unable to login using the wrong credentials on the login page </t>
        </is>
      </c>
      <c r="C8" s="68" t="inlineStr">
        <is>
          <t>1. Go to CCC login page
2. Enter wrong username and password
3. Click login button</t>
        </is>
      </c>
      <c r="D8" s="68" t="inlineStr">
        <is>
          <t xml:space="preserve">- User should see an appropriate error message if they try to login using wrong creds </t>
        </is>
      </c>
      <c r="E8" s="62" t="n"/>
      <c r="F8" s="80" t="n"/>
      <c r="G8" s="80" t="n"/>
      <c r="H8" s="80" t="n"/>
    </row>
    <row r="9" ht="12.75" customHeight="1" s="148">
      <c r="A9" s="58" t="inlineStr">
        <is>
          <t>Login 7</t>
        </is>
      </c>
      <c r="B9" s="59" t="inlineStr">
        <is>
          <t>User should be prompted to login on HQ if they use Login via CommCare HQ option</t>
        </is>
      </c>
      <c r="C9" s="68" t="inlineStr">
        <is>
          <t>Cont to above TC
- On account creation page, Click on Signup with commcare HQ</t>
        </is>
      </c>
      <c r="D9" s="68" t="inlineStr">
        <is>
          <t>- User should be taken to HQ login page if they try to login using CommCare HQ and they are not logged in on HQ</t>
        </is>
      </c>
      <c r="E9" s="62" t="n"/>
      <c r="F9" s="80" t="n"/>
      <c r="G9" s="80" t="n"/>
      <c r="H9" s="80" t="n"/>
    </row>
    <row r="10" ht="12.75" customHeight="1" s="148">
      <c r="A10" s="58" t="inlineStr">
        <is>
          <t>Login 8</t>
        </is>
      </c>
      <c r="B10" s="59" t="inlineStr">
        <is>
          <t xml:space="preserve">User should be able to reset password for their account </t>
        </is>
      </c>
      <c r="C10" s="68" t="inlineStr">
        <is>
          <t xml:space="preserve">1. Navigate to CCC web UI login page
2. Click on reset password link
</t>
        </is>
      </c>
      <c r="D10" s="68" t="inlineStr">
        <is>
          <t xml:space="preserve">On clicking the reset button, user should be able to initiate the reset password flow to reset the account password </t>
        </is>
      </c>
      <c r="E10" s="62" t="n"/>
      <c r="F10" s="80" t="n"/>
      <c r="G10" s="80" t="n"/>
      <c r="H10" s="80" t="n"/>
    </row>
    <row r="11" ht="12.75" customHeight="1" s="148">
      <c r="A11" s="58" t="inlineStr">
        <is>
          <t>Login 9</t>
        </is>
      </c>
      <c r="B11" s="59" t="inlineStr">
        <is>
          <t xml:space="preserve">User should be able to login with the new password </t>
        </is>
      </c>
      <c r="C11" s="68" t="inlineStr">
        <is>
          <t>1. Login with new password into the CCC web UI</t>
        </is>
      </c>
      <c r="D11" s="68" t="inlineStr">
        <is>
          <t>User should be able to login with the new password after resetting the pw</t>
        </is>
      </c>
      <c r="E11" s="62" t="n"/>
      <c r="F11" s="80" t="n"/>
      <c r="G11" s="80" t="n"/>
      <c r="H11" s="80" t="n"/>
    </row>
  </sheetData>
  <mergeCells count="1">
    <mergeCell ref="A2:G2"/>
  </mergeCells>
  <conditionalFormatting sqref="E3:E11">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3:E11" showDropDown="0" showInputMessage="0" showErrorMessage="1" allowBlank="1" type="list">
      <formula1>"Pass,Fail,N/A,Blocking"</formula1>
    </dataValidation>
  </dataValidations>
  <hyperlinks>
    <hyperlink xmlns:r="http://schemas.openxmlformats.org/officeDocument/2006/relationships" ref="C3"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17"/>
  <sheetViews>
    <sheetView workbookViewId="0">
      <selection activeCell="A1" sqref="A1"/>
    </sheetView>
  </sheetViews>
  <sheetFormatPr baseColWidth="8" defaultColWidth="12.63" defaultRowHeight="15.75" customHeight="1"/>
  <cols>
    <col width="43.38" customWidth="1" style="148" min="2" max="2"/>
    <col width="47.88" customWidth="1" style="148" min="3" max="3"/>
    <col width="48.25" customWidth="1" style="148" min="4" max="4"/>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c r="A2" s="67" t="inlineStr">
        <is>
          <t>PLP_01</t>
        </is>
      </c>
      <c r="B2" s="65" t="inlineStr">
        <is>
          <t>Verify user is able to create new program</t>
        </is>
      </c>
      <c r="C2" s="65" t="inlineStr">
        <is>
          <t>1. Login to CCC web UI as PM user
2. Click on +Add Programs button
3. Fill the following details:
 - Name
 - Description
 - Select delivery type
 - Budget
 - Currency
 - Country
 - Start date
 - End date
4. Click submit</t>
        </is>
      </c>
      <c r="D2" s="65" t="inlineStr">
        <is>
          <t>- User is able to create new program successfully 
- Created program is shown on the programs list page</t>
        </is>
      </c>
      <c r="E2" s="66" t="inlineStr">
        <is>
          <t>Pass</t>
        </is>
      </c>
      <c r="F2" s="67" t="n"/>
      <c r="G2" s="67" t="inlineStr">
        <is>
          <t>Automated (setup flow: create_program)</t>
        </is>
      </c>
    </row>
    <row r="3">
      <c r="A3" s="67" t="inlineStr">
        <is>
          <t>PLP_02</t>
        </is>
      </c>
      <c r="B3" s="68" t="inlineStr">
        <is>
          <t xml:space="preserve">Confirm that the user is able to invite NMs to the program that they created </t>
        </is>
      </c>
      <c r="C3" s="68" t="inlineStr">
        <is>
          <t>cont from  above TC
- Invite NM user to a program</t>
        </is>
      </c>
      <c r="D3" s="68" t="inlineStr">
        <is>
          <t xml:space="preserve">User should be able to invite the NMs to the programs </t>
        </is>
      </c>
      <c r="E3" s="66" t="inlineStr">
        <is>
          <t>Pass</t>
        </is>
      </c>
      <c r="F3" s="67" t="n"/>
      <c r="G3" s="67" t="inlineStr">
        <is>
          <t>Automated (setup flow: invite_network_manager)</t>
        </is>
      </c>
    </row>
    <row r="4">
      <c r="A4" s="67" t="inlineStr">
        <is>
          <t>PLP_03</t>
        </is>
      </c>
      <c r="B4" s="68" t="inlineStr">
        <is>
          <t>Confirm PM sees all the programs on the dashboard screen</t>
        </is>
      </c>
      <c r="C4" s="68" t="inlineStr">
        <is>
          <t>1. Log in to CCC web UI
2. Click on the hamburger option present on left side
3. Select the programs option</t>
        </is>
      </c>
      <c r="D4" s="68" t="inlineStr">
        <is>
          <t xml:space="preserve">- PM user should be able to view all the programs as separate cards
- The programs should be sorted by the most recent program creation date 
- Each program card should display the relevant summary to the PM:
i) Program description
ii) Start and End date
iii) Budget allocated
</t>
        </is>
      </c>
      <c r="E4" s="66" t="inlineStr">
        <is>
          <t>Pass</t>
        </is>
      </c>
      <c r="F4" s="67" t="n"/>
      <c r="G4" s="67" t="inlineStr">
        <is>
          <t>Automated: test_plp_list_page (card summary fields)</t>
        </is>
      </c>
    </row>
    <row r="5">
      <c r="A5" s="67" t="inlineStr">
        <is>
          <t>PLP_04</t>
        </is>
      </c>
      <c r="B5" s="68" t="inlineStr">
        <is>
          <t xml:space="preserve">Confirm user is able to select any of the programs from the list </t>
        </is>
      </c>
      <c r="C5" s="68" t="n"/>
      <c r="D5" s="68" t="inlineStr">
        <is>
          <t xml:space="preserve">- User should be able to select any program from the list 
- User should be able to perform any of the following action after selecting the program 
i) View the ‘Program Acceptance Funnel’
ii) View the Status of the Program by clicking the ‘View Status’ button and expanding out more information
iii) Invite new Network Managers using the Invite button
</t>
        </is>
      </c>
      <c r="E5" s="66" t="inlineStr">
        <is>
          <t>Pass</t>
        </is>
      </c>
      <c r="F5" s="67" t="n"/>
      <c r="G5" s="67" t="inlineStr">
        <is>
          <t>Automated: test_plp_list_page (View Status expand)</t>
        </is>
      </c>
    </row>
    <row r="6">
      <c r="A6" s="67" t="inlineStr">
        <is>
          <t>PLP_05</t>
        </is>
      </c>
      <c r="B6" s="68" t="inlineStr">
        <is>
          <t xml:space="preserve">Verify that the ‘Program Acceptance Funnel’ within a program card has all the necessary information in it </t>
        </is>
      </c>
      <c r="C6" s="68" t="inlineStr">
        <is>
          <t>1. Login to CCC web UI
2. Navigate to programs list page
3. Click on view status button on the program details</t>
        </is>
      </c>
      <c r="D6" s="68" t="inlineStr">
        <is>
          <t>The ‘Program Acceptance Funnel’ should have the following information
- Number of Network Managers Invited
- Number Applied
- Number Accepted</t>
        </is>
      </c>
      <c r="E6" s="66" t="inlineStr">
        <is>
          <t>Pass</t>
        </is>
      </c>
      <c r="F6" s="67" t="n"/>
      <c r="G6" s="67" t="inlineStr">
        <is>
          <t>Automated: test_plp_list_page (acceptance_funnel)</t>
        </is>
      </c>
    </row>
    <row r="7">
      <c r="A7" s="67" t="inlineStr">
        <is>
          <t>PLP_06</t>
        </is>
      </c>
      <c r="B7" s="68" t="inlineStr">
        <is>
          <t xml:space="preserve">Confirm user is able to see the status of all the NMs that they invited </t>
        </is>
      </c>
      <c r="C7" s="68" t="inlineStr">
        <is>
          <t>1. Login to CCC web UI
2. Navigate to programs list page
3. Click on view status button on the program details</t>
        </is>
      </c>
      <c r="D7" s="68" t="inlineStr">
        <is>
          <t xml:space="preserve">- User should be able to see the status of the NMs invited by clicking the 'View Status' button and expand the list of Network Managers
- The list should display all the NM Orgs under a Program should be listed in alphabetical order for consistency of view
- For each NM, user should be able to see the status as Invited, Applied or Accepted
</t>
        </is>
      </c>
      <c r="E7" s="66" t="inlineStr">
        <is>
          <t>Pass</t>
        </is>
      </c>
      <c r="F7" s="67" t="n"/>
      <c r="G7" s="67" t="inlineStr">
        <is>
          <t>Automated: test_plp_list_page (nm_application_statuses)</t>
        </is>
      </c>
    </row>
    <row r="8">
      <c r="A8" s="67" t="inlineStr">
        <is>
          <t>PLP_07</t>
        </is>
      </c>
      <c r="B8" s="68" t="inlineStr">
        <is>
          <t xml:space="preserve">Verify that user is only able to create/view opportunities when at least one NM has accepted the invite </t>
        </is>
      </c>
      <c r="C8" s="68" t="inlineStr">
        <is>
          <t>1. Login to CCC web UI
2. Navigate to programs list page
3. Click on view status button on the program details
4. Click on create opportunity for creating new opportunity
5. Click on view opportunity for viewing the opportunities</t>
        </is>
      </c>
      <c r="D8" s="68" t="inlineStr">
        <is>
          <t xml:space="preserve">Only when an NM is in accepted status, user should be able to take either of the following actions as a next step
- Create Opportunity
- View Opportunity </t>
        </is>
      </c>
      <c r="E8" s="66" t="inlineStr">
        <is>
          <t>Pass</t>
        </is>
      </c>
      <c r="F8" s="67" t="n"/>
      <c r="G8" s="67" t="inlineStr">
        <is>
          <t>Automated (setup flow: Create/View Opportunity when accepted)</t>
        </is>
      </c>
    </row>
    <row r="9">
      <c r="A9" s="67" t="inlineStr">
        <is>
          <t>PLP_08</t>
        </is>
      </c>
      <c r="B9" s="68" t="inlineStr">
        <is>
          <t xml:space="preserve">Verify on landing the Program page, user is able work on the program </t>
        </is>
      </c>
      <c r="C9" s="68" t="n"/>
      <c r="D9" s="68" t="inlineStr">
        <is>
          <t>When the user land on the Program page,they should be able to perform any of the two actions:
- Reviewing visits approved by NMs
- Paying invoices</t>
        </is>
      </c>
      <c r="E9" s="66" t="n"/>
      <c r="F9" s="67" t="n"/>
      <c r="G9" s="67" t="inlineStr">
        <is>
          <t>Not on list page; = Recent Activities destinations (link targets asserted)</t>
        </is>
      </c>
    </row>
    <row r="10">
      <c r="A10" s="67" t="inlineStr">
        <is>
          <t>PLP_09</t>
        </is>
      </c>
      <c r="B10" s="68" t="inlineStr">
        <is>
          <t>Verify on landing the Opportunity page, user is able check the performance of the program</t>
        </is>
      </c>
      <c r="C10" s="68" t="n"/>
      <c r="D10" s="68" t="inlineStr">
        <is>
          <t xml:space="preserve">User should be able to compare the performance of different NMs through the following fields
- Active Workers
- Deliveries
- Approved Deliveries
- Earnings
User should be able to go through the opportunity dashboard as to check how the workers are performing </t>
        </is>
      </c>
      <c r="E10" s="66" t="n"/>
      <c r="F10" s="67" t="n"/>
      <c r="G10" s="67" t="inlineStr">
        <is>
          <t>Covered via Opportunity List PM columns (test_olp_list_page)</t>
        </is>
      </c>
    </row>
    <row r="11">
      <c r="A11" s="67" t="inlineStr">
        <is>
          <t>PLP_10</t>
        </is>
      </c>
      <c r="B11" s="68" t="inlineStr">
        <is>
          <t>Confirm user see following information for any program in the list 
- Program Name
- Program Manager Org Name
-Delivery Type
- Program Start Date
- Program End Date
- Status: Invited or Applied or Accepted</t>
        </is>
      </c>
      <c r="C11" s="68" t="n"/>
      <c r="D11" s="68" t="inlineStr">
        <is>
          <t>- User should see all the information for the program in the list 
- The accepted status appears after Opportunity creation, so confirm that as well</t>
        </is>
      </c>
      <c r="E11" s="66" t="inlineStr">
        <is>
          <t>Pass</t>
        </is>
      </c>
      <c r="F11" s="67" t="n"/>
      <c r="G11" s="67" t="inlineStr">
        <is>
          <t>Automated: test_plp_list_page (card summary fields)</t>
        </is>
      </c>
    </row>
    <row r="12">
      <c r="A12" s="67" t="inlineStr">
        <is>
          <t>PLP_11</t>
        </is>
      </c>
      <c r="B12" s="68" t="inlineStr">
        <is>
          <t xml:space="preserve">User should be able to click on "View Opportunities" button in a program to view opportunities </t>
        </is>
      </c>
      <c r="C12" s="68" t="inlineStr">
        <is>
          <t>1.Login to CCC web UI
2. Navigate to program list page
3. Click on view status dropdown on program details section
4. Click on view opportunities button</t>
        </is>
      </c>
      <c r="D12" s="68" t="inlineStr">
        <is>
          <t xml:space="preserve">- If there are any opportunities in a program, user should be able to see the list of all opportunities by clicking the button </t>
        </is>
      </c>
      <c r="E12" s="66" t="inlineStr">
        <is>
          <t>Pass</t>
        </is>
      </c>
      <c r="F12" s="67" t="n"/>
      <c r="G12" s="67" t="inlineStr">
        <is>
          <t>Automated: test_plp_list_page (click_view_opportunities)</t>
        </is>
      </c>
    </row>
    <row r="13">
      <c r="A13" s="67" t="inlineStr">
        <is>
          <t>PLP_12</t>
        </is>
      </c>
      <c r="B13" s="68" t="inlineStr">
        <is>
          <t xml:space="preserve">On the right panel, user should see the following three options 
- Pending Review 
- Pending Payment 
- Inactive Workers </t>
        </is>
      </c>
      <c r="C13" s="68" t="n"/>
      <c r="D13" s="68" t="inlineStr">
        <is>
          <t>- On clicking the category, the Program Name/Opportunities are listed based on descending order of the relevant metric
- The number of items in the list should be restricted to 3 per category</t>
        </is>
      </c>
      <c r="E13" s="66" t="inlineStr">
        <is>
          <t>Pass</t>
        </is>
      </c>
      <c r="F13" s="67" t="n"/>
      <c r="G13" s="67" t="inlineStr">
        <is>
          <t>Automated: test_plp_list_page (Recent Activities categories + rows)</t>
        </is>
      </c>
    </row>
    <row r="14">
      <c r="A14" s="67" t="inlineStr">
        <is>
          <t>PLP_14</t>
        </is>
      </c>
      <c r="B14" s="68" t="inlineStr">
        <is>
          <t xml:space="preserve">Verify when user clicks on 'Pending Payments', they see a list of opportunities with pending payments </t>
        </is>
      </c>
      <c r="C14" s="68" t="inlineStr">
        <is>
          <t>1.Login to CCC web UI
2. Navigate to program list page
3. Click on the opportunity under pending payments section</t>
        </is>
      </c>
      <c r="D14" s="68" t="inlineStr">
        <is>
          <t>- When user clicks on the pending payments option on the right pane, user should see a list of opportunities with pending payments 
- When user clicks on an Opportunity under ‘Pending Payments’, they should jump to the Worker List page with the payment tab open</t>
        </is>
      </c>
      <c r="E14" s="66" t="inlineStr">
        <is>
          <t>Pass</t>
        </is>
      </c>
      <c r="F14" s="67" t="n"/>
      <c r="G14" s="67" t="inlineStr">
        <is>
          <t>Automated (link target asserted): Recent Activities row hrefs</t>
        </is>
      </c>
    </row>
    <row r="15">
      <c r="A15" s="67" t="inlineStr">
        <is>
          <t>PLP_15</t>
        </is>
      </c>
      <c r="B15" s="68" t="inlineStr">
        <is>
          <t xml:space="preserve">Verify user can see all the workers who have not delivered any visits or not completed any learning in last 3 days when they click on Inactive Workers option </t>
        </is>
      </c>
      <c r="C15" s="68" t="inlineStr">
        <is>
          <t>1.Login to CCC web UI
2. Navigate to program list page
3. Click on the opportunity under inactive workers section</t>
        </is>
      </c>
      <c r="D15" s="68" t="inlineStr">
        <is>
          <t>- When user clicks on 'Inactive Workers' option, user should see a list of opportunities with inactive workers
- When user clicks on an Opportunity under ‘Inactive Workers’, they should jump to the Worker List page with the filtered list of workers who have not delivered any visits or not completed a learning module in the last 3 days.</t>
        </is>
      </c>
      <c r="E15" s="66" t="inlineStr">
        <is>
          <t>Pass</t>
        </is>
      </c>
      <c r="F15" s="67" t="n"/>
      <c r="G15" s="67" t="inlineStr">
        <is>
          <t>Automated (link target asserted): Recent Activities row hrefs</t>
        </is>
      </c>
    </row>
    <row r="16">
      <c r="A16" s="67" t="inlineStr">
        <is>
          <t>PLP_16</t>
        </is>
      </c>
      <c r="B16" s="68" t="inlineStr">
        <is>
          <t xml:space="preserve">Confirm when user clicks on Apply button for any program, the PM can see the user have applied </t>
        </is>
      </c>
      <c r="C16" s="68" t="inlineStr">
        <is>
          <t>1. Login to CCC web UI as NM user
2. Navigate to programs list page
3. Click on apply for a program
4. Switch to PM user account
5. Verify on programs list page</t>
        </is>
      </c>
      <c r="D16" s="68" t="inlineStr">
        <is>
          <t xml:space="preserve">- Program manager should be able to see if someone applies for a program </t>
        </is>
      </c>
      <c r="E16" s="66" t="inlineStr">
        <is>
          <t>Pass</t>
        </is>
      </c>
      <c r="F16" s="67" t="n"/>
      <c r="G16" s="67" t="inlineStr">
        <is>
          <t>Automated (setup flow: apply_to_program)</t>
        </is>
      </c>
    </row>
    <row r="17">
      <c r="A17" s="67" t="inlineStr">
        <is>
          <t>PLP_17</t>
        </is>
      </c>
      <c r="B17" s="68" t="inlineStr">
        <is>
          <t>Verify that the user can view opportunities associated with a specific NM user by clicking the 'View Opportunities' button on the Program List page. [PM user]</t>
        </is>
      </c>
      <c r="C17" s="68" t="inlineStr">
        <is>
          <t>1. Login to CCC web UI
2. Navigate to program list page
3. Click on view status dropdown for any program
4. Click on view opportunities button for any NM user under a program</t>
        </is>
      </c>
      <c r="D17" s="68" t="inlineStr">
        <is>
          <t>- User is able to see the opportunities related to specific NM user</t>
        </is>
      </c>
      <c r="E17" s="66" t="inlineStr">
        <is>
          <t>Pass</t>
        </is>
      </c>
      <c r="F17" s="67" t="n"/>
      <c r="G17" s="67" t="inlineStr">
        <is>
          <t>Automated: test_plp_list_page (View Opportunities)</t>
        </is>
      </c>
    </row>
  </sheetData>
  <conditionalFormatting sqref="E2:E17">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17" showDropDown="0" showInputMessage="0" showErrorMessage="1" allowBlank="1" type="list">
      <formula1>"Pass,Fail,N/A,Blocking"</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G29"/>
  <sheetViews>
    <sheetView workbookViewId="0">
      <selection activeCell="A1" sqref="A1"/>
    </sheetView>
  </sheetViews>
  <sheetFormatPr baseColWidth="8" defaultColWidth="12.63" defaultRowHeight="15.75" customHeight="1"/>
  <cols>
    <col width="22.63" customWidth="1" style="148" min="1" max="1"/>
    <col width="50.75" customWidth="1" style="148" min="2" max="2"/>
    <col width="42" customWidth="1" style="148" min="3" max="3"/>
    <col width="53.63" customWidth="1" style="148" min="4" max="4"/>
    <col width="17.5" customWidth="1" style="148" min="5" max="5"/>
    <col width="19.13" customWidth="1" style="148" min="6" max="6"/>
    <col width="20" customWidth="1" style="148" min="7" max="7"/>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c r="A2" s="80" t="inlineStr">
        <is>
          <t>Opp_create_01</t>
        </is>
      </c>
      <c r="B2" s="68" t="inlineStr">
        <is>
          <t>Confirm user is not able to create an opportunity as NM user</t>
        </is>
      </c>
      <c r="C2" s="68" t="n"/>
      <c r="D2" s="68" t="inlineStr">
        <is>
          <t>-User is not able to create an opportunity as NM user</t>
        </is>
      </c>
      <c r="E2" s="69" t="n"/>
      <c r="F2" s="80" t="n"/>
      <c r="G2" s="80" t="n"/>
    </row>
    <row r="3">
      <c r="A3" s="80" t="inlineStr">
        <is>
          <t>Opp_create_02</t>
        </is>
      </c>
      <c r="B3" s="68" t="inlineStr">
        <is>
          <t>Verify user is not able to create non managed opp as PM user</t>
        </is>
      </c>
      <c r="C3" s="68" t="n"/>
      <c r="D3" s="68" t="inlineStr">
        <is>
          <t>- User is not able to create a non managed Opportunity as PM user</t>
        </is>
      </c>
      <c r="E3" s="69" t="n"/>
      <c r="F3" s="80" t="n"/>
      <c r="G3" s="80" t="n"/>
    </row>
    <row r="4">
      <c r="A4" s="80" t="inlineStr">
        <is>
          <t>Opp_create_03</t>
        </is>
      </c>
      <c r="B4" s="68" t="inlineStr">
        <is>
          <t>Verify all the non managed opp are linked to legacy test program</t>
        </is>
      </c>
      <c r="C4" s="68" t="n"/>
      <c r="D4" s="68" t="inlineStr">
        <is>
          <t xml:space="preserve">- All non managed opp are migrated to managed opps and linked legacy test program </t>
        </is>
      </c>
      <c r="E4" s="69" t="n"/>
      <c r="F4" s="80" t="n"/>
      <c r="G4" s="80" t="n"/>
    </row>
    <row r="5">
      <c r="A5" s="80" t="inlineStr">
        <is>
          <t>Opp_create_04</t>
        </is>
      </c>
      <c r="B5" s="68" t="inlineStr">
        <is>
          <t>Verify user is able to create on opportunity as PM user</t>
        </is>
      </c>
      <c r="C5" s="68" t="inlineStr">
        <is>
          <t>1. Login to CCC web UI
2. Navigate to program list page
3. Under a program click on view status &gt;&gt; Under NM user details click on create opportunity button
4. Fill all the required details  
    - Select the NM user from drop down
    - Enter name, short description and Description
    - Select the currency from dropdown
    - Select the required server from the "HQ server" dropdown
    - Select the api key from "API key" dropdown
    - Under apps section, select the domain and learn/deliver apps from their respective dropdowns
    - Enter learn app description and learn app passing score
5. Click submit</t>
        </is>
      </c>
      <c r="D5" s="68" t="inlineStr">
        <is>
          <t xml:space="preserve">- User should land on the create opportunity page
- When hq server is selected, the api keys related to the selected hq server are dispalyed in the dropdown
- Domain dropdowns displays the domains that related to the selected api key
- Apps that belongs to the selected domain are displayed in the dropdown
</t>
        </is>
      </c>
      <c r="E5" s="69" t="n"/>
      <c r="F5" s="80" t="n"/>
      <c r="G5" s="80" t="n"/>
    </row>
    <row r="6">
      <c r="A6" s="80" t="inlineStr">
        <is>
          <t>Opp_create_05</t>
        </is>
      </c>
      <c r="B6" s="68" t="inlineStr">
        <is>
          <t>Verify user is able to land on the payment unit page</t>
        </is>
      </c>
      <c r="C6" s="68" t="inlineStr">
        <is>
          <t>Continue to above TC
6. On payment unit page, Click Add payment unit
7. payment unit create section is appeared
8. Fill all the required fileds
    - Enter payment name and description
    - Enter the amount that will accured per visit
- Enter amount for org per visit
    - Enter the number of Max.total visits that a worker should be able to submit overall
    - Enter number of Max.daily visits that a work should be able to submit per day
    - Enter start and end date
Under required details section, select the deliver units [ Payment is accured only when selected forms are submitted and approved]
9. Click "Setup budget"</t>
        </is>
      </c>
      <c r="D6" s="68" t="inlineStr">
        <is>
          <t xml:space="preserve">- User should land on the payment unit page
- USer should be able to add payment units for an opportunity
</t>
        </is>
      </c>
      <c r="E6" s="69" t="n"/>
      <c r="F6" s="80" t="n"/>
      <c r="G6" s="80" t="n"/>
    </row>
    <row r="7">
      <c r="A7" s="80" t="inlineStr">
        <is>
          <t>Opp_create_06</t>
        </is>
      </c>
      <c r="B7" s="118" t="inlineStr">
        <is>
          <t xml:space="preserve">Verify user can set Org Pay at the payment unit level.
</t>
        </is>
      </c>
      <c r="C7" s="118" t="inlineStr">
        <is>
          <t>1. Login to CCC web UI as PM user
2. Create a managed opportunity
3. Click submit
4. On payment unit page, verify we can see org pay field
5. Enter the amount and fill all the fields
6. Set up budget</t>
        </is>
      </c>
      <c r="D7" s="118" t="inlineStr">
        <is>
          <t xml:space="preserve">- User should be to set Org pay at payment unit level </t>
        </is>
      </c>
      <c r="E7" s="69" t="n"/>
      <c r="F7" s="104" t="n"/>
      <c r="G7" s="104" t="n"/>
    </row>
    <row r="8">
      <c r="A8" s="80" t="inlineStr">
        <is>
          <t>Opp_create_07</t>
        </is>
      </c>
      <c r="B8" s="118" t="inlineStr">
        <is>
          <t>Verify Org Pay can be configured independently for each payment unit within the same opportunity.</t>
        </is>
      </c>
      <c r="C8" s="118" t="inlineStr">
        <is>
          <t>1.Login as PM user
2.Create opportunity with multiple payment units
3.Set Org Pay for Payment Unit 1 (e.g., 50)
4.Set a different Org Pay for Payment Unit 2 (e.g., 75)
5. Click save</t>
        </is>
      </c>
      <c r="D8" s="118" t="inlineStr">
        <is>
          <t>- User should configure org pay independently for each payment</t>
        </is>
      </c>
      <c r="E8" s="69" t="n"/>
      <c r="F8" s="104" t="n"/>
      <c r="G8" s="104" t="n"/>
    </row>
    <row r="9">
      <c r="A9" s="80" t="inlineStr">
        <is>
          <t>Opp_create_08</t>
        </is>
      </c>
      <c r="B9" s="118" t="inlineStr">
        <is>
          <t>Verify editing Org Pay for one payment unit does not affect others.</t>
        </is>
      </c>
      <c r="C9" s="118" t="inlineStr">
        <is>
          <t>1.Open an existing opportunity with multiple payment units
2.Edit Org Pay of Payment Unit 1
3.Save and refresh
4.Verify Org Pay of other units</t>
        </is>
      </c>
      <c r="D9" s="118" t="inlineStr">
        <is>
          <t>- Editing the payment unit should not effect the other payment units</t>
        </is>
      </c>
      <c r="E9" s="69" t="n"/>
      <c r="F9" s="104" t="n"/>
      <c r="G9" s="104" t="n"/>
    </row>
    <row r="10">
      <c r="A10" s="80" t="inlineStr">
        <is>
          <t>Opp_create_09</t>
        </is>
      </c>
      <c r="B10" s="118" t="inlineStr">
        <is>
          <t>Verify payment units can be configured with 0 Org Pay</t>
        </is>
      </c>
      <c r="C10" s="118" t="inlineStr">
        <is>
          <t xml:space="preserve">1.Add a payment unit
2. Set Org Pay = 0
3. Save changes
</t>
        </is>
      </c>
      <c r="D10" s="118" t="inlineStr">
        <is>
          <t>- User should be able to configure zero org pay payments
- User should be able to submit the forms for zero org payment units</t>
        </is>
      </c>
      <c r="E10" s="69" t="n"/>
      <c r="F10" s="104" t="n"/>
      <c r="G10" s="104" t="n"/>
    </row>
    <row r="11">
      <c r="A11" s="80" t="inlineStr">
        <is>
          <t>Opp_create_10</t>
        </is>
      </c>
      <c r="B11" s="118" t="inlineStr">
        <is>
          <t>Verify valid error message is displayed when decimal values are given in amount field</t>
        </is>
      </c>
      <c r="C11" s="118" t="inlineStr">
        <is>
          <t>1. Login to CCC web UI
2. Create a managed opportunity &gt;&gt; click submit
3. On paymnet unit page, enter org pay as decimal
4. click save</t>
        </is>
      </c>
      <c r="D11" s="118" t="inlineStr">
        <is>
          <t>- User should not be able to save the payment unit
- User should see the following error message:
"Please enter a valid value. Nearest values are"</t>
        </is>
      </c>
      <c r="E11" s="69" t="n"/>
      <c r="F11" s="104" t="n"/>
      <c r="G11" s="104" t="n"/>
    </row>
    <row r="12">
      <c r="A12" s="80" t="inlineStr">
        <is>
          <t>Opp_create_11</t>
        </is>
      </c>
      <c r="B12" s="118" t="inlineStr">
        <is>
          <t>Verify valid error message is displayed when long int values are entered</t>
        </is>
      </c>
      <c r="C12" s="118" t="inlineStr">
        <is>
          <t>1. Login to CCC web UI
2. Create a managed opportunity &gt;&gt; click submit
3. On paymnet unit page, enter org pay as Long int
4. click save</t>
        </is>
      </c>
      <c r="D12" s="118" t="inlineStr">
        <is>
          <t>- User should not be able to save the payment unit
- User should see the following error message:
"Ensure this value is less than or equal to 2147483647".</t>
        </is>
      </c>
      <c r="E12" s="69" t="n"/>
      <c r="F12" s="104" t="n"/>
      <c r="G12" s="104" t="n"/>
    </row>
    <row r="13">
      <c r="A13" s="80" t="inlineStr">
        <is>
          <t>Opp_create_12</t>
        </is>
      </c>
      <c r="B13" s="118" t="inlineStr">
        <is>
          <t>Verify valid error message is displayed when negative values are entered</t>
        </is>
      </c>
      <c r="C13" s="118" t="inlineStr">
        <is>
          <t>1. Login to CCC web UI
2. Create a managed opportunity &gt;&gt; click submit
3. On paymnet unit page, enter org pay as negative values
4. click save</t>
        </is>
      </c>
      <c r="D13" s="118" t="inlineStr">
        <is>
          <t>- User should not be able to save the payment unit
- User should see the following error message:
"Value must be greater than or equal to 0".</t>
        </is>
      </c>
      <c r="E13" s="69" t="n"/>
      <c r="F13" s="104" t="n"/>
      <c r="G13" s="104" t="n"/>
    </row>
    <row r="14">
      <c r="A14" s="80" t="inlineStr">
        <is>
          <t>Opp_create_13</t>
        </is>
      </c>
      <c r="B14" s="118" t="inlineStr">
        <is>
          <t>Verify user can't enter the special characters in the field</t>
        </is>
      </c>
      <c r="C14" s="118" t="inlineStr">
        <is>
          <t xml:space="preserve">1. Login to CCC web UI
2. Create a managed opportunity &gt;&gt; click submit
3. On paymnet unit page, enter org pay as special characters
</t>
        </is>
      </c>
      <c r="D14" s="118" t="inlineStr">
        <is>
          <t>- User should not be able to enter any special characters in org pay field</t>
        </is>
      </c>
      <c r="E14" s="69" t="n"/>
      <c r="F14" s="104" t="n"/>
      <c r="G14" s="104" t="n"/>
    </row>
    <row r="15">
      <c r="A15" s="80" t="inlineStr">
        <is>
          <t>Opp_create_14</t>
        </is>
      </c>
      <c r="B15" s="118" t="inlineStr">
        <is>
          <t>Verify total opportunity budget reflects the sum of Org Pay across all payment units.</t>
        </is>
      </c>
      <c r="C15" s="118" t="inlineStr">
        <is>
          <t>1. Login as PM user
2. Create opportunity with multiple payment units
3. Enter Org Pay for each payment unit
4. Save opportunity
5. Navigate to opportunity dashboard and check total budget</t>
        </is>
      </c>
      <c r="D15" s="118" t="inlineStr">
        <is>
          <t xml:space="preserve">- Total budget should get update properly </t>
        </is>
      </c>
      <c r="E15" s="69" t="n"/>
      <c r="F15" s="104" t="n"/>
      <c r="G15" s="104" t="n"/>
    </row>
    <row r="16">
      <c r="A16" s="80" t="inlineStr">
        <is>
          <t>Opp_create_15</t>
        </is>
      </c>
      <c r="B16" s="118" t="inlineStr">
        <is>
          <t>Verify recalculation happens correctly when Org Pay is updated</t>
        </is>
      </c>
      <c r="C16" s="118" t="inlineStr">
        <is>
          <t>1. Open an existing opportunity with multiple payment units
2. Edit Org Pay for one payment unit
3. Save changes
4.Refresh page/dashboard and check total budget</t>
        </is>
      </c>
      <c r="D16" s="118" t="inlineStr">
        <is>
          <t>Total opportunity budget is updated correctly based on new Org Pay</t>
        </is>
      </c>
      <c r="E16" s="69" t="n"/>
      <c r="F16" s="104" t="n"/>
      <c r="G16" s="104" t="n"/>
    </row>
    <row r="17">
      <c r="A17" s="80" t="inlineStr">
        <is>
          <t>Opp_create_16</t>
        </is>
      </c>
      <c r="B17" s="118" t="inlineStr">
        <is>
          <t>Verify recalculation happens correctly when Payment units are added/edited</t>
        </is>
      </c>
      <c r="C17" s="118" t="inlineStr">
        <is>
          <t>1.Open opportunity with multiple payment units
2.Add a new payment unit or edit existing ones
3.Enter Org Pay and Max Deliveries
4.Save changes
5.Verify total budget</t>
        </is>
      </c>
      <c r="D17" s="118" t="inlineStr">
        <is>
          <t>- Total budget should get update properly as per newly added or edited payment</t>
        </is>
      </c>
      <c r="E17" s="69" t="n"/>
      <c r="F17" s="104" t="n"/>
      <c r="G17" s="104" t="n"/>
    </row>
    <row r="18">
      <c r="A18" s="80" t="inlineStr">
        <is>
          <t>Opp_create_17</t>
        </is>
      </c>
      <c r="B18" s="118" t="inlineStr">
        <is>
          <t>Verify budget updates correctly for opportunities with multiple payment units.</t>
        </is>
      </c>
      <c r="C18" s="118" t="inlineStr">
        <is>
          <t>1. Open opportunity with multiple payment units
2. Update Org Pay/Max Deliveries of one unit
3. Save changes
4. Verify total budget</t>
        </is>
      </c>
      <c r="D18" s="118" t="inlineStr">
        <is>
          <t>- Total budget should get update</t>
        </is>
      </c>
      <c r="E18" s="69" t="n"/>
      <c r="F18" s="104" t="n"/>
      <c r="G18" s="104" t="n"/>
    </row>
    <row r="19">
      <c r="A19" s="80" t="inlineStr">
        <is>
          <t>Opp_create_18</t>
        </is>
      </c>
      <c r="B19" s="118" t="inlineStr">
        <is>
          <t>Verify org pay details are shown on the opportunity dashboard when clicking on payment units section</t>
        </is>
      </c>
      <c r="C19" s="118" t="inlineStr">
        <is>
          <t>1.Login as PM user
2. Open opportunity dashboard
3. Click on Payment Units section</t>
        </is>
      </c>
      <c r="D19" s="118" t="inlineStr">
        <is>
          <t>- User should be able to see the org pay details when we click on the payment unit section</t>
        </is>
      </c>
      <c r="E19" s="69" t="n"/>
      <c r="F19" s="104" t="n"/>
      <c r="G19" s="104" t="n"/>
    </row>
    <row r="20">
      <c r="A20" s="80" t="inlineStr">
        <is>
          <t>Opp_create_19</t>
        </is>
      </c>
      <c r="B20" s="118" t="inlineStr">
        <is>
          <t>Verify workers earn the correct amount based on the configured Pay</t>
        </is>
      </c>
      <c r="C20" s="118" t="inlineStr">
        <is>
          <t xml:space="preserve">1. Configure Org Pay per payment unit
2. Assign workers to opportunity
3. Complete deliveries
4. On CCC web UI, Navigate to opportunity dashboard
</t>
        </is>
      </c>
      <c r="D20" s="118" t="inlineStr">
        <is>
          <t>- On Opportunity dashboard, amount earned should be displayed correctly</t>
        </is>
      </c>
      <c r="E20" s="69" t="n"/>
      <c r="F20" s="104" t="n"/>
      <c r="G20" s="104" t="n"/>
    </row>
    <row r="21">
      <c r="A21" s="80" t="inlineStr">
        <is>
          <t>Opp_create_20</t>
        </is>
      </c>
      <c r="B21" s="118" t="inlineStr">
        <is>
          <t>Verify workers are paid the correct amount based on the configured Pay</t>
        </is>
      </c>
      <c r="C21" s="118" t="inlineStr">
        <is>
          <t>1. Configure Org Pay per payment unit
2. Assign workers to opportunity
3. Complete deliveries
4.On payments tab, Make payment
5. Verify on opp dashboard</t>
        </is>
      </c>
      <c r="D21" s="118" t="inlineStr">
        <is>
          <t>- On Opportunity dashboard, amount paid should be displayed correctly</t>
        </is>
      </c>
      <c r="E21" s="69" t="n"/>
      <c r="F21" s="104" t="n"/>
      <c r="G21" s="104" t="n"/>
    </row>
    <row r="22">
      <c r="A22" s="80" t="inlineStr">
        <is>
          <t>Opp_create_21</t>
        </is>
      </c>
      <c r="B22" s="68" t="inlineStr">
        <is>
          <t>Verify user is able to land on the Budget page</t>
        </is>
      </c>
      <c r="C22" s="68" t="inlineStr">
        <is>
          <t>Cont to above TC
9. On the budget page, Add the budget for an opportunity
- Fill start and end dates, No.of connect workers
- Total budget field auto populates 
10.Click submit</t>
        </is>
      </c>
      <c r="D22" s="68" t="inlineStr">
        <is>
          <t>- User should be able to add the budget for an opportunity
- After entering the no.of connect workers, budget amount will auto populates -
- After clicking submit, opportunity is created and user should land on the opportunity dashboard of a newly created opportunity</t>
        </is>
      </c>
      <c r="E22" s="69" t="n"/>
      <c r="F22" s="80" t="n"/>
      <c r="G22" s="80" t="n"/>
    </row>
    <row r="23">
      <c r="A23" s="80" t="inlineStr">
        <is>
          <t>Opp_create_22</t>
        </is>
      </c>
      <c r="B23" s="68" t="inlineStr">
        <is>
          <t>Verify creating an opportunity by selecting the servers</t>
        </is>
      </c>
      <c r="C23" s="68" t="inlineStr">
        <is>
          <t>1. Login to CCC web UI
2. Navigate to program list page
3. Under a program click on view status &gt;&gt; Under NM user details click on create opportunity button
4. Verify user is able to select either commcare hq or india commcare hq server under  hq server field</t>
        </is>
      </c>
      <c r="D23" s="68" t="inlineStr">
        <is>
          <t>-User should be able to access the Hq server field dropdown and able to see the Commcare Hq server(staging) and India commcare Hq server</t>
        </is>
      </c>
      <c r="E23" s="69" t="n"/>
      <c r="F23" s="80" t="n"/>
      <c r="G23" s="80" t="n"/>
    </row>
    <row r="24">
      <c r="A24" s="80" t="inlineStr">
        <is>
          <t>Opp_create_23</t>
        </is>
      </c>
      <c r="B24" s="68" t="inlineStr">
        <is>
          <t>Verify creating a opportunity through Opportunities list page by selecting commcare hq(staging) server as the field value for Hq server field</t>
        </is>
      </c>
      <c r="C24" s="68" t="inlineStr">
        <is>
          <t>Continue to abov TC
- Select Commcare hq as hq server</t>
        </is>
      </c>
      <c r="D24" s="68" t="inlineStr">
        <is>
          <t>-User should able to select the commcare server and should be able to add the api key if not created .
- If Api is created user should be able to see the api's related to commcare hq server displayed in the api field.</t>
        </is>
      </c>
      <c r="E24" s="69" t="n"/>
      <c r="F24" s="80" t="n"/>
      <c r="G24" s="80" t="n"/>
    </row>
    <row r="25">
      <c r="A25" s="80" t="inlineStr">
        <is>
          <t>Opp_create_24</t>
        </is>
      </c>
      <c r="B25" s="68" t="inlineStr">
        <is>
          <t>Verify creating a opportunity through Opportunities list page by selecting India CommcareHQ server as the field value for Hq server field</t>
        </is>
      </c>
      <c r="C25" s="68" t="inlineStr">
        <is>
          <t>- Select India commcare hq as hq server</t>
        </is>
      </c>
      <c r="D25" s="68" t="inlineStr">
        <is>
          <t>-User should able to select the India commcare server and should be able to add the api key if not created .
- If Api is created user should be able to see the api's related to India commcare hq server displayed in the api field.</t>
        </is>
      </c>
      <c r="E25" s="69" t="n"/>
      <c r="F25" s="80" t="n"/>
      <c r="G25" s="80" t="n"/>
    </row>
    <row r="26">
      <c r="A26" s="80" t="inlineStr">
        <is>
          <t>Opp_create_25</t>
        </is>
      </c>
      <c r="B26" s="68" t="inlineStr">
        <is>
          <t>Verify user should be able to see the domains related to the selected api</t>
        </is>
      </c>
      <c r="C26" s="68" t="inlineStr">
        <is>
          <t>1. Login to CCC web UI
2. Navigate to program list page
3. Under a program click on view status &gt;&gt; Under NM user details click on create opportunity button3. Select the hq server 
4. Under API column we have api's listed related to the selected server</t>
        </is>
      </c>
      <c r="D26" s="68" t="inlineStr">
        <is>
          <t>-User should be able to access the "domain" dropdown and can select the domain from the list in dropdown</t>
        </is>
      </c>
      <c r="E26" s="69" t="n"/>
      <c r="F26" s="80" t="n"/>
      <c r="G26" s="80" t="n"/>
    </row>
    <row r="27">
      <c r="A27" s="80" t="inlineStr">
        <is>
          <t>Opp_create_26</t>
        </is>
      </c>
      <c r="B27" s="68" t="inlineStr">
        <is>
          <t>Verify user should be able to see the apps that are related to the domain selected</t>
        </is>
      </c>
      <c r="C27" s="68" t="inlineStr">
        <is>
          <t>continue to above TC
- Select the api under api column 
- Select the domains from learn app/ deliver app dropdown</t>
        </is>
      </c>
      <c r="D27" s="68" t="inlineStr">
        <is>
          <t>-User should be able to access the "Learn App" and "Delivery App" dropdowns and can select the Apps from the list in dropdown</t>
        </is>
      </c>
      <c r="E27" s="69" t="n"/>
      <c r="F27" s="80" t="n"/>
      <c r="G27" s="80" t="n"/>
    </row>
    <row r="28">
      <c r="A28" s="80" t="inlineStr">
        <is>
          <t>Opp_create_27</t>
        </is>
      </c>
      <c r="B28" s="118" t="inlineStr">
        <is>
          <t>Verify we are able create manage creditals on CCC web UI</t>
        </is>
      </c>
      <c r="C28" s="118" t="inlineStr">
        <is>
          <t>1. Login CCC web UI
2. Navigte to opportunity dashboard
3. Click on hamburger option
4. Select edit opportunity
5. Verify manage credentials section is visible
6.Click on Learn Level field, the following options contains in the dropdown:
    - None
    - Learning passed 
7. Click on Delivery level field, the dropdown contains following options:
    - None
    - 25 deliveries
    - 50 deliveries
    - 100 deliveries
    - 200 deliveries
    - 500 deliveries
    - 1000 deliveries
8. Select any option [except none - it is for disable] from learn level and  delivery level fields 
9. Click submit</t>
        </is>
      </c>
      <c r="D28" s="118" t="inlineStr">
        <is>
          <t>- User should be able to add credentials succesfully</t>
        </is>
      </c>
      <c r="E28" s="69" t="n"/>
      <c r="F28" s="104" t="n"/>
      <c r="G28" s="104" t="n"/>
    </row>
    <row r="29">
      <c r="A29" s="80" t="inlineStr">
        <is>
          <t>Opp_create_28</t>
        </is>
      </c>
      <c r="B29" s="68" t="inlineStr">
        <is>
          <t>Verify user is able to create the opportunity successfully</t>
        </is>
      </c>
      <c r="C29" s="68" t="inlineStr">
        <is>
          <t>1. Logn to CCC web UI as PM user
2. Navigate to opp list page
3. Navigate to program list page
4. Under a program click on view status &gt;&gt; Under NM user details click on create opportunity button
5. Create an opportunity</t>
        </is>
      </c>
      <c r="D29" s="68" t="inlineStr">
        <is>
          <t>-User should be able to create the opportunity successfully and able to land on the opportunity dashboard of the newly created opportunity</t>
        </is>
      </c>
      <c r="E29" s="69" t="n"/>
      <c r="F29" s="80" t="n"/>
      <c r="G29" s="80" t="n"/>
    </row>
  </sheetData>
  <conditionalFormatting sqref="E2:E29">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29" showDropDown="0" showInputMessage="0" showErrorMessage="1" allowBlank="1" type="list">
      <formula1>"Pass,Fail,N/A,Blocking"</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G29"/>
  <sheetViews>
    <sheetView workbookViewId="0">
      <selection activeCell="A1" sqref="A1"/>
    </sheetView>
  </sheetViews>
  <sheetFormatPr baseColWidth="8" defaultColWidth="12.63" defaultRowHeight="15.75" customHeight="1"/>
  <cols>
    <col width="17.13" customWidth="1" style="148" min="1" max="1"/>
    <col width="43.38" customWidth="1" style="148" min="2" max="2"/>
    <col width="52.38" customWidth="1" style="148" min="3" max="3"/>
    <col width="49.63" customWidth="1" style="148" min="4" max="4"/>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c r="A2" s="73" t="inlineStr">
        <is>
          <t>OLP_01</t>
        </is>
      </c>
      <c r="B2" s="68" t="inlineStr">
        <is>
          <t xml:space="preserve">Confirm user lands on the Opportunity list page on successful login </t>
        </is>
      </c>
      <c r="C2" s="60" t="inlineStr">
        <is>
          <t>1. Login to the CCC web UI using correct username and password
https://connect-staging.dimagi.com/accounts/login</t>
        </is>
      </c>
      <c r="D2" s="68" t="inlineStr">
        <is>
          <t xml:space="preserve">- User should land on the opportunity list page and see all the programs user's been invited to
- The order of the list should be such that the newest invitation be at top
- Opportunities should be listed in the order of start date </t>
        </is>
      </c>
      <c r="E2" s="69" t="inlineStr">
        <is>
          <t>Pass</t>
        </is>
      </c>
      <c r="F2" s="73" t="n"/>
      <c r="G2" s="73" t="inlineStr">
        <is>
          <t>Automated: test_olp_list_page (verify_loaded)</t>
        </is>
      </c>
    </row>
    <row r="3">
      <c r="A3" s="73" t="inlineStr">
        <is>
          <t>OLP_02</t>
        </is>
      </c>
      <c r="B3" s="68" t="inlineStr">
        <is>
          <t>Confirm user is not able to create an opportunity as NM user</t>
        </is>
      </c>
      <c r="C3" s="68" t="n"/>
      <c r="D3" s="68" t="inlineStr">
        <is>
          <t>-User is not able to create an opportunity as NM user</t>
        </is>
      </c>
      <c r="E3" s="69" t="inlineStr">
        <is>
          <t>Pass</t>
        </is>
      </c>
      <c r="F3" s="73" t="n"/>
      <c r="G3" s="73" t="inlineStr">
        <is>
          <t>Automated: test_olp_list_page NM (managed opportunity-init returns 403 for NM; uses seeded program_id)</t>
        </is>
      </c>
    </row>
    <row r="4">
      <c r="A4" s="73" t="inlineStr">
        <is>
          <t>OLP_04</t>
        </is>
      </c>
      <c r="B4" s="68" t="inlineStr">
        <is>
          <t>User should be able to land on the Opportunity list page when they select the option from the right pane</t>
        </is>
      </c>
      <c r="C4" s="68" t="inlineStr">
        <is>
          <t>1. Log in to CCC web UI
2. Click on the hamburger option present on left side
3. Select the opportunities option</t>
        </is>
      </c>
      <c r="D4" s="68" t="inlineStr">
        <is>
          <t xml:space="preserve">- User should land on the opportunity list page and should see all the opportunities created by the user 
- If there are no opportunities created, user should see an empty list and "Create Opportunity" option on the page 
- User should also see "Add New" button </t>
        </is>
      </c>
      <c r="E4" s="69" t="inlineStr">
        <is>
          <t>Pass</t>
        </is>
      </c>
      <c r="F4" s="73" t="n"/>
      <c r="G4" s="73" t="inlineStr">
        <is>
          <t>Automated: test_olp_list_page (landing)</t>
        </is>
      </c>
    </row>
    <row r="5">
      <c r="A5" s="73" t="inlineStr">
        <is>
          <t>OLP_05</t>
        </is>
      </c>
      <c r="B5" s="68" t="inlineStr">
        <is>
          <t xml:space="preserve">User should see the following information for any opportunity on the page when login with network manager 
- Test or Real
- Status 
- Program Name 
- Start &amp; End Date 
- Pending Invites 
- Inactive connect workers
- Pending Approvals 
- Payment Due </t>
        </is>
      </c>
      <c r="C5" s="68" t="inlineStr">
        <is>
          <t>1. Log in to CCC web UI
2. Navigate to opportunity list page</t>
        </is>
      </c>
      <c r="D5" s="68" t="inlineStr">
        <is>
          <t xml:space="preserve">- The columns should be displayed and give off the following info:
i) Status: Active, Inactive or Ended (past end date)
ii) Pending Invites: Invitations sent successfully to workers and not accepted yet
iii) Inactive workers: No form submission in 3 days in Learn or Deliver app
iv) Deliveries pending approval
v) Payments due to workers
- The Opportunities should be listed in the following order of sequence:
Active on top
Earliest Start Date
Earliest End Date
- User should be able to sort the list by clicking on any column header </t>
        </is>
      </c>
      <c r="E5" s="69" t="inlineStr">
        <is>
          <t>Pass</t>
        </is>
      </c>
      <c r="F5" s="73" t="n"/>
      <c r="G5" s="73" t="inlineStr">
        <is>
          <t>Automated: test_olp_list_page (PM+NM columns, sortable headers)</t>
        </is>
      </c>
    </row>
    <row r="6">
      <c r="A6" s="73" t="n"/>
      <c r="B6" s="68" t="inlineStr">
        <is>
          <t>User should see the following information for any opportunity on the page when login with program manager 
- Test or Real
- Status 
- Program Name 
- Start &amp; End Date 
- Active connect workers
- Total deliveries
- Verified deliveries
- Worker Earnings</t>
        </is>
      </c>
      <c r="C6" s="68" t="inlineStr">
        <is>
          <t>1. Log in to CCC web UI
2. Navigate to opportunity list page</t>
        </is>
      </c>
      <c r="D6" s="68" t="inlineStr">
        <is>
          <t xml:space="preserve">- The columns should be displayed and give off the following info:
i) Status: Active, Inactive or Ended (past end date)
ii) Active workers
iii) Count of total deliveries
iv) Count of verified deliveries
v) Deliveries pending approval
vi) Payment amount earned by workers
- The Opportunities should be listed in the following order of sequence:
Active on top
Earliest Start Date
Earliest End Date
- User should be able to sort the list by clicking on any column header </t>
        </is>
      </c>
      <c r="E6" s="69" t="n"/>
      <c r="F6" s="73" t="n"/>
      <c r="G6" s="73" t="n"/>
    </row>
    <row r="7">
      <c r="A7" s="73" t="inlineStr">
        <is>
          <t>OLP_06</t>
        </is>
      </c>
      <c r="B7" s="68" t="inlineStr">
        <is>
          <t xml:space="preserve">Confirm user can filter the opportunities on the basis of Status </t>
        </is>
      </c>
      <c r="C7" s="68" t="inlineStr">
        <is>
          <t xml:space="preserve">1. Login to CCC web UI
2. Navigate to opportunity list page
3. Click on the filter icon
4. Apply neccessary filters and click Apply
</t>
        </is>
      </c>
      <c r="D7" s="68" t="inlineStr">
        <is>
          <t xml:space="preserve">User should be able to filter the opportunities on the basis of Status by selecting from the Opportunity and Status dropdown 
- Opportunity Dropdown 
All 
Test 
Live 
- Status Dropdown 
All 
Inactive 
Active 
Ended </t>
        </is>
      </c>
      <c r="E7" s="69" t="inlineStr">
        <is>
          <t>Pass</t>
        </is>
      </c>
      <c r="F7" s="73" t="n"/>
      <c r="G7" s="73" t="inlineStr">
        <is>
          <t>Automated: test_olp_list_behaviour (status filter)</t>
        </is>
      </c>
    </row>
    <row r="8">
      <c r="A8" s="73" t="inlineStr">
        <is>
          <t>OLP_07</t>
        </is>
      </c>
      <c r="B8" s="68" t="inlineStr">
        <is>
          <t>Confirm user is able to navigate to different pages using the pagination</t>
        </is>
      </c>
      <c r="C8" s="68" t="inlineStr">
        <is>
          <t>1. Login to CCC web UI
2. Navigate to opportunity list page
3. Select the rows per page
4. Navigate through the pages</t>
        </is>
      </c>
      <c r="D8" s="68" t="inlineStr">
        <is>
          <t xml:space="preserve">- The opportunity list page should only list the number of opportunities selected by the user for "Rows per page" 
- User should be able to navigate forward backwards using the pagination arrows  </t>
        </is>
      </c>
      <c r="E8" s="69" t="inlineStr">
        <is>
          <t>Pass</t>
        </is>
      </c>
      <c r="F8" s="73" t="n"/>
      <c r="G8" s="73" t="inlineStr">
        <is>
          <t>Automated: test_olp_list_behaviour (pagination; skips when &lt;=20 opps)</t>
        </is>
      </c>
    </row>
    <row r="9">
      <c r="A9" s="73" t="inlineStr">
        <is>
          <t>OLP_08</t>
        </is>
      </c>
      <c r="B9" s="68" t="inlineStr">
        <is>
          <t xml:space="preserve">Confirm users can land on the opportunity page, if they select any opportunity from the list </t>
        </is>
      </c>
      <c r="C9" s="68" t="inlineStr">
        <is>
          <t>1. Login to CCC web UI
2. Navigate to opportunity list page
3. Click on any opportunity</t>
        </is>
      </c>
      <c r="D9" s="68" t="n"/>
      <c r="E9" s="69" t="inlineStr">
        <is>
          <t>Pass</t>
        </is>
      </c>
      <c r="F9" s="73" t="n"/>
      <c r="G9" s="73" t="inlineStr">
        <is>
          <t>Automated: test_olp_list_page (open_opportunity)</t>
        </is>
      </c>
    </row>
    <row r="10">
      <c r="A10" s="73" t="inlineStr">
        <is>
          <t>OLP_09</t>
        </is>
      </c>
      <c r="B10" s="118" t="inlineStr">
        <is>
          <t xml:space="preserve">Verify Filters pop up modal is displayed by clicking on the filters icon on opp list page </t>
        </is>
      </c>
      <c r="C10" s="118" t="inlineStr">
        <is>
          <t>1. Login to CCC web UI
2. Navigate to opportunity list page
3. Click on the filters icon</t>
        </is>
      </c>
      <c r="D10" s="118" t="inlineStr">
        <is>
          <t xml:space="preserve">Filters pop up modal should be displayed containing following fileds:
- Is test
- Status
- Program (Visible only to PM users)
</t>
        </is>
      </c>
      <c r="E10" s="69" t="inlineStr">
        <is>
          <t>Pass</t>
        </is>
      </c>
      <c r="F10" s="73" t="n"/>
      <c r="G10" s="73" t="inlineStr">
        <is>
          <t>Automated: test_olp_list_page (filter modal fields)</t>
        </is>
      </c>
    </row>
    <row r="11">
      <c r="A11" s="73" t="inlineStr">
        <is>
          <t>OLP_10</t>
        </is>
      </c>
      <c r="B11" s="118" t="inlineStr">
        <is>
          <t>Verify "Is test" field drop down contains:
- Yes
- No</t>
        </is>
      </c>
      <c r="C11" s="118" t="inlineStr">
        <is>
          <t>1. Login to CCC web UI
2. Navigate to opportunity list page
3. Click on the filters icon
4. Click on "Is Test" field</t>
        </is>
      </c>
      <c r="D11" s="118" t="inlineStr">
        <is>
          <t>- Test opportunities should be displayed when 'yes' is selected
- Non test opportunities should be displayed when 'no' is selected</t>
        </is>
      </c>
      <c r="E11" s="69" t="inlineStr">
        <is>
          <t>Pass</t>
        </is>
      </c>
      <c r="F11" s="73" t="n"/>
      <c r="G11" s="73" t="inlineStr">
        <is>
          <t>Automated: test_olp_list_page (is_test options)</t>
        </is>
      </c>
    </row>
    <row r="12">
      <c r="A12" s="73" t="inlineStr">
        <is>
          <t>OLP_11</t>
        </is>
      </c>
      <c r="B12" s="118" t="inlineStr">
        <is>
          <t>Verify "Status" field drop down contains:
- Active
- Ended
- Inactive</t>
        </is>
      </c>
      <c r="C12" s="118" t="inlineStr">
        <is>
          <t>1. Login to CCC web UI
2. Navigate to opportunity list page
3. Click on the filters icon
4. Click on "Status" field</t>
        </is>
      </c>
      <c r="D12" s="118" t="inlineStr">
        <is>
          <t>- Active opportunities should be displayed when active is selected
- Ended opportunities should be displayed when ended is selected
- Inactive opportunities should be displayed when inactive is selected</t>
        </is>
      </c>
      <c r="E12" s="69" t="inlineStr">
        <is>
          <t>Pass</t>
        </is>
      </c>
      <c r="F12" s="73" t="n"/>
      <c r="G12" s="73" t="inlineStr">
        <is>
          <t>Automated: test_olp_list_page (status options)</t>
        </is>
      </c>
    </row>
    <row r="13">
      <c r="A13" s="73" t="inlineStr">
        <is>
          <t>OLP_12</t>
        </is>
      </c>
      <c r="B13" s="118" t="inlineStr">
        <is>
          <t>Verify "Program" field drop down contains list of all programs [PM user]</t>
        </is>
      </c>
      <c r="C13" s="118" t="inlineStr">
        <is>
          <t>1. Login to CCC web UI
2. Navigate to opportunity list page
3. Click on the filters icon
4. Click on "Program" field</t>
        </is>
      </c>
      <c r="D13" s="118" t="inlineStr">
        <is>
          <t>- Verify the drop down should contain the list of all programs 
- Opportunities that are part of selected program should be displayed</t>
        </is>
      </c>
      <c r="E13" s="69" t="inlineStr">
        <is>
          <t>Pass</t>
        </is>
      </c>
      <c r="F13" s="73" t="n"/>
      <c r="G13" s="73" t="inlineStr">
        <is>
          <t>Automated: test_olp_list_page (program options, PM)</t>
        </is>
      </c>
    </row>
    <row r="14">
      <c r="A14" s="73" t="inlineStr">
        <is>
          <t>OLP_13</t>
        </is>
      </c>
      <c r="B14" s="118" t="inlineStr">
        <is>
          <t>Verify on the clicking on apply button, filters are applied</t>
        </is>
      </c>
      <c r="C14" s="118" t="inlineStr">
        <is>
          <t>1. Login to CCC web UI
2. Navigate to opportunity list page
3. Click on the filters icon
4. Apply few filters and click Apply</t>
        </is>
      </c>
      <c r="D14" s="118" t="inlineStr">
        <is>
          <t>- Selected filters should be applied on opportunities
- Number of filters selected should be displayed on the filters icon</t>
        </is>
      </c>
      <c r="E14" s="69" t="inlineStr">
        <is>
          <t>Pass</t>
        </is>
      </c>
      <c r="F14" s="73" t="n"/>
      <c r="G14" s="73" t="inlineStr">
        <is>
          <t>Automated: test_olp_list_behaviour (apply + filter badge)</t>
        </is>
      </c>
    </row>
    <row r="15">
      <c r="A15" s="73" t="inlineStr">
        <is>
          <t>OLP_14</t>
        </is>
      </c>
      <c r="B15" s="118" t="inlineStr">
        <is>
          <t>Verify user is able to select multiple options in status fileld</t>
        </is>
      </c>
      <c r="C15" s="118" t="inlineStr">
        <is>
          <t>1. Login to CCC web UI
2. Navigate to opportunity list page
3. Click on the filters icon
4. Click on "Status field"
5. Select multiple options under status filed
6. Click on Apply</t>
        </is>
      </c>
      <c r="D15" s="118" t="inlineStr">
        <is>
          <t>- Multiple filters selected should be applied on the opportunities</t>
        </is>
      </c>
      <c r="E15" s="69" t="inlineStr">
        <is>
          <t>Pass</t>
        </is>
      </c>
      <c r="F15" s="73" t="n"/>
      <c r="G15" s="73" t="inlineStr">
        <is>
          <t>Automated: test_olp_list_behaviour (multi-select status)</t>
        </is>
      </c>
    </row>
    <row r="16">
      <c r="A16" s="73" t="inlineStr">
        <is>
          <t>OLP_15</t>
        </is>
      </c>
      <c r="B16" s="118" t="inlineStr">
        <is>
          <t>Verify user is able to select multiple options in programs filed[PM user]</t>
        </is>
      </c>
      <c r="C16" s="118" t="inlineStr">
        <is>
          <t>1. Login to CCC web UI
2. Navigate to opportunity list page
3. Click on the filters icon
4. Click on programs field
5. Select multiple programs under programs filed
6. Click on Apply</t>
        </is>
      </c>
      <c r="D16" s="118" t="inlineStr">
        <is>
          <t>- Opportunities related to the selected programs should be displayed</t>
        </is>
      </c>
      <c r="E16" s="69" t="inlineStr">
        <is>
          <t>Pass</t>
        </is>
      </c>
      <c r="F16" s="73" t="n"/>
      <c r="G16" s="73" t="inlineStr">
        <is>
          <t>Automated: test_olp_list_behaviour (program filter)</t>
        </is>
      </c>
    </row>
    <row r="17">
      <c r="A17" s="73" t="inlineStr">
        <is>
          <t>OLP_16</t>
        </is>
      </c>
      <c r="B17" s="118" t="inlineStr">
        <is>
          <t>Verify Navigating away and back to a page should preserve the filters applied on the page</t>
        </is>
      </c>
      <c r="C17" s="118" t="inlineStr">
        <is>
          <t>1. Login to CCC web UI
2. Navigate to opportunity list page
3. Apply filters
4. Navigate away and back by using arrow</t>
        </is>
      </c>
      <c r="D17" s="118" t="inlineStr">
        <is>
          <t>- Applied filters should be preserved when user navigate away and back</t>
        </is>
      </c>
      <c r="E17" s="69" t="inlineStr">
        <is>
          <t>Pass</t>
        </is>
      </c>
      <c r="F17" s="73" t="n"/>
      <c r="G17" s="73" t="inlineStr">
        <is>
          <t>Automated: test_olp_list_behaviour (filter persistence)</t>
        </is>
      </c>
    </row>
    <row r="18">
      <c r="A18" s="73" t="inlineStr">
        <is>
          <t>OLP_17</t>
        </is>
      </c>
      <c r="B18" s="118" t="inlineStr">
        <is>
          <t xml:space="preserve">Verify user is able to see the following  buttons by clicking on the three dots at the end of opportunity details
- "view opportunites" 
- "view connect workers" 
- View Invoices </t>
        </is>
      </c>
      <c r="C18" s="118" t="inlineStr">
        <is>
          <t>1. Login to CCC web UI
2. Navigate to opp list page
3. Click on the 3 dots option present at the end of opportunity details</t>
        </is>
      </c>
      <c r="D18" s="118" t="inlineStr">
        <is>
          <t xml:space="preserve">- User should be able to see the following details:
View opportunites
View connect workers
View Invoices </t>
        </is>
      </c>
      <c r="E18" s="69" t="inlineStr">
        <is>
          <t>Pass</t>
        </is>
      </c>
      <c r="F18" s="73" t="n"/>
      <c r="G18" s="73" t="inlineStr">
        <is>
          <t>Automated: test_olp_list_page (kebab_options)</t>
        </is>
      </c>
    </row>
    <row r="19">
      <c r="A19" s="73" t="inlineStr">
        <is>
          <t>OLP_18</t>
        </is>
      </c>
      <c r="B19" s="118" t="inlineStr">
        <is>
          <t>Verify user is able to land on the opportunity dashboard by clicking on the "view opportunity" button</t>
        </is>
      </c>
      <c r="C19" s="118" t="inlineStr">
        <is>
          <t>Cont to above TC
- Click on view opportunities option</t>
        </is>
      </c>
      <c r="D19" s="118" t="inlineStr">
        <is>
          <t>- User should be land on opportunity dashboard</t>
        </is>
      </c>
      <c r="E19" s="69" t="inlineStr">
        <is>
          <t>Pass</t>
        </is>
      </c>
      <c r="F19" s="73" t="n"/>
      <c r="G19" s="73" t="inlineStr">
        <is>
          <t>Automated: test_olp_list_behaviour (kebab View Opportunity target)</t>
        </is>
      </c>
    </row>
    <row r="20">
      <c r="A20" s="73" t="inlineStr">
        <is>
          <t>OLP_19</t>
        </is>
      </c>
      <c r="B20" s="118" t="inlineStr">
        <is>
          <t>Verify user is able to land on the connect workers by cliicking on the "view connect workers" button</t>
        </is>
      </c>
      <c r="C20" s="118" t="inlineStr">
        <is>
          <t>Cont to OLP_20
- Click on view connect workers option</t>
        </is>
      </c>
      <c r="D20" s="118" t="inlineStr">
        <is>
          <t>- User should be land on Connect workers page</t>
        </is>
      </c>
      <c r="E20" s="69" t="inlineStr">
        <is>
          <t>Pass</t>
        </is>
      </c>
      <c r="F20" s="73" t="n"/>
      <c r="G20" s="73" t="inlineStr">
        <is>
          <t>Automated: test_olp_list_behaviour (kebab View Connect Workers target)</t>
        </is>
      </c>
    </row>
    <row r="21">
      <c r="A21" s="73" t="inlineStr">
        <is>
          <t>OLP_20</t>
        </is>
      </c>
      <c r="B21" s="118" t="inlineStr">
        <is>
          <t>Verify user is able to land on the invoices page by cliicking on the "view invoices" button</t>
        </is>
      </c>
      <c r="C21" s="118" t="inlineStr">
        <is>
          <t>Cont to OLP_20
- Click on view invoices option</t>
        </is>
      </c>
      <c r="D21" s="118" t="inlineStr">
        <is>
          <t>- User should be land on invoices page</t>
        </is>
      </c>
      <c r="E21" s="69" t="inlineStr">
        <is>
          <t>Pass</t>
        </is>
      </c>
      <c r="F21" s="73" t="n"/>
      <c r="G21" s="73" t="inlineStr">
        <is>
          <t>Automated: test_olp_list_behaviour (kebab View Invoices target)</t>
        </is>
      </c>
    </row>
    <row r="22">
      <c r="A22" s="73" t="inlineStr">
        <is>
          <t>OLP_22</t>
        </is>
      </c>
      <c r="B22" s="118" t="inlineStr">
        <is>
          <t>Ensure that all filter combinations are applied simultaneously and function correctly.</t>
        </is>
      </c>
      <c r="C22" s="118" t="inlineStr">
        <is>
          <t>1. Login to CCC web UI
2. Navigate to opportunity list page
3. Click on the filters icon
4. Add all filter options and click Apply</t>
        </is>
      </c>
      <c r="D22" s="118" t="inlineStr">
        <is>
          <t>- Opportunities based on the selected filters should be displayed</t>
        </is>
      </c>
      <c r="E22" s="69" t="inlineStr">
        <is>
          <t>Pass</t>
        </is>
      </c>
      <c r="F22" s="73" t="n"/>
      <c r="G22" s="73" t="inlineStr">
        <is>
          <t>Automated: test_olp_list_behaviour (combined is_test + status)</t>
        </is>
      </c>
    </row>
    <row r="23">
      <c r="A23" s="73" t="inlineStr">
        <is>
          <t>OLP_23</t>
        </is>
      </c>
      <c r="B23" s="118" t="inlineStr">
        <is>
          <t>Verify when user click on the number under "pending invites" column, user should land on the connect workers page
[NM user]</t>
        </is>
      </c>
      <c r="C23" s="118" t="inlineStr">
        <is>
          <t>1. Login to CCC web UI
2. Navigate to opportunity list page
3. Click on the count under "pending invites" column</t>
        </is>
      </c>
      <c r="D23" s="118" t="inlineStr">
        <is>
          <t>- User should be able to land on connect workers page and view the pending invites first</t>
        </is>
      </c>
      <c r="E23" s="69" t="inlineStr">
        <is>
          <t>Pass</t>
        </is>
      </c>
      <c r="F23" s="73" t="n"/>
      <c r="G23" s="73" t="inlineStr">
        <is>
          <t>Automated: test_olp_list_page NM (Pending Invites count cell) - verified with seeded OLP_Test_Opp</t>
        </is>
      </c>
    </row>
    <row r="24">
      <c r="A24" s="73" t="inlineStr">
        <is>
          <t>OLP_24</t>
        </is>
      </c>
      <c r="B24" s="118" t="inlineStr">
        <is>
          <t>Verify when user click on the number under "Inactive workers" column, user should land on the connect workers page [NM user]</t>
        </is>
      </c>
      <c r="C24" s="118" t="inlineStr">
        <is>
          <t>1. Login to CCC web UI
2. Navigate to opportunity list page
3. Click on the count under "Inactive workers" column</t>
        </is>
      </c>
      <c r="D24" s="118" t="inlineStr">
        <is>
          <t>- User should be able to land on connect workers page and view the Inactive workers</t>
        </is>
      </c>
      <c r="E24" s="69" t="inlineStr">
        <is>
          <t>Pass</t>
        </is>
      </c>
      <c r="F24" s="73" t="n"/>
      <c r="G24" s="73" t="inlineStr">
        <is>
          <t>Automated: test_olp_list_page NM (Inactive workers drill-down) - verified with seeded OLP_Test_Opp</t>
        </is>
      </c>
    </row>
    <row r="25">
      <c r="A25" s="73" t="inlineStr">
        <is>
          <t>OLP_26</t>
        </is>
      </c>
      <c r="B25" s="118" t="inlineStr">
        <is>
          <t>Verify when user click on the amount under "payments due" column, user should land on the payments tab [NM user]</t>
        </is>
      </c>
      <c r="C25" s="118" t="inlineStr">
        <is>
          <t>1. Login to CCC web UI
2. Navigate to opportunity list page
3. Click on the count under "payments due" column</t>
        </is>
      </c>
      <c r="D25" s="118" t="inlineStr">
        <is>
          <t>- User should be able to land on the payments tab and view the pending payments</t>
        </is>
      </c>
      <c r="E25" s="69" t="inlineStr">
        <is>
          <t>Pass</t>
        </is>
      </c>
      <c r="F25" s="73" t="n"/>
      <c r="G25" s="73" t="inlineStr">
        <is>
          <t>Automated: test_olp_list_page NM (Payments Due drill-down) - verified with seeded OLP_Test_Opp</t>
        </is>
      </c>
    </row>
    <row r="26">
      <c r="A26" s="73" t="inlineStr">
        <is>
          <t>OLP_27</t>
        </is>
      </c>
      <c r="B26" s="118" t="inlineStr">
        <is>
          <t>Verify when user click on the number under "Active connect workers" column, user should land on the Connect workers page [PM user]</t>
        </is>
      </c>
      <c r="C26" s="118" t="inlineStr">
        <is>
          <t>1. Login to CCC web UI
2. Navigate to opportunity list page
3. Click on the count under "Active connect workers" column</t>
        </is>
      </c>
      <c r="D26" s="118" t="inlineStr">
        <is>
          <t>- User should be able to land on connect workers page</t>
        </is>
      </c>
      <c r="E26" s="69" t="inlineStr">
        <is>
          <t>Pass</t>
        </is>
      </c>
      <c r="F26" s="73" t="n"/>
      <c r="G26" s="73" t="inlineStr">
        <is>
          <t>Automated: test_olp_list_behaviour (Active workers count cell)</t>
        </is>
      </c>
    </row>
    <row r="27">
      <c r="A27" s="73" t="inlineStr">
        <is>
          <t>OLP_28</t>
        </is>
      </c>
      <c r="B27" s="118" t="inlineStr">
        <is>
          <t>Verify when user click on the number under "Total deliveries" column, user should land on the delivery tab [PM user]</t>
        </is>
      </c>
      <c r="C27" s="118" t="inlineStr">
        <is>
          <t>1. Login to CCC web UI
2. Navigate to opportunity list page
3. Click on the count under "Total deliveries" column</t>
        </is>
      </c>
      <c r="D27" s="118" t="inlineStr">
        <is>
          <t>- User should be able to land on delivery tab and view the pending approvals</t>
        </is>
      </c>
      <c r="E27" s="69" t="inlineStr">
        <is>
          <t>Pass</t>
        </is>
      </c>
      <c r="F27" s="73" t="n"/>
      <c r="G27" s="73" t="inlineStr">
        <is>
          <t>Automated: test_olp_list_behaviour (Total Deliveries drill-down)</t>
        </is>
      </c>
    </row>
    <row r="28">
      <c r="A28" s="73" t="inlineStr">
        <is>
          <t>OLP_29</t>
        </is>
      </c>
      <c r="B28" s="118" t="inlineStr">
        <is>
          <t>Verify when user click on the number under "Verified deliveries" column, user should land on the delivery tab [PM user]</t>
        </is>
      </c>
      <c r="C28" s="118" t="inlineStr">
        <is>
          <t>1. Login to CCC web UI
2. Navigate to opportunity list page
3. Click on the count under "Verified deliveries" column</t>
        </is>
      </c>
      <c r="D28" s="118" t="inlineStr">
        <is>
          <t xml:space="preserve">- User should be able to land on delivery tab </t>
        </is>
      </c>
      <c r="E28" s="69" t="inlineStr">
        <is>
          <t>Pass</t>
        </is>
      </c>
      <c r="F28" s="73" t="n"/>
      <c r="G28" s="73" t="inlineStr">
        <is>
          <t>Automated: test_olp_list_behaviour (Verified Deliveries drill-down)</t>
        </is>
      </c>
    </row>
    <row r="29">
      <c r="A29" s="73" t="inlineStr">
        <is>
          <t>OLP_30</t>
        </is>
      </c>
      <c r="B29" s="118" t="inlineStr">
        <is>
          <t>Verify when user click on the amount under "Worker Earnings" column, user should land on the payment tab [PM user]</t>
        </is>
      </c>
      <c r="C29" s="118" t="inlineStr">
        <is>
          <t>1. Login to CCC web UI
2. Navigate to opportunity list page
3. Click on the count under "Worker Earnings" column</t>
        </is>
      </c>
      <c r="D29" s="118" t="inlineStr">
        <is>
          <t xml:space="preserve">- User should be able to land on the payments tab </t>
        </is>
      </c>
      <c r="E29" s="69" t="inlineStr">
        <is>
          <t>Pass</t>
        </is>
      </c>
      <c r="F29" s="73" t="n"/>
      <c r="G29" s="73" t="inlineStr">
        <is>
          <t>Automated: test_olp_list_behaviour (Worker Earnings drill-down)</t>
        </is>
      </c>
    </row>
  </sheetData>
  <conditionalFormatting sqref="E2:E29">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29" showDropDown="0" showInputMessage="0" showErrorMessage="1" allowBlank="1" type="list">
      <formula1>"Pass,Fail,N/A,Blocking"</formula1>
    </dataValidation>
  </dataValidations>
  <hyperlinks>
    <hyperlink xmlns:r="http://schemas.openxmlformats.org/officeDocument/2006/relationships" ref="C2" r:id="rId1"/>
  </hyperlink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I49"/>
  <sheetViews>
    <sheetView workbookViewId="0">
      <selection activeCell="A1" sqref="A1"/>
    </sheetView>
  </sheetViews>
  <sheetFormatPr baseColWidth="8" defaultColWidth="12.63" defaultRowHeight="15.75" customHeight="1"/>
  <cols>
    <col width="41.5" customWidth="1" style="148" min="2" max="2"/>
    <col width="49" customWidth="1" style="148" min="3" max="3"/>
    <col width="53.5" customWidth="1" style="148" min="4" max="4"/>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c r="H1" s="123" t="n"/>
      <c r="I1" s="123" t="n"/>
    </row>
    <row r="2">
      <c r="A2" s="58" t="inlineStr">
        <is>
          <t>OD_1</t>
        </is>
      </c>
      <c r="B2" s="68" t="inlineStr">
        <is>
          <t>Confirm user lands on the opportunity dashboard page when they select any opportunity</t>
        </is>
      </c>
      <c r="C2" s="68" t="inlineStr">
        <is>
          <t>1. Login to CCC web UI
2. Navigate to opportunity list page
3. Click on any opportunity</t>
        </is>
      </c>
      <c r="D2" s="68" t="inlineStr">
        <is>
          <t>- User should land on the opportunity dashboard</t>
        </is>
      </c>
      <c r="E2" s="66" t="n"/>
      <c r="F2" s="123" t="n"/>
      <c r="G2" s="123" t="n"/>
      <c r="H2" s="123" t="n"/>
      <c r="I2" s="123" t="n"/>
    </row>
    <row r="3">
      <c r="A3" s="58" t="inlineStr">
        <is>
          <t>OD_2</t>
        </is>
      </c>
      <c r="B3" s="68" t="inlineStr">
        <is>
          <t xml:space="preserve">Confirm user can see the opportunity details on the dashboard page </t>
        </is>
      </c>
      <c r="C3" s="68" t="n"/>
      <c r="D3" s="68" t="inlineStr">
        <is>
          <t xml:space="preserve">User should be able to all the necessary correct information
- Start &amp; End Date 
- Total Workers invited
- Count of inactive workers in the past 3 days
- Total Deliveries
- View progress map
- Tasks assigned to connect workers
- Audit opportunity 
- Total payment earned and due 
User should also be able to see the progress funnel and delivery progress graphs </t>
        </is>
      </c>
      <c r="E3" s="66" t="n"/>
      <c r="F3" s="123" t="n"/>
      <c r="G3" s="123" t="n"/>
      <c r="H3" s="123" t="n"/>
      <c r="I3" s="123" t="n"/>
    </row>
    <row r="4">
      <c r="A4" s="58" t="inlineStr">
        <is>
          <t>OD_3</t>
        </is>
      </c>
      <c r="B4" s="68" t="inlineStr">
        <is>
          <t xml:space="preserve">Confirm user can analyse how many workers were actually invited and continuing to deliver </t>
        </is>
      </c>
      <c r="C4" s="68" t="inlineStr">
        <is>
          <t>1. Login to CCC web UI
2.Go to opportunity list page
3. Select any opportunity
4. Navigate to opportunity dashboard
5. Verify count for connnect workers - invited, Inactive, tasks assigned to workers</t>
        </is>
      </c>
      <c r="D4" s="68" t="inlineStr">
        <is>
          <t xml:space="preserve">User should see following information under workers section 
- Connect workers button: User should land on connect workers page upon clicking on connect workers button
- Inactive last 3 days 
- Tasks assigned to connect workers
</t>
        </is>
      </c>
      <c r="E4" s="66" t="n"/>
      <c r="F4" s="123" t="n"/>
      <c r="G4" s="123" t="n"/>
      <c r="H4" s="123" t="n"/>
      <c r="I4" s="123" t="n"/>
    </row>
    <row r="5">
      <c r="A5" s="58" t="inlineStr">
        <is>
          <t>OD_4</t>
        </is>
      </c>
      <c r="B5" s="68" t="inlineStr">
        <is>
          <t xml:space="preserve">Verify user see the all the information related to the deliveries under "Service Deliveries" section </t>
        </is>
      </c>
      <c r="C5" s="68" t="inlineStr">
        <is>
          <t>1. Login to CCC web UI
2.Go to opportunity list page
3. Select any opportunity
4. Navigate to opportunity dashboard
5. Click on "services deliverd" button
6. You will land on the delivery tab</t>
        </is>
      </c>
      <c r="D5" s="68" t="inlineStr">
        <is>
          <t xml:space="preserve">Following information should be getting displayed under Deliveries section in boxes and progress bars:
- Status 
- Name
- Last delivery timestamp that updates dynamically
- Delivery progress
- Payment unit
- Delivered
- Approved
- Rejected
</t>
        </is>
      </c>
      <c r="E5" s="66" t="n"/>
      <c r="F5" s="123" t="n"/>
      <c r="G5" s="123" t="n"/>
      <c r="H5" s="123" t="n"/>
      <c r="I5" s="123" t="n"/>
    </row>
    <row r="6">
      <c r="A6" s="58" t="inlineStr">
        <is>
          <t>OD_5</t>
        </is>
      </c>
      <c r="B6" s="68" t="inlineStr">
        <is>
          <t>Verify user can see all the payment related information under "Payments to Workers" section</t>
        </is>
      </c>
      <c r="C6" s="68" t="inlineStr">
        <is>
          <t>1. Login to CCC web UI
2.Go to opportunity list page
3. Select any opportunity
4. Navigate to opportunity dashboard
5. Click on "payments earned" button
6. You will land on the payments tab</t>
        </is>
      </c>
      <c r="D6" s="68" t="inlineStr">
        <is>
          <t>Following information should be displayed under payments section in boxes and progress: 
- Last Payment date
- Total Budget (should match top panel number)
- Worker Earned amount
- Worker Payments due
Following details should be shown under payments tab:
- Status 
- Name
- Last active
- Accrued
- Total Paid
- Last Paid
- Confirm</t>
        </is>
      </c>
      <c r="E6" s="66" t="n"/>
      <c r="F6" s="123" t="n"/>
      <c r="G6" s="123" t="n"/>
      <c r="H6" s="123" t="n"/>
      <c r="I6" s="123" t="n"/>
    </row>
    <row r="7">
      <c r="A7" s="58" t="inlineStr">
        <is>
          <t>OD_6</t>
        </is>
      </c>
      <c r="B7" s="68" t="inlineStr">
        <is>
          <t xml:space="preserve">Confirm user can click on the hamburger option on the opportunity dashboard page and see different options </t>
        </is>
      </c>
      <c r="C7" s="68" t="inlineStr">
        <is>
          <t>1. Login to CCC web UI
2.Go to opportunity list page
3. Select any opportunity
4. Navigate to opportunity dashboard
5. Click on the hamburger option</t>
        </is>
      </c>
      <c r="D7" s="68" t="inlineStr">
        <is>
          <t>User should see the following options when they click on the hamburger option
- Edit opportunity
- Add payment unit
- View Invoices 
- Catchment Areas 
- Add Workers 
- Add Worker Budget 
- Verification Flags 
- Send Message
- Configure task types</t>
        </is>
      </c>
      <c r="E7" s="66" t="n"/>
      <c r="F7" s="123" t="n"/>
      <c r="G7" s="123" t="n"/>
      <c r="H7" s="123" t="n"/>
      <c r="I7" s="123" t="n"/>
    </row>
    <row r="8">
      <c r="A8" s="58" t="inlineStr">
        <is>
          <t>OD_7</t>
        </is>
      </c>
      <c r="B8" s="68" t="inlineStr">
        <is>
          <t xml:space="preserve">Confirm user is taken to the verification flag on selecting "Verification Flags" option  </t>
        </is>
      </c>
      <c r="C8" s="68" t="inlineStr">
        <is>
          <t>Continue from above TC
- Select verification flags from hamburger option</t>
        </is>
      </c>
      <c r="D8" s="68" t="inlineStr">
        <is>
          <t>- User should see the verification flags page, when they select "Verification Flags" option
- Program Manager should see all the verification flags and should be able to edit/configure them 
Following verification rules are shown:
- Start and end time of vists submission
- Minium time should be taken to submit a visit
- Form validation rules
If submitted visit doesn't satisfy the above verification rules, automatically visit should get rejected</t>
        </is>
      </c>
      <c r="E8" s="66" t="n"/>
      <c r="F8" s="123" t="n"/>
      <c r="G8" s="123" t="n"/>
      <c r="H8" s="123" t="n"/>
      <c r="I8" s="123" t="n"/>
    </row>
    <row r="9">
      <c r="A9" s="58" t="inlineStr">
        <is>
          <t>OD_8</t>
        </is>
      </c>
      <c r="B9" s="68" t="inlineStr">
        <is>
          <t>Confirm user is able to send message using send message option</t>
        </is>
      </c>
      <c r="C9" s="68" t="inlineStr">
        <is>
          <t>1. Login to CCC web Ui
2. Go to opp dahsboard
3.Click on hamburger option &gt;&gt; send message
4. Select the users you want to send message
5. Enter the message &gt;&gt; Click confirm</t>
        </is>
      </c>
      <c r="D9" s="68" t="inlineStr">
        <is>
          <t>- User should be able to send message to send message 
- User should recieve push notification in mobile
- User should see a message sent in notification history</t>
        </is>
      </c>
      <c r="E9" s="66" t="n"/>
      <c r="F9" s="123" t="n"/>
      <c r="G9" s="123" t="inlineStr">
        <is>
          <t>AUTOMATION: Web part automated (Send Message page reachable) - PR #38, tests/test_opd_budget.py::test_opd_08_send_message_page. MOBILE HALF NOT AUTOMATED (push notification on device + notification history) - out of web/Playwright scope; needs a Maestro mobile hybrid test (device signs in as the enrolled worker after the web send, like TASKING_HYBRID / test_e2e_relearn_lifecycle). Prereqs: enrolled mobile worker on the opp, BrowserStack/Appium, a new Maestro flow; runs @on_demand.</t>
        </is>
      </c>
      <c r="H9" s="123" t="n"/>
      <c r="I9" s="123" t="n"/>
    </row>
    <row r="10">
      <c r="A10" s="58" t="inlineStr">
        <is>
          <t>OD_9</t>
        </is>
      </c>
      <c r="B10" s="68" t="inlineStr">
        <is>
          <t xml:space="preserve">Confirm user is redirected to Add Workers page when they click on the Add Workers option </t>
        </is>
      </c>
      <c r="C10" s="68" t="inlineStr">
        <is>
          <t>Two ways to add connect workers:
1. Navigate to opp dashboard
    Click on hamburger options
    Select Add connect workers option
2.On opp dashboard, select connect workers button
    Select  "+" on connect workers tab</t>
        </is>
      </c>
      <c r="D10" s="68" t="inlineStr">
        <is>
          <t>- User should be redirected to a new page where they should see an input field and add workers to the opportunity</t>
        </is>
      </c>
      <c r="E10" s="66" t="n"/>
      <c r="F10" s="123" t="n"/>
      <c r="G10" s="123" t="inlineStr">
        <is>
          <t>AUTOMATION: Automated - PR #38, test_opd_budget.py::test_opd_09_add_connect_workers_redirect (redirects to user_invite; #id_users present).</t>
        </is>
      </c>
      <c r="H10" s="123" t="n"/>
      <c r="I10" s="123" t="n"/>
    </row>
    <row r="11">
      <c r="A11" s="58" t="inlineStr">
        <is>
          <t>OD_10</t>
        </is>
      </c>
      <c r="B11" s="68" t="inlineStr">
        <is>
          <t>Verify user is able to add budget for existing workers using add budget option</t>
        </is>
      </c>
      <c r="C11" s="68" t="inlineStr">
        <is>
          <t>1. Login to CCC web UI
2. Navigate to Opp dashboard &gt;&gt; Hamburger option
3. Click on Add budget
4. Under existing workers tab, select the workers you want to add the budget
5. Enter the no.of visits and select to increase or decerase the visits
6. Extend the opportunity date if you want</t>
        </is>
      </c>
      <c r="D11" s="68" t="inlineStr">
        <is>
          <t>- User should be able to add the budget and visits for exisiting workers</t>
        </is>
      </c>
      <c r="E11" s="66" t="n"/>
      <c r="F11" s="123" t="n"/>
      <c r="G11" s="123" t="inlineStr">
        <is>
          <t>AUTOMATION: Automated - PR #38, test_opd_budget_mutations.py::test_opd_10 (increase visits; Max Visits reflects; mutate-then-revert on the dedicated staging Add Budget opp; net-zero).</t>
        </is>
      </c>
      <c r="H11" s="123" t="n"/>
      <c r="I11" s="123" t="n"/>
    </row>
    <row r="12">
      <c r="A12" s="58" t="inlineStr">
        <is>
          <t>OD_11</t>
        </is>
      </c>
      <c r="B12" s="68" t="inlineStr">
        <is>
          <t xml:space="preserve">Verify user is able to increase the visits for existing workers </t>
        </is>
      </c>
      <c r="C12" s="68" t="inlineStr">
        <is>
          <t>1. Login to CCC web UI
2. Navigate to Opp dashboard &gt;&gt; Hamburger option
3. Click on Add budget
4. Under existing workers tab, select the workers you want to increase the visits
5. Enter the no.of visits and select  "increase"  option
6. Click save</t>
        </is>
      </c>
      <c r="D12" s="68" t="inlineStr">
        <is>
          <t>The user’s total max visits should increase proportionally across all payment units (i.e., change × number of payment units).</t>
        </is>
      </c>
      <c r="E12" s="66" t="n"/>
      <c r="F12" s="123" t="n"/>
      <c r="G12" s="123" t="inlineStr">
        <is>
          <t>AUTOMATION: Automated - PR #38, test_opd_budget_mutations.py::test_opd_11_increase_visits_proportional (delta = N x payment units; net-zero).</t>
        </is>
      </c>
      <c r="H12" s="123" t="n"/>
      <c r="I12" s="123" t="n"/>
    </row>
    <row r="13">
      <c r="A13" s="58" t="inlineStr">
        <is>
          <t>OD_12</t>
        </is>
      </c>
      <c r="B13" s="68" t="inlineStr">
        <is>
          <t xml:space="preserve">Verify user is able to increase the visits for existing workers </t>
        </is>
      </c>
      <c r="C13" s="68" t="inlineStr">
        <is>
          <t>1. Login to CCC web UI
2. Navigate to Opp dashboard &gt;&gt; Hamburger option
3. Click on Add budget
4. Under existing workers tab, select the workers you want to decrease the visits
5. Enter the no.of visits and select to "decerase" option
6. Click save</t>
        </is>
      </c>
      <c r="D13" s="68" t="inlineStr">
        <is>
          <t>The user’s total max visits should decrease proportionally across all payment units (i.e., change × number of payment units).</t>
        </is>
      </c>
      <c r="E13" s="66" t="n"/>
      <c r="F13" s="123" t="n"/>
      <c r="G13" s="123" t="inlineStr">
        <is>
          <t>AUTOMATION: Automated - PR #38, test_opd_budget_mutations.py::test_opd_12_decrease_visits_proportional (net-zero increase-then-decrease).</t>
        </is>
      </c>
      <c r="H13" s="123" t="n"/>
      <c r="I13" s="123" t="n"/>
    </row>
    <row r="14">
      <c r="A14" s="58" t="inlineStr">
        <is>
          <t>OD_13</t>
        </is>
      </c>
      <c r="B14" s="68" t="inlineStr">
        <is>
          <t>Verify error pop up is displayed by entering negative numbers in the visits field</t>
        </is>
      </c>
      <c r="C14" s="68" t="inlineStr">
        <is>
          <t>1. Login to CCC web UI
2. Navigate to Opp dashboard &gt;&gt; Hamburger option
3. Click on Add bduget option
4. Enter the negative number in visits field
5. Click Save</t>
        </is>
      </c>
      <c r="D14" s="68" t="inlineStr">
        <is>
          <t>- The following error message is displayed
"Value must be greater than or equal to 1"</t>
        </is>
      </c>
      <c r="E14" s="66" t="n"/>
      <c r="F14" s="123" t="n"/>
      <c r="G14" s="123" t="inlineStr">
        <is>
          <t>AUTOMATION: Automated - PR #38, test_opd_budget.py::test_opd_13_negative_visits_validation (number_of_visits min=1 via browser ValidityState).</t>
        </is>
      </c>
      <c r="H14" s="123" t="n"/>
      <c r="I14" s="123" t="n"/>
    </row>
    <row r="15">
      <c r="A15" s="58" t="inlineStr">
        <is>
          <t>OD_14</t>
        </is>
      </c>
      <c r="B15" s="68" t="inlineStr">
        <is>
          <t>Confirm user is not able decrease the completed visits</t>
        </is>
      </c>
      <c r="C15" s="68" t="inlineStr">
        <is>
          <t>1. Login to CCC web UI
2. Navigate to Opp dashboard &gt;&gt; Hamburger menu &gt;&gt; Add budget
3. Enter the number of visits including the completed count &gt;&gt; Click save</t>
        </is>
      </c>
      <c r="D15" s="68" t="inlineStr">
        <is>
          <t>- User should be not able to decrease the completed visits and following error message is displayed:
"Cannot decrease the number of visits for user(s). The visit count cannot be reduced below the number of already completed visits or zero"</t>
        </is>
      </c>
      <c r="E15" s="66" t="n"/>
      <c r="F15" s="123" t="n"/>
      <c r="G15" s="123" t="inlineStr">
        <is>
          <t>AUTOMATION: Automated - PR #38, test_opd_budget_mutations.py::test_opd_14 (decrease below completed/zero rejected with 'Cannot decrease...' error; no change). Exercised via a below-zero decrease (same validation/message); the exact below-COMPLETED path additionally needs a worker with completed visits.</t>
        </is>
      </c>
      <c r="H15" s="123" t="n"/>
      <c r="I15" s="123" t="n"/>
    </row>
    <row r="16">
      <c r="A16" s="58" t="inlineStr">
        <is>
          <t>OD_15</t>
        </is>
      </c>
      <c r="B16" s="68" t="inlineStr">
        <is>
          <t>Verify that changes to delivery visits are correctly reflected on the Connect Workers page and on mobile.</t>
        </is>
      </c>
      <c r="C16" s="68" t="inlineStr">
        <is>
          <t>1. Login to CCC web Ui
2. Hamuburger option &gt;&gt; Add budget
3. Add visits and budget to the worker &gt;&gt; save</t>
        </is>
      </c>
      <c r="D16" s="68" t="inlineStr">
        <is>
          <t>- Applied visit changes are updated on the connect workers page</t>
        </is>
      </c>
      <c r="E16" s="66" t="n"/>
      <c r="F16" s="123" t="n"/>
      <c r="G16" s="123" t="inlineStr">
        <is>
          <t>AUTOMATION: Web reflection automated (Connect Workers/Deliver max-visit denominators) - PR #38, test_opd_budget_mutations.py::test_opd_15_change_reflected_on_connect_workers. MOBILE REFLECTION NOT AUTOMATED (updated visit count on the device) - out of web scope; needs the same Maestro mobile hybrid follow-up as OD_8.</t>
        </is>
      </c>
      <c r="H16" s="123" t="n"/>
      <c r="I16" s="123" t="n"/>
    </row>
    <row r="17">
      <c r="A17" s="58" t="inlineStr">
        <is>
          <t>OD_16</t>
        </is>
      </c>
      <c r="B17" s="68" t="inlineStr">
        <is>
          <t>Verify that the pop-up modal displays the correct amount and number of visits based on user changes.</t>
        </is>
      </c>
      <c r="C17" s="68" t="inlineStr">
        <is>
          <t>1. Login to CCC web Ui
2. Hamuburger option &gt;&gt; Add budget
3. Add visits and budget to the worker &gt;&gt; save
4. Pop up modal is displayed &gt;&gt; click confirm</t>
        </is>
      </c>
      <c r="D17" s="68" t="inlineStr">
        <is>
          <t>- Pop up modal displays the correct amount and no.of visits based on user changes</t>
        </is>
      </c>
      <c r="E17" s="66" t="n"/>
      <c r="F17" s="123" t="n"/>
      <c r="G17" s="123" t="inlineStr">
        <is>
          <t>AUTOMATION: Automated - PR #38, test_opd_budget.py::test_opd_16_confirm_modal_shows_computed_visits (totalVisits shown in the confirm modal; no submit).</t>
        </is>
      </c>
      <c r="H17" s="123" t="n"/>
      <c r="I17" s="123" t="n"/>
    </row>
    <row r="18">
      <c r="A18" s="58" t="inlineStr">
        <is>
          <t>OD_17</t>
        </is>
      </c>
      <c r="B18" s="68" t="inlineStr">
        <is>
          <t>Verify user is able to add budget for new connect workers using add budget option</t>
        </is>
      </c>
      <c r="C18" s="68" t="inlineStr">
        <is>
          <t>1. Login to CCC web UI
2. Navigate to opp dashboard &gt;&gt; hamburger menu &gt;&gt; Add budget
3. On add budget page, select new connect workers tab
4. Enter the no.of connect workers, you want to add 
5. Click save</t>
        </is>
      </c>
      <c r="D18" s="68" t="inlineStr">
        <is>
          <t>- Total budget should get auto updated upon entering the no.of connect workers
- User should be able to add budget for new connect workers</t>
        </is>
      </c>
      <c r="E18" s="66" t="n"/>
      <c r="F18" s="123" t="n"/>
      <c r="G18" s="123" t="inlineStr">
        <is>
          <t>AUTOMATION: Automated - PR #38, test_opd_budget.py::test_opd_17_new_workers_autocalc_total_budget (total_budget auto-updates with the new-worker count).</t>
        </is>
      </c>
      <c r="H18" s="123" t="n"/>
      <c r="I18" s="123" t="n"/>
    </row>
    <row r="19">
      <c r="A19" s="58" t="inlineStr">
        <is>
          <t>OD_18</t>
        </is>
      </c>
      <c r="B19" s="68" t="inlineStr">
        <is>
          <t xml:space="preserve">Verify user can view the learn &amp; deliver apps information on the dashboard </t>
        </is>
      </c>
      <c r="C19" s="68" t="inlineStr">
        <is>
          <t>1. Login to CCC web UI
2. Navigate to opp dashboard</t>
        </is>
      </c>
      <c r="D19" s="68" t="inlineStr">
        <is>
          <t xml:space="preserve">- On clicking the Learn Apps option on the opportunity user should see a pop up dialog box with the Learn App name and the modules being used  with description and estimated time to complete the learning 
- On the same dialog box user should see Delivery App and Payment units tab as well 
- Under Delivery App tab, user should see the delivery app name and all the delivery units with the delivery unit IDs
- The dialog box should be non-editable </t>
        </is>
      </c>
      <c r="E19" s="66" t="n"/>
      <c r="F19" s="123" t="n"/>
      <c r="G19" s="123" t="n"/>
      <c r="H19" s="123" t="n"/>
      <c r="I19" s="123" t="n"/>
    </row>
    <row r="20">
      <c r="A20" s="58" t="inlineStr">
        <is>
          <t>OD_19</t>
        </is>
      </c>
      <c r="B20" s="68" t="inlineStr">
        <is>
          <t xml:space="preserve">Verify user can see all the payments units information on the opportunity dashboard </t>
        </is>
      </c>
      <c r="C20" s="68" t="inlineStr">
        <is>
          <t>1. Login to CCC web UI
2. Navigate to opp dashboard</t>
        </is>
      </c>
      <c r="D20" s="68" t="inlineStr">
        <is>
          <t xml:space="preserve">On clicking the payment units option, under Payment Units tab, user should see all the payments units with the following details 
- Name 
- Start &amp; End Date 
- Amount 
- Total Deliveries 
- Max Daily
- Delivery Units </t>
        </is>
      </c>
      <c r="E20" s="66" t="n"/>
      <c r="F20" s="123" t="n"/>
      <c r="G20" s="123" t="n"/>
      <c r="H20" s="123" t="n"/>
      <c r="I20" s="123" t="n"/>
    </row>
    <row r="21">
      <c r="A21" s="58" t="inlineStr">
        <is>
          <t>OD_18</t>
        </is>
      </c>
      <c r="B21" s="118" t="inlineStr">
        <is>
          <t xml:space="preserve">Verify user pre filters are applied when we click on the following buttons:
- Inactive workers 
</t>
        </is>
      </c>
      <c r="C21" s="118" t="inlineStr">
        <is>
          <t xml:space="preserve">1. Login to CCC web UI
2. Navigate to opp dashboard
3. Click on the "Inactive workers" button
</t>
        </is>
      </c>
      <c r="D21" s="118" t="inlineStr">
        <is>
          <t xml:space="preserve">- User should be able to land on workers delivery page 
- Inactive filters should be pre applied </t>
        </is>
      </c>
      <c r="E21" s="66" t="n"/>
      <c r="F21" s="123" t="n"/>
      <c r="G21" s="123" t="n"/>
      <c r="H21" s="123" t="n"/>
      <c r="I21" s="123" t="n"/>
    </row>
    <row r="22">
      <c r="A22" s="188" t="inlineStr">
        <is>
          <t>OD_20</t>
        </is>
      </c>
      <c r="B22" s="189" t="inlineStr">
        <is>
          <t>Confirm the hamburger menu differs by role (PM vs Network Manager)</t>
        </is>
      </c>
      <c r="C22" s="189" t="inlineStr">
        <is>
          <t>1. Login as a Program Manager (PM_Automation_01)
2. Open an opportunity dashboard
3. Open the hamburger menu and note options
4. Repeat as a Network Manager on the same opportunity</t>
        </is>
      </c>
      <c r="D22" s="189" t="inlineStr">
        <is>
          <t>PM sees the full set incl. Edit Opportunity, Add Payment Unit, Verification Rules, Configure Task Types.
Network Manager sees only the non-PM subset (View Invoices, Catchment Areas, Add Budget, Send Message, and Add Connect Workers when not ended).</t>
        </is>
      </c>
      <c r="E22" s="188" t="inlineStr"/>
      <c r="F22" s="188" t="inlineStr"/>
      <c r="G22" s="189" t="inlineStr">
        <is>
          <t>Added from source-derived gap analysis (2026-08-26), beyond documented OD_1-OD_19. Src: opportunity_menu.html:13-65 (is_opportunity_pm gating). | AUTOMATION: Automated - PR #38, test_opd_gaps.py::test_opd_20 (NM view of the manual opp via nm_automation; PM-only menu items absent).</t>
        </is>
      </c>
    </row>
    <row r="23">
      <c r="A23" s="188" t="inlineStr">
        <is>
          <t>OD_21</t>
        </is>
      </c>
      <c r="B23" s="189" t="inlineStr">
        <is>
          <t>Confirm a Viewer has read-only access to the dashboard</t>
        </is>
      </c>
      <c r="C23" s="189" t="inlineStr">
        <is>
          <t>1. Login as a user with the VIEWER org role
2. Open an opportunity dashboard
3. Try to open the hamburger menu
4. Inspect worker-tab action buttons</t>
        </is>
      </c>
      <c r="D23" s="189" t="inlineStr">
        <is>
          <t>Dashboard and all stat panels load for the viewer.
The hamburger icon is non-interactive (menu cannot be opened).
Action controls (Add Worker, Resend Invite, Delete, Exports/Imports) are disabled.</t>
        </is>
      </c>
      <c r="E23" s="188" t="inlineStr"/>
      <c r="F23" s="188" t="inlineStr"/>
      <c r="G23" s="189" t="inlineStr">
        <is>
          <t>Added from source-derived gap analysis (2026-08-26), beyond documented OD_1-OD_19. Src: dashboard.html:33-40 (viewer icon has no @click); workers.html action gating. | AUTOMATION: Automated - PR #38, test_opd_gaps.py::test_opd_21 (VIEWER via direct Connect login - email/password, no HQ; loads a dashboard but cannot open the hamburger menu). Viewer creds in gitignored settings.cfg [viewer]; skips if absent.</t>
        </is>
      </c>
    </row>
    <row r="24">
      <c r="A24" s="188" t="inlineStr">
        <is>
          <t>OD_22</t>
        </is>
      </c>
      <c r="B24" s="189" t="inlineStr">
        <is>
          <t>Confirm a standalone (non-program-managed) opportunity hides PM-only menu items</t>
        </is>
      </c>
      <c r="C24" s="189" t="inlineStr">
        <is>
          <t>1. Open a standalone opportunity (not owned by a program-manager org)
2. Open the hamburger menu</t>
        </is>
      </c>
      <c r="D24" s="189" t="inlineStr">
        <is>
          <t>PM-only items (Edit Opportunity, Add Payment Unit, Verification Rules, Configure Task Types) are not shown because is_opportunity_pm is False for standalone opps.</t>
        </is>
      </c>
      <c r="E24" s="188" t="inlineStr"/>
      <c r="F24" s="188" t="inlineStr"/>
      <c r="G24" s="189" t="inlineStr">
        <is>
          <t>Added from source-derived gap analysis (2026-08-26), beyond documented OD_1-OD_19. Src: program/utils.py:5-19; users/middleware.py:36-52. | AUTOMATION: DEPRECATED - no standalone (non-program) opps exist; migrated to legacy program (Anshu 2026-09-04, pending Nitin confirm). Test skips.</t>
        </is>
      </c>
    </row>
    <row r="25">
      <c r="A25" s="188" t="inlineStr">
        <is>
          <t>OD_23</t>
        </is>
      </c>
      <c r="B25" s="189" t="inlineStr">
        <is>
          <t>Confirm an opportunity with incomplete setup redirects to Add Payment Units</t>
        </is>
      </c>
      <c r="C25" s="189" t="inlineStr">
        <is>
          <t>1. Open an opportunity whose setup is not complete (no payment units)
2. Navigate to its dashboard URL</t>
        </is>
      </c>
      <c r="D25" s="189" t="inlineStr">
        <is>
          <t>Instead of the dashboard, the user is redirected to the Add Payment Units page with a warning message.</t>
        </is>
      </c>
      <c r="E25" s="188" t="inlineStr"/>
      <c r="F25" s="188" t="inlineStr"/>
      <c r="G25" s="189" t="inlineStr">
        <is>
          <t>Added from source-derived gap analysis (2026-08-26), beyond documented OD_1-OD_19. Src: views.py:455-459 (is_setup_complete guard). | AUTOMATION: Automated - PR #38, test_opd_gaps.py::test_opd_23 (setup-incomplete opp redirects to Add Payment Units).</t>
        </is>
      </c>
    </row>
    <row r="26">
      <c r="A26" s="188" t="inlineStr">
        <is>
          <t>OD_24</t>
        </is>
      </c>
      <c r="B26" s="189" t="inlineStr">
        <is>
          <t>Confirm the status badge is correct for Active / Ended / Inactive opportunities</t>
        </is>
      </c>
      <c r="C26" s="189" t="inlineStr">
        <is>
          <t>1. Open an Active opportunity and read the status badge
2. Repeat for an ended opportunity (past end date) and an inactive one</t>
        </is>
      </c>
      <c r="D26" s="189" t="inlineStr">
        <is>
          <t>Badge reads Active (positive), Ended (warning) or Inactive (negative) matching the opportunity state.</t>
        </is>
      </c>
      <c r="E26" s="188" t="inlineStr"/>
      <c r="F26" s="188" t="inlineStr">
        <is>
          <t>Potential product risk</t>
        </is>
      </c>
      <c r="G26" s="189" t="inlineStr">
        <is>
          <t>Added from source-derived gap analysis (2026-08-26), beyond documented OD_1-OD_19. NOTE: 'Ended' branch reads raw object.active while 'Active' reads is_active property - verify an ended-but-active opp badges as intended. Src: dashboard.html:94-100.</t>
        </is>
      </c>
    </row>
    <row r="27">
      <c r="A27" s="188" t="inlineStr">
        <is>
          <t>OD_25</t>
        </is>
      </c>
      <c r="B27" s="189" t="inlineStr">
        <is>
          <t>Confirm an empty opportunity (0 workers/deliveries/payments) renders without errors</t>
        </is>
      </c>
      <c r="C27" s="189" t="inlineStr">
        <is>
          <t>1. Open a newly-created opportunity with no invited workers, deliveries or payments
2. Review all dashboard cards, progress bars and timestamps</t>
        </is>
      </c>
      <c r="D27" s="189" t="inlineStr">
        <is>
          <t>Counts render as 0, progress bars show 0% (no divide-by-zero), and 'Last Delivery'/'Last Payment' show '--'; no errors or blank panels.</t>
        </is>
      </c>
      <c r="E27" s="188" t="inlineStr"/>
      <c r="F27" s="188" t="inlineStr"/>
      <c r="G27" s="189" t="inlineStr">
        <is>
          <t>Added from source-derived gap analysis (2026-08-26), beyond documented OD_1-OD_19. Src: views.py:3051-3053 safe_percent; 3207-3213 fallbacks; 470-475 safe_display.</t>
        </is>
      </c>
    </row>
    <row r="28">
      <c r="A28" s="188" t="inlineStr">
        <is>
          <t>OD_26</t>
        </is>
      </c>
      <c r="B28" s="189" t="inlineStr">
        <is>
          <t>Confirm a Test opportunity (is_test) renders the Test badge and test theme</t>
        </is>
      </c>
      <c r="C28" s="189" t="inlineStr">
        <is>
          <t>1. Open an opportunity flagged as a test opportunity
2. Observe the header badge and card styling</t>
        </is>
      </c>
      <c r="D28" s="189" t="inlineStr">
        <is>
          <t>A 'Test' badge is shown and the dashboard uses the test visual theme (distinct card colours/separators).</t>
        </is>
      </c>
      <c r="E28" s="188" t="inlineStr"/>
      <c r="F28" s="188" t="inlineStr"/>
      <c r="G28" s="189" t="inlineStr">
        <is>
          <t>Added from source-derived gap analysis (2026-08-26), beyond documented OD_1-OD_19. Src: dashboard.html:5,27,32,90. | AUTOMATION: Automated - PR #38, test_opd_gaps.py::test_opd_26 (Test badge on an is_test opp; OLP Test opp).</t>
        </is>
      </c>
    </row>
    <row r="29">
      <c r="A29" s="188" t="inlineStr">
        <is>
          <t>OD_27</t>
        </is>
      </c>
      <c r="B29" s="189" t="inlineStr">
        <is>
          <t>Confirm currency values are formatted correctly across the dashboard</t>
        </is>
      </c>
      <c r="C29" s="189" t="inlineStr">
        <is>
          <t>1. Open an opportunity with a currency set
2. Compare Max Budget (basic details), the Worker Payments panel title, and the worker-progress earned/paid values</t>
        </is>
      </c>
      <c r="D29" s="189" t="inlineStr">
        <is>
          <t>All monetary values show the correct currency code and thousands separators consistently across the three surfaces.</t>
        </is>
      </c>
      <c r="E29" s="188" t="inlineStr"/>
      <c r="F29" s="188" t="inlineStr"/>
      <c r="G29" s="189" t="inlineStr">
        <is>
          <t>Added from source-derived gap analysis (2026-08-26), beyond documented OD_1-OD_19. Src: views.py:525, 3060-3061, 3211 (three currency-format paths).</t>
        </is>
      </c>
    </row>
    <row r="30">
      <c r="A30" s="188" t="inlineStr">
        <is>
          <t>OD_28</t>
        </is>
      </c>
      <c r="B30" s="189" t="inlineStr">
        <is>
          <t>Confirm MICROPLANNING flag controls the Work Areas tab and Progress Map</t>
        </is>
      </c>
      <c r="C30" s="189" t="inlineStr">
        <is>
          <t>1. Open an opportunity with the MICROPLANNING flag ON: check the worker Work Areas tab and 'View Progress Map'
2. Repeat with the flag OFF, and also request the work-areas URL directly</t>
        </is>
      </c>
      <c r="D30" s="189" t="inlineStr">
        <is>
          <t>Flag ON: Work Areas tab is present and View Progress Map opens microplanning.
Flag OFF: the Work Areas tab is absent and the direct work-areas URL returns 404.</t>
        </is>
      </c>
      <c r="E30" s="188" t="inlineStr"/>
      <c r="F30" s="188" t="inlineStr"/>
      <c r="G30" s="189" t="inlineStr">
        <is>
          <t>Added from source-derived gap analysis (2026-08-26), beyond documented OD_1-OD_19. Src: views.py:2646-2653, 2849-2852 (WorkerWorkAreaView 404). | AUTOMATION: Automated - PR #38, test_opd_gaps.py::test_opd_28 (MICROPLANNING opp: Work Area Assignments tab + work-areas URL 200; OLP Test opp).</t>
        </is>
      </c>
    </row>
    <row r="31">
      <c r="A31" s="188" t="inlineStr">
        <is>
          <t>OD_29</t>
        </is>
      </c>
      <c r="B31" s="189" t="inlineStr">
        <is>
          <t>Confirm the View Progress Map / Audit Opportunity / Tasks Assigned panels navigate correctly</t>
        </is>
      </c>
      <c r="C31" s="189" t="inlineStr">
        <is>
          <t>1. On the dashboard, click 'View Progress Map', 'Audit Opportunity' and 'Tasks Assigned to Connect Workers' panels in turn</t>
        </is>
      </c>
      <c r="D31" s="189" t="inlineStr">
        <is>
          <t>Each opens its target page (microplanning home, audit report list, assigned task list) and enforces access control (no unhandled error/403).</t>
        </is>
      </c>
      <c r="E31" s="188" t="inlineStr"/>
      <c r="F31" s="188" t="inlineStr">
        <is>
          <t>Potential product risk</t>
        </is>
      </c>
      <c r="G31" s="189" t="inlineStr">
        <is>
          <t>Added from source-derived gap analysis (2026-08-26), beyond documented OD_1-OD_19. NOTE: these links render on every opportunity with no MICROPLANNING guard - verify they don't 404/deny on non-microplanning opps. Src: views.py:3152-3201.</t>
        </is>
      </c>
    </row>
    <row r="32">
      <c r="A32" s="188" t="inlineStr">
        <is>
          <t>OD_30</t>
        </is>
      </c>
      <c r="B32" s="189" t="inlineStr">
        <is>
          <t>Confirm 24h increment badges appear only on Services Delivered and Payments Earned</t>
        </is>
      </c>
      <c r="C32" s="189" t="inlineStr">
        <is>
          <t>1. Open an opportunity with deliveries/payments in the last 24h
2. Inspect each stat panel for the increment badge</t>
        </is>
      </c>
      <c r="D32" s="189" t="inlineStr">
        <is>
          <t>An increment 'up-arrow' badge (with a 'last 24 hours' tooltip) shows on the Services Delivered and Payments Earned panels only; other panels show no increment.</t>
        </is>
      </c>
      <c r="E32" s="188" t="inlineStr"/>
      <c r="F32" s="188" t="inlineStr"/>
      <c r="G32" s="189" t="inlineStr">
        <is>
          <t>Added from source-derived gap analysis (2026-08-26), beyond documented OD_1-OD_19. Src: opportunity_delivery_stat.html:56-62; views.py:3150, 3223. | AUTOMATION: DESCOPED (Anshu+Akanksha 2026-09-04) - the '24h increment' badge needs deliveries/payments submitted in the last 24h; no standalone web test can keep that fresh and no daily cadence exists. Proper home is inside the delivery-submitting E2E test (test_e2e_relearn_lifecycle): assert the badge right after it submits a visit. Fold in if prioritised.</t>
        </is>
      </c>
    </row>
    <row r="33">
      <c r="A33" s="188" t="inlineStr">
        <is>
          <t>OD_31</t>
        </is>
      </c>
      <c r="B33" s="189" t="inlineStr">
        <is>
          <t>Confirm the Worker Progress Funnel shows all 7 stages with correct counts and tooltips</t>
        </is>
      </c>
      <c r="C33" s="189" t="inlineStr">
        <is>
          <t>1. Open an opportunity dashboard
2. Read each funnel stage count and hover its tooltip</t>
        </is>
      </c>
      <c r="D33" s="189" t="inlineStr">
        <is>
          <t>Seven stages render - Invited, Accepted, Started Learning, Completed Learning, Completed Assessment, Claimed Job, Started Delivery - with correct counts (Accepted = Invited - pending) and tooltips.</t>
        </is>
      </c>
      <c r="E33" s="188" t="inlineStr"/>
      <c r="F33" s="188" t="inlineStr"/>
      <c r="G33" s="189" t="inlineStr">
        <is>
          <t>Added from source-derived gap analysis (2026-08-26), beyond documented OD_1-OD_19. Src: views.py:2989-3037.</t>
        </is>
      </c>
    </row>
    <row r="34">
      <c r="A34" s="188" t="inlineStr">
        <is>
          <t>OD_32</t>
        </is>
      </c>
      <c r="B34" s="189" t="inlineStr">
        <is>
          <t>Confirm worker-progress bars show Approved/Rejected and Earned/Paid percentages with tooltips</t>
        </is>
      </c>
      <c r="C34" s="189" t="inlineStr">
        <is>
          <t>1. Open an opportunity with deliveries and payments
2. Inspect the worker-progress section bars and tooltips</t>
        </is>
      </c>
      <c r="D34" s="189" t="inlineStr">
        <is>
          <t>Bars show Approved/Rejected as % of total deliveries and Earned/Paid as % of budget/accrued, each with the correct percentage, badge and tooltip.</t>
        </is>
      </c>
      <c r="E34" s="188" t="inlineStr"/>
      <c r="F34" s="188" t="inlineStr"/>
      <c r="G34" s="189" t="inlineStr">
        <is>
          <t>Added from source-derived gap analysis (2026-08-26), beyond documented OD_1-OD_19. Src: views.py:3055-3116.</t>
        </is>
      </c>
    </row>
    <row r="35">
      <c r="A35" s="188" t="inlineStr">
        <is>
          <t>OD_33</t>
        </is>
      </c>
      <c r="B35" s="189" t="inlineStr">
        <is>
          <t>Confirm resource cards show live counts and open the modal on the correct tab</t>
        </is>
      </c>
      <c r="C35" s="189" t="inlineStr">
        <is>
          <t>1. On the dashboard, note the counts on the Learn App / Deliver App / Payment Units cards
2. Click each card</t>
        </is>
      </c>
      <c r="D35" s="189" t="inlineStr">
        <is>
          <t>Each card shows the live count and opens the resource modal pre-selected to the matching tab (Learn App / Deliver App / Payment Units).</t>
        </is>
      </c>
      <c r="E35" s="188" t="inlineStr"/>
      <c r="F35" s="188" t="inlineStr"/>
      <c r="G35" s="189" t="inlineStr">
        <is>
          <t>Added from source-derived gap analysis (2026-08-26), beyond documented OD_1-OD_19. Src: views.py:466-489; dashboard.html:58-69.</t>
        </is>
      </c>
    </row>
    <row r="36">
      <c r="A36" s="188" t="inlineStr">
        <is>
          <t>OD_34</t>
        </is>
      </c>
      <c r="B36" s="189" t="inlineStr">
        <is>
          <t>Confirm Edit Opportunity, Add Payment Unit and Configure Task Types open (PM)</t>
        </is>
      </c>
      <c r="C36" s="189" t="inlineStr">
        <is>
          <t>1. As PM, open the hamburger menu
2. Click Edit Opportunity, then Add Payment Unit, then Configure Task Types</t>
        </is>
      </c>
      <c r="D36" s="189" t="inlineStr">
        <is>
          <t>Each option opens its respective PM configuration page.</t>
        </is>
      </c>
      <c r="E36" s="188" t="inlineStr"/>
      <c r="F36" s="188" t="inlineStr"/>
      <c r="G36" s="189" t="inlineStr">
        <is>
          <t>Added from source-derived gap analysis (2026-08-26), beyond documented OD_1-OD_19. Src: opportunity_menu.html:15,19,62.</t>
        </is>
      </c>
    </row>
    <row r="37">
      <c r="A37" s="188" t="inlineStr">
        <is>
          <t>OD_35</t>
        </is>
      </c>
      <c r="B37" s="189" t="inlineStr">
        <is>
          <t>Confirm View Invoices opens the invoice list for all roles</t>
        </is>
      </c>
      <c r="C37" s="189" t="inlineStr">
        <is>
          <t>1. Open the hamburger menu (any role)
2. Click View Invoices</t>
        </is>
      </c>
      <c r="D37" s="189" t="inlineStr">
        <is>
          <t>The invoice list page opens for PM and non-PM members; PM additionally sees the invoice-ticket link.</t>
        </is>
      </c>
      <c r="E37" s="188" t="inlineStr"/>
      <c r="F37" s="188" t="inlineStr"/>
      <c r="G37" s="189" t="inlineStr">
        <is>
          <t>Added from source-derived gap analysis (2026-08-26), beyond documented OD_1-OD_19. Src: opportunity_menu.html:24; views.py:1789.</t>
        </is>
      </c>
    </row>
    <row r="38">
      <c r="A38" s="188" t="inlineStr">
        <is>
          <t>OD_36</t>
        </is>
      </c>
      <c r="B38" s="189" t="inlineStr">
        <is>
          <t>Confirm Catchment Areas import validates columns and export downloads a file</t>
        </is>
      </c>
      <c r="C38" s="189" t="inlineStr">
        <is>
          <t>1. Open hamburger &gt;&gt; Catchment Areas &gt;&gt; Import; upload a file missing required columns
2. Then use Export</t>
        </is>
      </c>
      <c r="D38" s="189" t="inlineStr">
        <is>
          <t>Import rejects/validates against required columns (Area Name, Active, Latitude, Longitude, Site code, Radius); Export downloads the catchment file.</t>
        </is>
      </c>
      <c r="E38" s="188" t="inlineStr"/>
      <c r="F38" s="188" t="inlineStr"/>
      <c r="G38" s="189" t="inlineStr">
        <is>
          <t>Added from source-derived gap analysis (2026-08-26), beyond documented OD_1-OD_19. Src: opportunity_menu.html:27-39; dashboard.html:111-114. | AUTOMATION: Automated - PR #38, tests/test_opd_exports.py (catchment Export queues a background task; Import with missing columns rejected). Non-mutating.</t>
        </is>
      </c>
    </row>
    <row r="39">
      <c r="A39" s="188" t="inlineStr">
        <is>
          <t>OD_37</t>
        </is>
      </c>
      <c r="B39" s="189" t="inlineStr">
        <is>
          <t>Confirm Add Connect Workers is hidden when the opportunity has ended</t>
        </is>
      </c>
      <c r="C39" s="189" t="inlineStr">
        <is>
          <t>1. Open an ended opportunity's hamburger menu</t>
        </is>
      </c>
      <c r="D39" s="189" t="inlineStr">
        <is>
          <t>The 'Add Connect Workers' option is not shown for an ended opportunity.</t>
        </is>
      </c>
      <c r="E39" s="188" t="inlineStr"/>
      <c r="F39" s="188" t="inlineStr"/>
      <c r="G39" s="189" t="inlineStr">
        <is>
          <t>Added from source-derived gap analysis (2026-08-26), beyond documented OD_1-OD_19. Src: opportunity_menu.html:40 (has_ended). | AUTOMATION: Automated - PR #38, test_opd_gaps.py::test_opd_37 (Add Connect Workers hidden when Ended). Self-skips until the fixture opp's end date passes.</t>
        </is>
      </c>
    </row>
    <row r="40">
      <c r="A40" s="188" t="inlineStr">
        <is>
          <t>OD_38</t>
        </is>
      </c>
      <c r="B40" s="189" t="inlineStr">
        <is>
          <t>Confirm the Learn tab shows learn columns and per-worker learn progress</t>
        </is>
      </c>
      <c r="C40" s="189" t="inlineStr">
        <is>
          <t>1. Open the opportunity &gt;&gt; Connect Workers &gt;&gt; Learn tab</t>
        </is>
      </c>
      <c r="D40" s="189" t="inlineStr">
        <is>
          <t>The Learn tab lists workers with learn columns (Started/Completed Learning, modules completed, assessment, attempts, learning hours) and per-worker learn history.</t>
        </is>
      </c>
      <c r="E40" s="188" t="inlineStr"/>
      <c r="F40" s="188" t="inlineStr"/>
      <c r="G40" s="189" t="inlineStr">
        <is>
          <t>Added from source-derived gap analysis (2026-08-26), beyond documented OD_1-OD_19. Src: views.py:2590-2596; tables.py:1366.</t>
        </is>
      </c>
    </row>
    <row r="41">
      <c r="A41" s="188" t="inlineStr">
        <is>
          <t>OD_39</t>
        </is>
      </c>
      <c r="B41" s="189" t="inlineStr">
        <is>
          <t>Confirm the Tasks tab shows task columns and its filters</t>
        </is>
      </c>
      <c r="C41" s="189" t="inlineStr">
        <is>
          <t>1. Open the opportunity &gt;&gt; Tasks tab
2. Apply the worker-name, task-status, task-type and date-range filters</t>
        </is>
      </c>
      <c r="D41" s="189" t="inlineStr">
        <is>
          <t>The Tasks tab lists tasks with the correct columns and each filter narrows the results as expected.</t>
        </is>
      </c>
      <c r="E41" s="188" t="inlineStr"/>
      <c r="F41" s="188" t="inlineStr"/>
      <c r="G41" s="189" t="inlineStr">
        <is>
          <t>Added from source-derived gap analysis (2026-08-26), beyond documented OD_1-OD_19. Src: views.py:2590-2596; filters.py:166-200; tables.py:1333.</t>
        </is>
      </c>
    </row>
    <row r="42">
      <c r="A42" s="188" t="inlineStr">
        <is>
          <t>OD_40</t>
        </is>
      </c>
      <c r="B42" s="189" t="inlineStr">
        <is>
          <t>Confirm the Connect Workers tab count and the worker search</t>
        </is>
      </c>
      <c r="C42" s="189" t="inlineStr">
        <is>
          <t>1. Open the Connect Workers tab and note the '(N)' count in the tab label
2. Search by name/phone in the search box and use the clear button</t>
        </is>
      </c>
      <c r="D42" s="189" t="inlineStr">
        <is>
          <t>The tab label shows the live worker count; search filters the table, shows a 'Displaying X of Y' line, and the clear button restores the full list.</t>
        </is>
      </c>
      <c r="E42" s="188" t="inlineStr"/>
      <c r="F42" s="188" t="inlineStr"/>
      <c r="G42" s="189" t="inlineStr">
        <is>
          <t>Added from source-derived gap analysis (2026-08-26), beyond documented OD_1-OD_19. Src: views.py:2640-2641, 2707-2723; workers.html:10-33.</t>
        </is>
      </c>
    </row>
    <row r="43">
      <c r="A43" s="188" t="inlineStr">
        <is>
          <t>OD_41</t>
        </is>
      </c>
      <c r="B43" s="189" t="inlineStr">
        <is>
          <t>Confirm per-tab filters persist across tab navigation</t>
        </is>
      </c>
      <c r="C43" s="189" t="inlineStr">
        <is>
          <t>1. Apply a filter on the Deliver tab
2. Switch to another tab and back
3. Then re-enter the workers area from elsewhere</t>
        </is>
      </c>
      <c r="D43" s="189" t="inlineStr">
        <is>
          <t>The applied filter is retained per tab while navigating between tabs, and is cleared when the workers area is entered from an external page.</t>
        </is>
      </c>
      <c r="E43" s="188" t="inlineStr"/>
      <c r="F43" s="188" t="inlineStr"/>
      <c r="G43" s="189" t="inlineStr">
        <is>
          <t>Added from source-derived gap analysis (2026-08-26), beyond documented OD_1-OD_19. Src: views.py:2598-2637 (session/referer-based filter persistence).</t>
        </is>
      </c>
    </row>
    <row r="44">
      <c r="A44" s="188" t="inlineStr">
        <is>
          <t>OD_42</t>
        </is>
      </c>
      <c r="B44" s="189" t="inlineStr">
        <is>
          <t>Confirm the Deliver tab filters behave correctly</t>
        </is>
      </c>
      <c r="C44" s="189" t="inlineStr">
        <is>
          <t>1. Open the Deliver tab
2. Apply each filter: last_active (1/3/7 days), has_duplicates, has_flags, has_overlimit, review_pending</t>
        </is>
      </c>
      <c r="D44" s="189" t="inlineStr">
        <is>
          <t>Each filter narrows the delivery list according to its criterion.</t>
        </is>
      </c>
      <c r="E44" s="188" t="inlineStr"/>
      <c r="F44" s="188" t="inlineStr"/>
      <c r="G44" s="189" t="inlineStr">
        <is>
          <t>Added from source-derived gap analysis (2026-08-26), beyond documented OD_1-OD_19. Src: filters.py:104-137.</t>
        </is>
      </c>
    </row>
    <row r="45">
      <c r="A45" s="188" t="inlineStr">
        <is>
          <t>OD_43</t>
        </is>
      </c>
      <c r="B45" s="189" t="inlineStr">
        <is>
          <t>Confirm auto-verification changes the Deliver tab filters and columns</t>
        </is>
      </c>
      <c r="C45" s="189" t="inlineStr">
        <is>
          <t>1. Open the Deliver tab of an opportunity with automatic_visit_verification = True</t>
        </is>
      </c>
      <c r="D45" s="189" t="inlineStr">
        <is>
          <t>The review_pending and has_duplicates filters are not offered, and the 'Pending' column is absent from the delivery table.</t>
        </is>
      </c>
      <c r="E45" s="188" t="inlineStr"/>
      <c r="F45" s="188" t="inlineStr"/>
      <c r="G45" s="189" t="inlineStr">
        <is>
          <t>Added from source-derived gap analysis (2026-08-26), beyond documented OD_1-OD_19. Src: filters.py:135-137; views.py:2787-2788. | AUTOMATION: Automated - PR #38, test_opd_gaps.py::test_opd_43 (auto-verify deliver-filter divergence; Demo Opp).</t>
        </is>
      </c>
    </row>
    <row r="46">
      <c r="A46" s="188" t="inlineStr">
        <is>
          <t>OD_44</t>
        </is>
      </c>
      <c r="B46" s="189" t="inlineStr">
        <is>
          <t>Confirm the Deliver tab export offers NM vs PM sheets and completes the download flow</t>
        </is>
      </c>
      <c r="C46" s="189" t="inlineStr">
        <is>
          <t>1. On the Deliver tab, open the export modal
2. Choose 'User Visits Sheet' (NM) then 'PM Review Sheet' (PM) and export
3. Follow the export-status spinner to download</t>
        </is>
      </c>
      <c r="D46" s="189" t="inlineStr">
        <is>
          <t>The radio switches between the NM Visits Sheet and PM Review Sheet exports; the export queues, the status banner shows progress, and the file downloads. PM-review options are hidden when auto-verification is on.</t>
        </is>
      </c>
      <c r="E46" s="188" t="inlineStr"/>
      <c r="F46" s="188" t="inlineStr"/>
      <c r="G46" s="189" t="inlineStr">
        <is>
          <t>Added from source-derived gap analysis (2026-08-26), beyond documented OD_1-OD_19. | AUTOMATION: Automated - PR #38, tests/test_opd_exports.py::test_opd_44_deliver_export_flow. Runs on the manual-verification opp 'Manual approval opp' (org pm_automation_02, staging) and asserts BOTH the NM 'User Visits Sheet' and PM 'PM Review Sheet' export options; the background export queue is best-effort (required-heavy HTMX form). Staging only (manual-flow opp does not exist on prod).</t>
        </is>
      </c>
    </row>
    <row r="47">
      <c r="A47" s="188" t="inlineStr">
        <is>
          <t>OD_45</t>
        </is>
      </c>
      <c r="B47" s="189" t="inlineStr">
        <is>
          <t>Confirm export/download enforces opportunity ownership (security)</t>
        </is>
      </c>
      <c r="C47" s="189" t="inlineStr">
        <is>
          <t>1. Start an export in opportunity A to obtain an export_task_id
2. Request export_status/download_export for opportunity B using A's task id</t>
        </is>
      </c>
      <c r="D47" s="189" t="inlineStr">
        <is>
          <t>The cross-opportunity request is rejected (404); a user cannot download another opportunity's export via its task id.</t>
        </is>
      </c>
      <c r="E47" s="188" t="inlineStr"/>
      <c r="F47" s="188" t="inlineStr">
        <is>
          <t>Potential product risk</t>
        </is>
      </c>
      <c r="G47" s="189" t="inlineStr">
        <is>
          <t>Added from source-derived gap analysis (2026-08-26), beyond documented OD_1-OD_19. Src: views.py:536-602 (get_opportunity_or_404 on the task args).</t>
        </is>
      </c>
    </row>
    <row r="48">
      <c r="A48" s="188" t="inlineStr">
        <is>
          <t>OD_46</t>
        </is>
      </c>
      <c r="B48" s="189" t="inlineStr">
        <is>
          <t>Confirm visit and payment imports validate file type and columns</t>
        </is>
      </c>
      <c r="C48" s="189" t="inlineStr">
        <is>
          <t>1. On the Deliver tab, import a non-csv/xlsx file
2. On the Payments tab, import a file missing the required columns</t>
        </is>
      </c>
      <c r="D48" s="189" t="inlineStr">
        <is>
          <t>Non-csv/xlsx uploads are rejected; the payment import requires Username/Amount/Payment Date columns and reports errors otherwise. Import titles differ ('Import PM Review Sheet' vs 'Import Verified Visits').</t>
        </is>
      </c>
      <c r="E48" s="188" t="inlineStr"/>
      <c r="F48" s="188" t="inlineStr"/>
      <c r="G48" s="189" t="inlineStr">
        <is>
          <t>Added from source-derived gap analysis (2026-08-26), beyond documented OD_1-OD_19. | AUTOMATION: Automated - PR #38, tests/test_opd_exports.py. Payments import rejects non-csv/xlsx ('File format not supported'). Visit-status import runs on the manual-verification opp (pm_automation_02, staging) and rejects a non-csv/xlsx file. Staging only for the visit import (hidden under auto-verification).</t>
        </is>
      </c>
    </row>
    <row r="49">
      <c r="A49" s="188" t="inlineStr">
        <is>
          <t>OD_47</t>
        </is>
      </c>
      <c r="B49" s="189" t="inlineStr">
        <is>
          <t>Confirm the dashboard stat HTMX endpoints load independently and are viewer-accessible</t>
        </is>
      </c>
      <c r="C49" s="189" t="inlineStr">
        <is>
          <t>1. Load the dashboard and observe delivery_stats, worker_progress_stats and funnel_progress_stats loading
2. Request each endpoint directly, including as a viewer</t>
        </is>
      </c>
      <c r="D49" s="189" t="inlineStr">
        <is>
          <t>Each stat section loads via its own HTMX request on page load and each endpoint responds successfully, including for the VIEWER role.</t>
        </is>
      </c>
      <c r="E49" s="188" t="inlineStr"/>
      <c r="F49" s="188" t="inlineStr"/>
      <c r="G49" s="189" t="inlineStr">
        <is>
          <t>Added from source-derived gap analysis (2026-08-26), beyond documented OD_1-OD_19. Src: urls.py:164-173; @org_viewer_required.</t>
        </is>
      </c>
    </row>
  </sheetData>
  <conditionalFormatting sqref="E2:E21">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21" showDropDown="0" showInputMessage="0" showErrorMessage="1" allowBlank="1" type="list">
      <formula1>"Pass,Fail,N/A,Blocking"</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G50"/>
  <sheetViews>
    <sheetView workbookViewId="0">
      <selection activeCell="A1" sqref="A1"/>
    </sheetView>
  </sheetViews>
  <sheetFormatPr baseColWidth="8" defaultColWidth="12.63" defaultRowHeight="15.75" customHeight="1"/>
  <cols>
    <col width="23.63" customWidth="1" style="148" min="1" max="1"/>
    <col width="51.63" customWidth="1" style="148" min="2" max="2"/>
    <col width="45" customWidth="1" style="148" min="3" max="3"/>
    <col width="56.38" customWidth="1" style="148" min="4" max="4"/>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ht="12.75" customHeight="1" s="148">
      <c r="A2" s="76" t="n"/>
      <c r="B2" s="76" t="inlineStr">
        <is>
          <t>Module: Connect Workers tab</t>
        </is>
      </c>
      <c r="C2" s="153" t="n"/>
      <c r="D2" s="153" t="n"/>
      <c r="E2" s="153" t="n"/>
      <c r="F2" s="153" t="n"/>
      <c r="G2" s="154" t="n"/>
    </row>
    <row r="3">
      <c r="A3" s="73" t="inlineStr">
        <is>
          <t>Connect_worker_01</t>
        </is>
      </c>
      <c r="B3" s="68" t="inlineStr">
        <is>
          <t>Confirm user is redirected to the Worker's List page on clicking click on ‘Connect Workers’</t>
        </is>
      </c>
      <c r="C3" s="68" t="inlineStr">
        <is>
          <t>1. Login to CCC web UI
2. Navigate to opp dashboard
3. Click on "connect workers" button</t>
        </is>
      </c>
      <c r="D3" s="68" t="inlineStr">
        <is>
          <t>User should be redirected to the list of workers with all the information/details of the workers
- Status 
- Worker Name with ConnectID to distinguish 2 workers with the same name
- Phone number
- Invited date
- Last Active in days and hours is the last time of form submission in the Learn OR Delivery app depending on whether Delivery has started
- Started Learn timestamp
- Completed Learn timestamp
- Time to complete Learning
- First Delivery timestamp
- Time to start Delivery</t>
        </is>
      </c>
      <c r="E3" s="66" t="n"/>
      <c r="F3" s="80" t="n"/>
      <c r="G3" s="68" t="inlineStr">
        <is>
          <t>✅ Automated (Playwright, feature/workers-web-automation): test_worker_list_view.py::test_wlv_01_02_03 (migration)</t>
        </is>
      </c>
    </row>
    <row r="4">
      <c r="A4" s="73" t="n"/>
      <c r="B4" s="68" t="inlineStr">
        <is>
          <t>Verify user is able to search connect worker using search button</t>
        </is>
      </c>
      <c r="C4" s="68" t="inlineStr">
        <is>
          <t>1. Login to CCC web UI
2. Navigate to opp dashboard
3. Click on "connect workers" button</t>
        </is>
      </c>
      <c r="D4" s="68" t="inlineStr">
        <is>
          <t>- Enter worker name or phone number in search field, automatic search process will apply</t>
        </is>
      </c>
      <c r="E4" s="66" t="n"/>
      <c r="F4" s="80" t="n"/>
      <c r="G4" s="80" t="n"/>
    </row>
    <row r="5">
      <c r="A5" s="73" t="inlineStr">
        <is>
          <t>Connect_worker_02</t>
        </is>
      </c>
      <c r="B5" s="88" t="inlineStr">
        <is>
          <t>verify user is able to see the status as invite pending until the invitation is accepted</t>
        </is>
      </c>
      <c r="C5" s="88" t="n"/>
      <c r="D5" s="65" t="inlineStr">
        <is>
          <t>-The worker's status should be displayed as "Invite Pending" when hovering over the icon.</t>
        </is>
      </c>
      <c r="E5" s="66" t="n"/>
      <c r="F5" s="85" t="n"/>
      <c r="G5" s="88" t="inlineStr">
        <is>
          <t>✅ Automated (Playwright, feature/workers-web-automation): test_worker_invites.py::test_connect_worker_02_pending_invite_status</t>
        </is>
      </c>
    </row>
    <row r="6">
      <c r="A6" s="73" t="inlineStr">
        <is>
          <t>Connect_worker_03</t>
        </is>
      </c>
      <c r="B6" s="68" t="inlineStr">
        <is>
          <t>Verify resend/delete invite buttons are enable only when user select the invites</t>
        </is>
      </c>
      <c r="C6" s="68" t="inlineStr">
        <is>
          <t>1. Login to CCC web UI
2. Navigate to opp dashboard
3. Click on "connect workers" button
4. Select the connect users</t>
        </is>
      </c>
      <c r="D6" s="68" t="inlineStr">
        <is>
          <t>- Resend invite icon [rounded arrow] and delete invites button should be enable only when users are selected</t>
        </is>
      </c>
      <c r="E6" s="66" t="n"/>
      <c r="F6" s="80" t="n"/>
      <c r="G6" s="68" t="inlineStr">
        <is>
          <t>✅ Automated (Playwright, feature/workers-web-automation): test_worker_invites.py::test_connect_worker_03_resend_delete_gated_by_selection</t>
        </is>
      </c>
    </row>
    <row r="7">
      <c r="A7" s="73" t="inlineStr">
        <is>
          <t>Connect_worker_04</t>
        </is>
      </c>
      <c r="B7" s="118" t="inlineStr">
        <is>
          <t>Verify worker status is updated to "invite accepted" when the invitation for an opportunity is accepted</t>
        </is>
      </c>
      <c r="C7" s="118" t="n"/>
      <c r="D7" s="118" t="inlineStr">
        <is>
          <t>- When worker accepts the invitation by clicking on link status should get updated to "invite accepted"</t>
        </is>
      </c>
      <c r="E7" s="66" t="n"/>
      <c r="F7" s="104" t="n"/>
      <c r="G7" s="118" t="inlineStr">
        <is>
          <t>✅ Automated (Playwright, feature/workers-web-automation): test_worker_lifecycle.py::test_connect_worker_04_accepted_status (Worker_Lifecycle_Automation)</t>
        </is>
      </c>
    </row>
    <row r="8">
      <c r="A8" s="73" t="inlineStr">
        <is>
          <t>Connect_worker_05</t>
        </is>
      </c>
      <c r="B8" s="118" t="inlineStr">
        <is>
          <t>Verify we are able to pre invite the worker[Not registered for personal ID yet]</t>
        </is>
      </c>
      <c r="C8" s="68" t="inlineStr">
        <is>
          <t>1. Login to CCC web UI
2. Navigate to opp dashboard
3. Click on "connect workers" button
4. Click on "+Add worker" button
5. Invite user which don't have PID</t>
        </is>
      </c>
      <c r="D8" s="118" t="inlineStr">
        <is>
          <t>- User should able to invite the worker who is not yet registered for personal ID
- Status should be displayed as "user not found"</t>
        </is>
      </c>
      <c r="E8" s="66" t="n"/>
      <c r="F8" s="104" t="n"/>
      <c r="G8" s="68" t="inlineStr">
        <is>
          <t>✅ Automated (Playwright, feature/workers-web-automation): test_worker_invites.py::test_connect_worker_05_12_08_invite_resend_delete</t>
        </is>
      </c>
    </row>
    <row r="9">
      <c r="A9" s="73" t="inlineStr">
        <is>
          <t>Connect_worker_06</t>
        </is>
      </c>
      <c r="B9" s="118" t="inlineStr">
        <is>
          <t>Verify mobile number is displayed for "not found users" under name column</t>
        </is>
      </c>
      <c r="C9" s="68" t="inlineStr">
        <is>
          <t>1. Login to CCC web UI
2. Navigate to opp dashboard
3. Click on "connect workers" button
4. Click on "+Add worker" button
5. Invite user which don't have PID
6. Mobile number is displayed for such users</t>
        </is>
      </c>
      <c r="D9" s="118" t="inlineStr">
        <is>
          <t>- User should see the mobile number  for not found users under Name column.</t>
        </is>
      </c>
      <c r="E9" s="66" t="n"/>
      <c r="F9" s="104" t="n"/>
      <c r="G9" s="68" t="inlineStr">
        <is>
          <t>✅ Automated (Playwright): test_worker_lifecycle.py::test_connect_worker_06_not_found_display (seeded not-found +74261291230, status "User not found", "—" under Name).</t>
        </is>
      </c>
    </row>
    <row r="10">
      <c r="A10" s="73" t="inlineStr">
        <is>
          <t>Connect_worker_07</t>
        </is>
      </c>
      <c r="B10" s="88" t="inlineStr">
        <is>
          <t>verify status is updated to "user suspended" when worker is suspended</t>
        </is>
      </c>
      <c r="C10" s="88" t="inlineStr">
        <is>
          <t>1. Login to CCC web UI
2. Navigate to worker visits verification page
3. Click on the woker name
4. Select suspend button on user details pop up</t>
        </is>
      </c>
      <c r="D10" s="88" t="inlineStr">
        <is>
          <t>- user should be suspended from the opportunity 
- Status should get updated to  user suspended</t>
        </is>
      </c>
      <c r="E10" s="66" t="n"/>
      <c r="F10" s="85" t="n"/>
      <c r="G10" s="88" t="inlineStr">
        <is>
          <t>✅ Automated (Playwright, feature/workers-web-automation): test_worker_lifecycle.py::test_connect_worker_07_suspended_status (+ suspend/revoke action in test_worker_visit_verification.py)</t>
        </is>
      </c>
    </row>
    <row r="11">
      <c r="A11" s="73" t="inlineStr">
        <is>
          <t>Connect_worker_08</t>
        </is>
      </c>
      <c r="B11" s="88" t="inlineStr">
        <is>
          <t>verify user is able to delete the pending invites</t>
        </is>
      </c>
      <c r="C11" s="88" t="inlineStr">
        <is>
          <t>1. Login to CCC web UI
2. Navigate to opp dashboard
3. Click on "connect workers" button
4. Select the connect users
5. Click on delete icon</t>
        </is>
      </c>
      <c r="D11" s="68" t="inlineStr">
        <is>
          <t>- selected pending invites should be deleted
- User should delete pending invites as a bulk or an individual</t>
        </is>
      </c>
      <c r="E11" s="66" t="n"/>
      <c r="F11" s="85" t="n"/>
      <c r="G11" s="88" t="inlineStr">
        <is>
          <t>✅ Automated (Playwright, feature/workers-web-automation): test_worker_invites.py::test_connect_worker_05_12_08_invite_resend_delete</t>
        </is>
      </c>
    </row>
    <row r="12">
      <c r="A12" s="73" t="inlineStr">
        <is>
          <t>Connect_worker_09</t>
        </is>
      </c>
      <c r="B12" s="88" t="inlineStr">
        <is>
          <t>Verify user is not able to resend the invite for pending users within 24 hrs[Cooldown period]</t>
        </is>
      </c>
      <c r="C12" s="88" t="inlineStr">
        <is>
          <t>1. Login to CCC web UI
2. Navigate to opp dashboard
3. Click on "connect workers" button
4. Select the connect users
5. Click on resend invite icon</t>
        </is>
      </c>
      <c r="D12" s="88" t="inlineStr">
        <is>
          <t>- "The following invites were skipped, as they were sent in the last 24 hours" message should be displayed</t>
        </is>
      </c>
      <c r="E12" s="66" t="n"/>
      <c r="F12" s="85" t="n"/>
      <c r="G12" s="88" t="inlineStr">
        <is>
          <t>🔴 Manual only (by design) (decided 2026-10-02): the cooldown only exists for a real registered number and every invite/resend texts it, so it cannot be refreshed on each CI run without texting a real person (demo numbers send no SMS, so they never enforce the cooldown). No automated test; QA runs it by hand before releases.</t>
        </is>
      </c>
    </row>
    <row r="13">
      <c r="A13" s="73" t="inlineStr">
        <is>
          <t>Connect_worker_10</t>
        </is>
      </c>
      <c r="B13" s="68" t="inlineStr">
        <is>
          <t>Verify user is able to resend the invite for "invite pending" worker successfully after 24 hrs</t>
        </is>
      </c>
      <c r="C13" s="88" t="inlineStr">
        <is>
          <t>1. Login to CCC web UI
2. Navigate to opp dashboard
3. Click on "connect workers" button
4. Select the connect users[invite pending users]
5. Click on resend invite icon</t>
        </is>
      </c>
      <c r="D13" s="88" t="inlineStr">
        <is>
          <t>- "Successfully invites send" message should be displayed including the number of skipped and resend invites</t>
        </is>
      </c>
      <c r="E13" s="66" t="n"/>
      <c r="F13" s="80" t="n"/>
      <c r="G13" s="118" t="inlineStr">
        <is>
          <t>✅ Automated (Playwright, feature/workers-web-automation): test_worker_lifecycle.py::test_connect_worker_10_resend_allowed_for_pending</t>
        </is>
      </c>
    </row>
    <row r="14">
      <c r="A14" s="73" t="inlineStr">
        <is>
          <t>Connect_worker_11</t>
        </is>
      </c>
      <c r="B14" s="88" t="inlineStr">
        <is>
          <t>verify user is not able to resend/delete the invite for accepted workers</t>
        </is>
      </c>
      <c r="C14" s="88" t="inlineStr">
        <is>
          <t>1. Login to CCC web UI
2. Navigate to opp dashboard
3. Click on "connect workers" button
4. Select the connect users[accepted user]
5. Click on resend invite icon</t>
        </is>
      </c>
      <c r="D14" s="88" t="inlineStr">
        <is>
          <t>- "Cannot delete invite(s). Accepted invites cannot be deleted" message should be displayed
- "The following invites were skipped, as they have already accepted" message should be displayed</t>
        </is>
      </c>
      <c r="E14" s="66" t="n"/>
      <c r="F14" s="85" t="n"/>
      <c r="G14" s="88" t="inlineStr">
        <is>
          <t>✅ Automated (Playwright, feature/workers-web-automation): test_worker_lifecycle.py::test_connect_worker_11_resend_skipped_for_accepted</t>
        </is>
      </c>
    </row>
    <row r="15">
      <c r="A15" s="73" t="inlineStr">
        <is>
          <t>Connect_worker_12</t>
        </is>
      </c>
      <c r="B15" s="88" t="inlineStr">
        <is>
          <t>verify user is not able to resend invite for not found users</t>
        </is>
      </c>
      <c r="C15" s="88" t="inlineStr">
        <is>
          <t>1. Login to CCC web UI
2. Navigate to opp dashboard
3. Click on "connect workers" button
4. Select the connect users[not found user]
5. Click on resend invite icon</t>
        </is>
      </c>
      <c r="D15" s="88" t="inlineStr">
        <is>
          <t>- "The following invites were skipped, as they are not registered on PersonalID" message should be displayed</t>
        </is>
      </c>
      <c r="E15" s="66" t="n"/>
      <c r="F15" s="85" t="n"/>
      <c r="G15" s="88" t="inlineStr">
        <is>
          <t>✅ Automated (Playwright, feature/workers-web-automation): test_worker_invites.py::test_connect_worker_05_12_08_invite_resend_delete</t>
        </is>
      </c>
    </row>
    <row r="16">
      <c r="A16" s="73" t="inlineStr">
        <is>
          <t>Connect_worker_13</t>
        </is>
      </c>
      <c r="B16" s="88" t="inlineStr">
        <is>
          <t xml:space="preserve">verify user is able to delete not found users </t>
        </is>
      </c>
      <c r="C16" s="88" t="inlineStr">
        <is>
          <t>1. Login to CCC web UI
2. Navigate to opp dashboard
3. Click on "connect workers" button
4. Select the connect users [not found user]
5. Click on delete icon</t>
        </is>
      </c>
      <c r="D16" s="88" t="inlineStr">
        <is>
          <t>- User should be able to delete the selected user as a bulk or an individual</t>
        </is>
      </c>
      <c r="E16" s="66" t="n"/>
      <c r="F16" s="85" t="n"/>
      <c r="G16" s="88" t="inlineStr">
        <is>
          <t>✅ Automated (Playwright): test_worker_lifecycle.py::test_connect_worker_13_not_found_deletable (Delete affordance on the seeded not-found user; not executed to preserve the seed).</t>
        </is>
      </c>
    </row>
    <row r="17">
      <c r="A17" s="73" t="inlineStr">
        <is>
          <t>Connect_worker_14</t>
        </is>
      </c>
      <c r="B17" s="88" t="inlineStr">
        <is>
          <t>verify user is not able to resend/delete invite for suspend user</t>
        </is>
      </c>
      <c r="C17" s="88" t="inlineStr">
        <is>
          <t>1. Login to CCC web UI
2. Navigate to opp dashboard
3. Click on "connect workers" button
4. Select the connect users[Suspended user]
5. Click on delete icon</t>
        </is>
      </c>
      <c r="D17" s="88" t="inlineStr">
        <is>
          <t>- "Cannot delete invite(s). Accepted invites cannot be deleted" message should be displayed
- "The following invites were skipped, as they have already accepted" message should be displayed</t>
        </is>
      </c>
      <c r="E17" s="66" t="n"/>
      <c r="F17" s="85" t="n"/>
      <c r="G17" s="88" t="inlineStr">
        <is>
          <t>✅ Automated (Playwright, feature/workers-web-automation): test_worker_lifecycle.py::test_connect_worker_14_resend_skipped_for_suspended</t>
        </is>
      </c>
    </row>
    <row r="18">
      <c r="A18" s="73" t="inlineStr">
        <is>
          <t>Connect_worker_15</t>
        </is>
      </c>
      <c r="B18" s="118" t="inlineStr">
        <is>
          <t>verify appropriate messages are displayed when user sends invite to all types of users as a bulk [accepted,suspended,pending,not found]</t>
        </is>
      </c>
      <c r="C18" s="118" t="inlineStr">
        <is>
          <t>1. Login to CCC web UI
2. Navigate to opp dashboard
3. Click on "connect workers" button
4. Select the connect users
5. Click on resend invite icon</t>
        </is>
      </c>
      <c r="D18" s="118" t="inlineStr">
        <is>
          <t>- The following messages are displayed:
Accepted/Suspended user: "The following invites were skipped, as they have already accepted"
Not found user: "The following invites were skipped, as they are not registered on PersonalID"
Pending user: "Successfully sent invites" [after 24 hrs]
"The following invites were skipped, as they were sent in the last 24 hours" [within 24 hrs]</t>
        </is>
      </c>
      <c r="E18" s="66" t="n"/>
      <c r="F18" s="104" t="n"/>
      <c r="G18" s="118" t="inlineStr">
        <is>
          <t>✅ Automated (Playwright, feature/workers-web-automation): test_worker_lifecycle.py::test_connect_worker_15_bulk_resend_messages</t>
        </is>
      </c>
    </row>
    <row r="19">
      <c r="A19" s="73" t="inlineStr">
        <is>
          <t>Connect_worker_16</t>
        </is>
      </c>
      <c r="B19" s="118" t="inlineStr">
        <is>
          <t>verify appropriate messages are displayed when user delete invites of all types of users [accepted,suspended,pending,not found] as bulk</t>
        </is>
      </c>
      <c r="C19" s="118" t="inlineStr">
        <is>
          <t>1. Login to CCC web UI
2. Navigate to opp dashboard
3. Click on "connect workers" button
4. Select the connect users
5. Click on delete icon</t>
        </is>
      </c>
      <c r="D19" s="118" t="inlineStr">
        <is>
          <t xml:space="preserve">- The following messages are displayed:
Accepted/Suspended user: "Cannot delete invite(s). Accepted invites cannot be deleted"
pending/not found user: "Successfully deleted invites" </t>
        </is>
      </c>
      <c r="E19" s="66" t="n"/>
      <c r="F19" s="104" t="n"/>
      <c r="G19" s="118" t="inlineStr">
        <is>
          <t>⏸ Deferred - bulk delete across all types would delete the seeded pending/accepted workers (destructive). Not automated to protect the seed.</t>
        </is>
      </c>
    </row>
    <row r="20">
      <c r="A20" s="73" t="inlineStr">
        <is>
          <t>Connect_worker_17</t>
        </is>
      </c>
      <c r="B20" s="68" t="inlineStr">
        <is>
          <t xml:space="preserve">Verify user can sort the workers list by clicking the header columns  </t>
        </is>
      </c>
      <c r="C20" s="68" t="inlineStr">
        <is>
          <t>1. Login to CCC web UI
2. Navigate to opp dashboard
3. Click on "connect workers" button
4. User redirects to workers list page
5. Sort the workers list by clicking on sort arrows</t>
        </is>
      </c>
      <c r="D20" s="68" t="inlineStr">
        <is>
          <t>- By default, list should be in the order of recency of the ‘last active worker’ column with the most recent activity listed on top
- User should be able to flip the list by clicking on the ‘Last Activity’ column head
- When clicking any of the column head with dates are clicked, the list should get sorted by the most recent date of that column and reversed when clicked again
- When the worker name column head is clicked, the list is order alphabetically by worker name
- When the ‘days to start delivery’ column head is clicked, the rows are ordered in descending order of the value of the column</t>
        </is>
      </c>
      <c r="E20" s="66" t="n"/>
      <c r="F20" s="80" t="n"/>
      <c r="G20" s="68" t="inlineStr">
        <is>
          <t>✅ Automated (Playwright, feature/workers-web-automation): test_worker_list_view.py::test_connect_worker_17_sort_list_by_header</t>
        </is>
      </c>
    </row>
    <row r="21" ht="12.75" customHeight="1" s="148">
      <c r="A21" s="76" t="n"/>
      <c r="B21" s="76" t="inlineStr">
        <is>
          <t>Module: Learn tab</t>
        </is>
      </c>
      <c r="C21" s="153" t="n"/>
      <c r="D21" s="153" t="n"/>
      <c r="E21" s="153" t="n"/>
      <c r="F21" s="153" t="n"/>
      <c r="G21" s="154" t="n"/>
    </row>
    <row r="22">
      <c r="A22" s="73" t="inlineStr">
        <is>
          <t>Learn_tab_01</t>
        </is>
      </c>
      <c r="B22" s="68" t="inlineStr">
        <is>
          <t xml:space="preserve">Verify user can click on the Learn Tab, on the workers list page and see all the workers learn progress </t>
        </is>
      </c>
      <c r="C22" s="68" t="inlineStr">
        <is>
          <t>1. Login to CCC web UI
2. Navigate to opp dashboard
3. Click on "connect workers" button
4. Select learn tab</t>
        </is>
      </c>
      <c r="D22" s="68" t="inlineStr">
        <is>
          <t xml:space="preserve">User should more detailed information about user's learning progress such as 
- Last Active represents the last form submission of Learn or Deliver app
- Modules Completed, this should show the learn progress percentage  
- Assessment completed or not 
- Attempts taken to complete the assessment 
- Learning hours represents the total spent time learning that adds up the time spent learning each module through multiple passes up until the assessment is passed
- Clicking on the forward arrow of a worker row leads to a page that lists all the modules completed and their date of completion and time spent and should show if a module is completed all times </t>
        </is>
      </c>
      <c r="E22" s="66" t="n"/>
      <c r="F22" s="80" t="n"/>
      <c r="G22" s="68" t="inlineStr">
        <is>
          <t>✅ Automated (Playwright, feature/workers-web-automation): test_worker_list_view.py::test_wlv_01_02_03 (migration)</t>
        </is>
      </c>
    </row>
    <row r="23">
      <c r="A23" s="73" t="inlineStr">
        <is>
          <t>Learn_tab_02</t>
        </is>
      </c>
      <c r="B23" s="68" t="inlineStr">
        <is>
          <t>Verify modules completed progress is updated as we submit learn apps is mobile</t>
        </is>
      </c>
      <c r="C23" s="68" t="inlineStr">
        <is>
          <t>1. Login to CCC web UI
2. Navigate to opp dashboard
3. Click on "connect workers" button
4. Select learn tab</t>
        </is>
      </c>
      <c r="D23" s="68" t="inlineStr">
        <is>
          <t>- Progress percentange should increase and should be same as of mobile as user submits the learn app</t>
        </is>
      </c>
      <c r="E23" s="66" t="n"/>
      <c r="F23" s="80" t="n"/>
      <c r="G23" s="68" t="inlineStr">
        <is>
          <t>🔴 Not automated (web) - requires a mobile learn-app submission during the test; web-only cannot drive it.</t>
        </is>
      </c>
    </row>
    <row r="24">
      <c r="A24" s="73" t="inlineStr">
        <is>
          <t>Learn_tab_03</t>
        </is>
      </c>
      <c r="B24" s="68" t="inlineStr">
        <is>
          <t>Verfiy Assessment status is shown as failed when user fails the assessment in mobile</t>
        </is>
      </c>
      <c r="C24" s="68" t="inlineStr">
        <is>
          <t>1. Login to CCC web UI
2. Navigate to opp dashboard
3. Click on "connect workers" button
4. Select learn tab</t>
        </is>
      </c>
      <c r="D24" s="68" t="inlineStr">
        <is>
          <t>- When user fails assessment in mobile when should get updated to Failed</t>
        </is>
      </c>
      <c r="E24" s="66" t="n"/>
      <c r="F24" s="80" t="n"/>
      <c r="G24" s="68" t="inlineStr">
        <is>
          <t>✅ Automated (Playwright, feature/workers-web-automation): test_worker_lifecycle.py::test_learn_tab_03_assessment_failed (Map_09)</t>
        </is>
      </c>
    </row>
    <row r="25">
      <c r="A25" s="73" t="inlineStr">
        <is>
          <t>Learn_tab_04</t>
        </is>
      </c>
      <c r="B25" s="68" t="inlineStr">
        <is>
          <t>Verfiy Assessment status is shown as Passed when user pass the assessment in mobile</t>
        </is>
      </c>
      <c r="C25" s="68" t="inlineStr">
        <is>
          <t>1. Login to CCC web UI
2. Navigate to opp dashboard
3. Click on "connect workers" button
4. Select learn tab</t>
        </is>
      </c>
      <c r="D25" s="68" t="inlineStr">
        <is>
          <t>- When user pass assessment in mobile when should get updated to Passed</t>
        </is>
      </c>
      <c r="E25" s="66" t="n"/>
      <c r="F25" s="80" t="n"/>
      <c r="G25" s="68" t="inlineStr">
        <is>
          <t>✅ Automated (Playwright, feature/workers-web-automation): test_worker_list_view.py::test_learn_tab_04_assessment_passed</t>
        </is>
      </c>
    </row>
    <row r="26" ht="12.75" customHeight="1" s="148">
      <c r="A26" s="76" t="n"/>
      <c r="B26" s="76" t="inlineStr">
        <is>
          <t>Module: Delivery tab</t>
        </is>
      </c>
      <c r="C26" s="153" t="n"/>
      <c r="D26" s="153" t="n"/>
      <c r="E26" s="153" t="n"/>
      <c r="F26" s="153" t="n"/>
      <c r="G26" s="154" t="n"/>
    </row>
    <row r="27">
      <c r="A27" s="73" t="inlineStr">
        <is>
          <t>Delivery_tab_01</t>
        </is>
      </c>
      <c r="B27" s="68" t="inlineStr">
        <is>
          <t xml:space="preserve">Verify user can access the delivery tab, with all the delivery information for an opportunity </t>
        </is>
      </c>
      <c r="C27" s="68" t="inlineStr">
        <is>
          <t>1. Login to CCC web UI
2. Navigate to opp dashboard
3. Click on "connect workers" button
4. Select delivery tab</t>
        </is>
      </c>
      <c r="D27" s="68" t="inlineStr">
        <is>
          <t>User should be able to land on the delivery by clicking on Total Services Delivered on the Opportunity Dashboard when I want to explore the stats for the entire list of workers</t>
        </is>
      </c>
      <c r="E27" s="66" t="n"/>
      <c r="F27" s="80" t="n"/>
      <c r="G27" s="68" t="inlineStr">
        <is>
          <t>✅ Automated (Playwright, feature/workers-web-automation): test_worker_list_view.py::test_wlv_01_02_03 (Deliver tab, migration)</t>
        </is>
      </c>
    </row>
    <row r="28">
      <c r="A28" s="73" t="inlineStr">
        <is>
          <t>Delivery_tab_02</t>
        </is>
      </c>
      <c r="B28" s="68" t="inlineStr">
        <is>
          <t>Verify user sees all the delivery details when they are on the delivery tab</t>
        </is>
      </c>
      <c r="C28" s="68" t="inlineStr">
        <is>
          <t>1. Login to CCC web UI
2. Navigate to opp dashboard
3. Click on "connect workers" button
4. Select delivery tab</t>
        </is>
      </c>
      <c r="D28" s="68" t="inlineStr">
        <is>
          <t>User should see the followig delivery information for each user 
- The worker list should be ordered by the most recent activity in the ‘last active’ column. It should be possible to reverse this order by clicking on the column header
- The Last Delivery column should display the timestamp of completion for that specific payment unit</t>
        </is>
      </c>
      <c r="E28" s="66" t="n"/>
      <c r="F28" s="80" t="n"/>
      <c r="G28" s="68" t="inlineStr">
        <is>
          <t>✅ Automated (Playwright, feature/workers-web-automation): test_worker_list_view.py::test_wlv_01_02_03 (deliver headers)</t>
        </is>
      </c>
    </row>
    <row r="29">
      <c r="A29" s="73" t="inlineStr">
        <is>
          <t>Delivery_tab_03</t>
        </is>
      </c>
      <c r="B29" s="68" t="inlineStr">
        <is>
          <t xml:space="preserve">Ensure when user clicks on the number in the 'Delivered' column, they see a breakdown of the deliveries </t>
        </is>
      </c>
      <c r="C29" s="68" t="inlineStr">
        <is>
          <t xml:space="preserve">1. Login to CCC web UI
2. Navigate to opp dashboard
3. Click on "connect workers" button
4. Select delivery tab
5. Click on count of visits </t>
        </is>
      </c>
      <c r="D29" s="68" t="inlineStr">
        <is>
          <t xml:space="preserve">When clicking on the number in the delivered column, user should see a breakdown of the deliveries such as 
- Completed 
- Over Limit 
- Incomplete </t>
        </is>
      </c>
      <c r="E29" s="66" t="n"/>
      <c r="F29" s="80" t="n"/>
      <c r="G29" s="68" t="inlineStr">
        <is>
          <t>✅ Automated (Playwright, feature/workers-web-automation): test_worker_list_view.py::test_wlv_04_worker_status_count_breakdown (Delivered)</t>
        </is>
      </c>
    </row>
    <row r="30">
      <c r="A30" s="73" t="inlineStr">
        <is>
          <t>Delivery_tab_05</t>
        </is>
      </c>
      <c r="B30" s="68" t="inlineStr">
        <is>
          <t xml:space="preserve">Confirm on clicking the number in 'Approved' column, users can see the breakdown of th deliveries </t>
        </is>
      </c>
      <c r="C30" s="68" t="inlineStr">
        <is>
          <t xml:space="preserve">1. Login to CCC web UI
2. Navigate to opp dashboard
3. Click on "connect workers" button
4. Select delivery tab
5. Click on count of visits </t>
        </is>
      </c>
      <c r="D30" s="68" t="inlineStr">
        <is>
          <t xml:space="preserve">When clicking on the number in the Approved column, user should see a breakdown of the deliveries </t>
        </is>
      </c>
      <c r="E30" s="66" t="n"/>
      <c r="F30" s="80" t="n"/>
      <c r="G30" s="68" t="inlineStr">
        <is>
          <t>✅ Automated (Playwright, feature/workers-web-automation): test_worker_list_view.py::test_wlv_04/05 (Approved breakdown)</t>
        </is>
      </c>
    </row>
    <row r="31">
      <c r="A31" s="73" t="inlineStr">
        <is>
          <t>Delivery_tab_06</t>
        </is>
      </c>
      <c r="B31" s="81" t="inlineStr">
        <is>
          <t>Verify that the visit count is considered as 1 per payment unit, even if it includes multiple required or optional visits.</t>
        </is>
      </c>
      <c r="C31" s="68" t="inlineStr">
        <is>
          <t>1. Login to CCC web UI
2. Navigate to opp dashboard
3. Click on "connect workers" button
4. Submit one form from mobile - verify count shows as 1
5. Submit another form which is configured for payment unit used in above step</t>
        </is>
      </c>
      <c r="D31" s="68" t="inlineStr">
        <is>
          <t>- Visit count should be as 1 for one payment unit even multiple required/optional visits are configured</t>
        </is>
      </c>
      <c r="E31" s="66" t="n"/>
      <c r="F31" s="80" t="n"/>
      <c r="G31" s="190" t="inlineStr">
        <is>
          <t>⏸ Deferred - delivery-completion logic (1 visit per payment unit); eng-covered, needs controlled visit data.</t>
        </is>
      </c>
    </row>
    <row r="32">
      <c r="A32" s="73" t="inlineStr">
        <is>
          <t>Delivery_tab_07</t>
        </is>
      </c>
      <c r="B32" s="68" t="inlineStr">
        <is>
          <t>Verify that the delivery is marked as complete when all required visits are submitted and approved, and at least one optional visit (if present) is approved.</t>
        </is>
      </c>
      <c r="C32" s="68" t="inlineStr">
        <is>
          <t>1. Login to CCC web UI
2. Navigate to opp dashboard
3. Click on "connect workers" button
4. Submit forms from mobile - Verify that visit is shown as pending
5. Complete all the visits(required/optional) for a particular payment unit</t>
        </is>
      </c>
      <c r="D32" s="68" t="inlineStr">
        <is>
          <t>- Visit count is marked as complete and approved from pending state once all the visits (required/optional) for one payment unit are submitted and approved</t>
        </is>
      </c>
      <c r="E32" s="66" t="n"/>
      <c r="F32" s="80" t="n"/>
      <c r="G32" s="68" t="inlineStr">
        <is>
          <t>⏸ Deferred - delivery-completion rule (required + optional approved); eng-covered, needs controlled visit data.</t>
        </is>
      </c>
    </row>
    <row r="33">
      <c r="A33" s="73" t="inlineStr">
        <is>
          <t>Delivery_tab_09</t>
        </is>
      </c>
      <c r="B33" s="68" t="inlineStr">
        <is>
          <t xml:space="preserve">Confirm on clicking the number in 'Rejected' column, users can see the breakdown of th deliveries </t>
        </is>
      </c>
      <c r="C33" s="68" t="inlineStr">
        <is>
          <t xml:space="preserve">1. Login to CCC web UI
2. Navigate to opp dashboard
3. Click on "connect workers" button
4. Select delivery tab
5. Click on count of visits </t>
        </is>
      </c>
      <c r="D33" s="68" t="inlineStr">
        <is>
          <t>When clicking on the number in the Approved column, user should see a breakdown of the deliveries:
- Breakdown by flag types
- Over Limit
- Missing value forms
- Duration
- User suspended</t>
        </is>
      </c>
      <c r="E33" s="66" t="n"/>
      <c r="F33" s="80" t="n"/>
      <c r="G33" s="68" t="inlineStr">
        <is>
          <t>✅ Automated (Playwright, feature/workers-web-automation): test_worker_list_view.py::test_wlv_04/05 (Rejected breakdown)</t>
        </is>
      </c>
    </row>
    <row r="34">
      <c r="A34" s="73" t="inlineStr">
        <is>
          <t>Delivery_tab_10</t>
        </is>
      </c>
      <c r="B34" s="118" t="inlineStr">
        <is>
          <t>Verify Filters pop up modal is displayed by clicking on the filters icon present in right corner  on delivery tab</t>
        </is>
      </c>
      <c r="C34" s="68" t="inlineStr">
        <is>
          <t xml:space="preserve">1. Login to CCC web UI
2. Navigate to opp dashboard
3. Click on "connect workers" button
4. Select delivery tab
5. Click on the filters icon
6. Apply the filters
</t>
        </is>
      </c>
      <c r="D34" s="118" t="inlineStr">
        <is>
          <t>pop up modal should be displayed with following fields
- Last Active
- Has duplicate deliveries
- Deliveries with flags
- Has overlimit Deliveries
- Deliveries with pending review
- Close and Apply buttons</t>
        </is>
      </c>
      <c r="E34" s="66" t="n"/>
      <c r="F34" s="104" t="n"/>
      <c r="G34" s="68" t="inlineStr">
        <is>
          <t>✅ Automated (Playwright, feature/workers-web-automation): test_worker_deliver_filters.py::test_delivery_tab_10_filter_modal_opens</t>
        </is>
      </c>
    </row>
    <row r="35">
      <c r="A35" s="73" t="inlineStr">
        <is>
          <t>Delivery_tab_11</t>
        </is>
      </c>
      <c r="B35" s="118" t="inlineStr">
        <is>
          <t>Verify last active filed  dropdown contains following options:
- Any time
- 1 day ago
- 3 days ago
- 7 days ago</t>
        </is>
      </c>
      <c r="C35" s="118" t="inlineStr">
        <is>
          <t>1. Login to CCC web UI
2. Navigate to opp dashboard
3. Click on "connect workers" button
4. Select delivery tab
3. Click on the filters icon
4. Click on "Last Active" field</t>
        </is>
      </c>
      <c r="D35" s="118" t="inlineStr">
        <is>
          <t>- When user select any time, workers that are not active anytime should be displayed
- When user select 1 day ago, workers that are not active 1 day ago should be displayed
- When user select 3 days ago, workers that are not active 1 or 3 days ago should be displayed.
- When user select 7 days ago, workers that are not active 1 or 3 or 7 days ago should be displayed.</t>
        </is>
      </c>
      <c r="E35" s="66" t="n"/>
      <c r="F35" s="104" t="n"/>
      <c r="G35" s="118" t="inlineStr">
        <is>
          <t>✅ Automated (Playwright, feature/workers-web-automation): test_worker_deliver_filters.py::test_delivery_tab_11_last_active_options</t>
        </is>
      </c>
    </row>
    <row r="36">
      <c r="A36" s="73" t="inlineStr">
        <is>
          <t>Delivery_tab_13</t>
        </is>
      </c>
      <c r="B36" s="118" t="inlineStr">
        <is>
          <t>Verify "Deliveries with flags"  filed  dropdown contains following options:
- Yes
- No</t>
        </is>
      </c>
      <c r="C36" s="118" t="inlineStr">
        <is>
          <t>1. Login to CCC web UI
2. Navigate to opp dashboard
3. Click on "connect workers" button
4. Select delivery tab
5. Click on the filters icon
6. Click on "Deliveries with flags"  field</t>
        </is>
      </c>
      <c r="D36" s="118" t="inlineStr">
        <is>
          <t>- When user select Yes, workers that submitted deliveries with flag should be displayed
- When user selects No, workers that not submitted deliveries with flag should be displayed</t>
        </is>
      </c>
      <c r="E36" s="66" t="n"/>
      <c r="F36" s="104" t="n"/>
      <c r="G36" s="118" t="inlineStr">
        <is>
          <t>✅ Automated (Playwright, feature/workers-web-automation): test_worker_deliver_filters.py::test_delivery_tab_13_deliveries_with_flags_options</t>
        </is>
      </c>
    </row>
    <row r="37">
      <c r="A37" s="73" t="inlineStr">
        <is>
          <t>Delivery_tab_14</t>
        </is>
      </c>
      <c r="B37" s="118" t="inlineStr">
        <is>
          <t>Verify "Has overlimit Deliveries"  filed  dropdown contains following options:
- Yes
- No</t>
        </is>
      </c>
      <c r="C37" s="118" t="inlineStr">
        <is>
          <t>1. Login to CCC web UI
2. Navigate to opp dashboard
3. Click on "connect workers" button
4. Select delivery tab
5. Click on the filters icon
6. Click on "Has overlimit Deliveries" field</t>
        </is>
      </c>
      <c r="D37" s="118" t="inlineStr">
        <is>
          <t>- When user select Yes, workers that submitted overlimit deliveries should be displayed
- When user selects No, workers that not submitted overlimit deliveries should be displayed</t>
        </is>
      </c>
      <c r="E37" s="66" t="n"/>
      <c r="F37" s="104" t="n"/>
      <c r="G37" s="118" t="inlineStr">
        <is>
          <t>✅ Automated (Playwright, feature/workers-web-automation): test_worker_deliver_filters.py::test_delivery_tab_14_has_overlimit_options</t>
        </is>
      </c>
    </row>
    <row r="38">
      <c r="A38" s="73" t="inlineStr">
        <is>
          <t>Delivery_tab_16</t>
        </is>
      </c>
      <c r="B38" s="118" t="inlineStr">
        <is>
          <t>Ensure that all filter combinations are applied simultaneously and function correctly.</t>
        </is>
      </c>
      <c r="C38" s="118" t="inlineStr">
        <is>
          <t>1. Login to CCC web UI
2. Navigate to opp dashboard
3. Click on "connect workers" button
4. Select delivery tab
5. Click on the filters icon
6. Apply all the filters</t>
        </is>
      </c>
      <c r="D38" s="118" t="inlineStr">
        <is>
          <t>- Workers should be displayed based on the selected filters</t>
        </is>
      </c>
      <c r="E38" s="66" t="n"/>
      <c r="F38" s="104" t="n"/>
      <c r="G38" s="118" t="inlineStr">
        <is>
          <t>✅ Automated (Playwright, feature/workers-web-automation): test_worker_deliver_filters.py::test_delivery_tab_16_filter_combination_applies</t>
        </is>
      </c>
    </row>
    <row r="39" ht="12.75" customHeight="1" s="148">
      <c r="A39" s="76" t="n"/>
      <c r="B39" s="76" t="inlineStr">
        <is>
          <t xml:space="preserve">Module: Payment processing </t>
        </is>
      </c>
      <c r="C39" s="153" t="n"/>
      <c r="D39" s="153" t="n"/>
      <c r="E39" s="153" t="n"/>
      <c r="F39" s="153" t="n"/>
      <c r="G39" s="154" t="n"/>
    </row>
    <row r="40">
      <c r="A40" s="82" t="inlineStr">
        <is>
          <t>Payment Processing_1</t>
        </is>
      </c>
      <c r="B40" s="83" t="inlineStr">
        <is>
          <t>Confirm user sees all the payment info under "Payments" tab on the Workers List page</t>
        </is>
      </c>
      <c r="C40" s="68" t="inlineStr">
        <is>
          <t>1. Login to CCC web UI
2. Navigate to opp dashboard
3. Click on "connect workers" button
4. Select payment tab</t>
        </is>
      </c>
      <c r="D40" s="68" t="inlineStr">
        <is>
          <t>- On navigating to the payments tab on the workers list page, user should see following columns 
i) Worker Name and CID
ii) Earnings Accrued
iii) Paid Amount
iv) Last Paid Date
- User should be able to see the entire history of payments for a worker by clicking on a cell in the last paid column</t>
        </is>
      </c>
      <c r="E40" s="66" t="n"/>
      <c r="G40" s="83" t="inlineStr">
        <is>
          <t>✅ Automated (Playwright, feature/workers-web-automation): test_worker_payments.py::test_payment_processing_01_02_03_04</t>
        </is>
      </c>
    </row>
    <row r="41">
      <c r="A41" s="82" t="inlineStr">
        <is>
          <t>Payment Processing_2</t>
        </is>
      </c>
      <c r="B41" s="68" t="inlineStr">
        <is>
          <t>Confirm user sees a message when they click on the Pay button</t>
        </is>
      </c>
      <c r="C41" s="68" t="n"/>
      <c r="D41" s="68" t="inlineStr">
        <is>
          <t>- User should see a transaction success or failed message when they hit the Pay button</t>
        </is>
      </c>
      <c r="E41" s="66" t="n"/>
      <c r="G41" s="118" t="inlineStr">
        <is>
          <t>✅ Automated (Playwright, feature/workers-web-automation): test_worker_payments.py (import-confirmation path)</t>
        </is>
      </c>
    </row>
    <row r="42">
      <c r="A42" s="82" t="inlineStr">
        <is>
          <t>Payment Processing_3</t>
        </is>
      </c>
      <c r="B42" s="68" t="inlineStr">
        <is>
          <t>User should be able to see the payment history by clicking the icon</t>
        </is>
      </c>
      <c r="C42" s="68" t="inlineStr">
        <is>
          <t>1. Login to CCC web UI
2. Navigate to opp dashboard
3. Click on "connect workers" button
4. Select payment tab
5. Click on the last paid date</t>
        </is>
      </c>
      <c r="D42" s="68" t="inlineStr">
        <is>
          <t>User should be able to see the history of payments made:
- Paid field should show total amount paid in that batch of payments uploaded
- ‘X’ workers shows the number of workers paid
- Timestamp of payment
- User who uploaded the payment (nice-to-have)</t>
        </is>
      </c>
      <c r="E42" s="66" t="n"/>
      <c r="G42" s="118" t="inlineStr">
        <is>
          <t>✅ Automated (Playwright, feature/workers-web-automation): test_worker_payments.py (last-paid history popup)</t>
        </is>
      </c>
    </row>
    <row r="43">
      <c r="A43" s="82" t="inlineStr">
        <is>
          <t>Payment Processing_4</t>
        </is>
      </c>
      <c r="B43" s="68" t="inlineStr">
        <is>
          <t>Confirm user can rollback a payment made to the worker</t>
        </is>
      </c>
      <c r="C43" s="68" t="inlineStr">
        <is>
          <t>1. Login to CCC web UI
2. Navigate to opp dashboard
3. Click on "connect workers" button
4. Select payment tab
5. Click on the last paid date
6. Click on rollback payment button</t>
        </is>
      </c>
      <c r="D43" s="68" t="inlineStr">
        <is>
          <t>- User should be able to rollback any payment batch by hitting a button next to the payment batch in the history
- User should see success or failure message after they rollback a payment</t>
        </is>
      </c>
      <c r="E43" s="66" t="n"/>
      <c r="G43" s="118" t="inlineStr">
        <is>
          <t>✅ Automated (Playwright, feature/workers-web-automation): test_worker_payments.py (rollback)</t>
        </is>
      </c>
    </row>
    <row r="44">
      <c r="A44" s="82" t="inlineStr">
        <is>
          <t>GAP-SRC-W-46</t>
        </is>
      </c>
      <c r="B44" s="118" t="inlineStr">
        <is>
          <t>Worker profile KPI header: Total Visits, Pending Tasks (links to filtered tasks), Rejected Visits with per-flag rejection popup, Accrued Amount, Paid Amount with last-payment popup (only when a payment exists). Src: get_worker_kpi_context (~2125-2167) + worker_profile_kpi.html.</t>
        </is>
      </c>
      <c r="C44" s="118" t="inlineStr"/>
      <c r="D44" s="118" t="inlineStr"/>
      <c r="E44" s="66" t="inlineStr"/>
      <c r="F44" s="0" t="inlineStr"/>
      <c r="G44" s="118" t="inlineStr">
        <is>
          <t>✅ Automated (Playwright): test_worker_gaps.py::test_src_w_46_worker_profile_kpis</t>
        </is>
      </c>
    </row>
    <row r="45">
      <c r="A45" s="82" t="inlineStr">
        <is>
          <t>GAP-SRC-W-47</t>
        </is>
      </c>
      <c r="B45" s="118" t="inlineStr">
        <is>
          <t>Viewer read-only + has_ended gating across worker tabs: Add Worker, Resend Invites, Delete Invites and Export buttons are disabled for viewers and when opportunity.has_ended; opportunity_user_invite redirects with an error when has_ended. Src: workers.html (~36-78); opportunity_user_invite (~1527-1530).</t>
        </is>
      </c>
      <c r="C45" s="118" t="inlineStr"/>
      <c r="D45" s="118" t="inlineStr"/>
      <c r="E45" s="66" t="inlineStr"/>
      <c r="F45" s="0" t="inlineStr"/>
      <c r="G45" s="118" t="inlineStr">
        <is>
          <t>✅ Automated (viewer half - Add Worker gated for a viewer): test_worker_gaps.py::test_src_w_47_viewer_read_only_gating. has_ended half needs an ended opp.</t>
        </is>
      </c>
    </row>
    <row r="46">
      <c r="A46" s="82" t="inlineStr">
        <is>
          <t>GAP-SRC-W-48</t>
        </is>
      </c>
      <c r="B46" s="118" t="inlineStr">
        <is>
          <t>Suspend modal + edge cases: modal shows a reason textarea plus pending_completed_work_count / payment_accrued / pending_payment warnings; re-suspending an already-suspended worker is idempotent; the suspended-users list page renders a Revoke column only for PM. Src: user_status_card.html (~43-94); suspend_user (~1441-1443); suspended_users_list (~1470-1493).</t>
        </is>
      </c>
      <c r="C46" s="118" t="inlineStr"/>
      <c r="D46" s="118" t="inlineStr"/>
      <c r="E46" s="66" t="inlineStr"/>
      <c r="F46" s="0" t="inlineStr"/>
      <c r="G46" s="118" t="inlineStr">
        <is>
          <t>✅ Automated (suspended-users list Revoke column + listing): test_worker_gaps.py::test_src_w_48_suspended_users_list. Suspend-modal content + re-suspend idempotency deferred (modal path).</t>
        </is>
      </c>
    </row>
    <row r="47">
      <c r="A47" s="82" t="inlineStr">
        <is>
          <t>GAP-SRC-W-49</t>
        </is>
      </c>
      <c r="B47" s="118" t="inlineStr">
        <is>
          <t>Work Area Assignments tab appears only under the MICROPLANNING flag; the 6th worker tab is absent when the flag is off and the direct /workers/work-areas/ URL 404s. Src: BaseWorkerListView.get() tab append (~2646-2653); WorkerWorkAreaView.dispatch 404 (~2849-2852).</t>
        </is>
      </c>
      <c r="C47" s="118" t="inlineStr"/>
      <c r="D47" s="118" t="inlineStr"/>
      <c r="E47" s="66" t="inlineStr"/>
      <c r="F47" s="0" t="inlineStr"/>
      <c r="G47" s="118" t="inlineStr">
        <is>
          <t>✅ Automated (positive - tab present + reachable under MICROPLANNING): test_worker_gaps.py::test_src_w_49_work_area_tab_present. Off-state (absent + 404) needs a non-microplanning opp.</t>
        </is>
      </c>
    </row>
    <row r="48">
      <c r="A48" s="82" t="inlineStr">
        <is>
          <t>GAP-SRC-W-50</t>
        </is>
      </c>
      <c r="B48" s="118" t="inlineStr">
        <is>
          <t>Cross-tab filter persistence: filters set on a worker sub-tab are saved to session and re-applied when navigating between worker tabs, but cleared when the page is entered from an unrelated page (referer check). Src: BaseWorkerListView.get_tabs / _is_navigating_between_tabs (~2598-2642).</t>
        </is>
      </c>
      <c r="C48" s="118" t="inlineStr"/>
      <c r="D48" s="118" t="inlineStr"/>
      <c r="E48" s="66" t="inlineStr"/>
      <c r="F48" s="0" t="inlineStr"/>
      <c r="G48" s="118" t="inlineStr">
        <is>
          <t>✅ Automated (Playwright): test_worker_gaps.py::test_src_w_50_cross_tab_filter_persistence</t>
        </is>
      </c>
    </row>
    <row r="49">
      <c r="A49" s="82" t="inlineStr">
        <is>
          <t>GAP-SRC-W-51</t>
        </is>
      </c>
      <c r="B49" s="118" t="inlineStr">
        <is>
          <t>Deliver-tab count-breakdown popups are lazy hx-get to worker_flag_counts (status/payment_unit_id/access_id); the endpoint adds a 'Duplicate' bucket when saved_completed_count&gt;1; the column-footer popup (no access_id) shows whole-opportunity totals; empty state 'No flagged visits'. Src: _render_flag_counts (~1610-1636); worker_flag_counts (~2910-2942); TotalFlagCountsColumn (~1456-1495).</t>
        </is>
      </c>
      <c r="C49" s="118" t="inlineStr"/>
      <c r="D49" s="118" t="inlineStr"/>
      <c r="E49" s="66" t="inlineStr"/>
      <c r="F49" s="0" t="inlineStr"/>
      <c r="G49" s="118" t="inlineStr">
        <is>
          <t>✅ Covered by WLV_4/WLV_5 count-breakdown popups (test_worker_list_view.py per-worker + Total/footer). Duplicate bucket + "No flagged visits" empty state need specific data - deferred.</t>
        </is>
      </c>
    </row>
    <row r="50">
      <c r="A50" s="82" t="inlineStr">
        <is>
          <t>GAP-SRC-W-52</t>
        </is>
      </c>
      <c r="B50" s="118" t="inlineStr">
        <is>
          <t>Payments tab specifics: only rows with payment_accrued&gt;=0 and accepted=True, ordered -payment_accrued; Accrued/Total Paid/Confirm headers are currency-code-suffixed and blank when no rows; footers sum accrued and total paid; last-paid history is a lazy popup ('--' when never paid); payment import is CSV/XLSX-only and cache-locked against concurrent imports. Src: WorkerPaymentsView (~2794-2820); WorkerPaymentsTable (~1173-1229); payment_import (~784-802).</t>
        </is>
      </c>
      <c r="C50" s="118" t="inlineStr"/>
      <c r="D50" s="118" t="inlineStr"/>
      <c r="E50" s="66" t="inlineStr"/>
      <c r="F50" s="0" t="inlineStr"/>
      <c r="G50" s="118" t="inlineStr">
        <is>
          <t>✅ Automated (partial - currency-suffixed headers): test_worker_gaps.py::test_src_w_52_payments_currency_headers. Footer sums / import cache-lock eng-covered.</t>
        </is>
      </c>
    </row>
  </sheetData>
  <mergeCells count="4">
    <mergeCell ref="B21:G21"/>
    <mergeCell ref="B2:G2"/>
    <mergeCell ref="B26:G26"/>
    <mergeCell ref="B39:G39"/>
  </mergeCells>
  <conditionalFormatting sqref="E3:E20 E22:E25 E27:E38 E40:E43">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3:E20 E22:E25 E27:E38 E40:E43" showDropDown="0" showInputMessage="0" showErrorMessage="1" allowBlank="1" type="list">
      <formula1>"Pass,Fail,N/A,Blocking"</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G52"/>
  <sheetViews>
    <sheetView workbookViewId="0">
      <selection activeCell="A1" sqref="A1"/>
    </sheetView>
  </sheetViews>
  <sheetFormatPr baseColWidth="8" defaultColWidth="12.63" defaultRowHeight="15.75" customHeight="1"/>
  <cols>
    <col width="18.25" customWidth="1" style="148" min="1" max="1"/>
    <col width="47" customWidth="1" style="148" min="2" max="2"/>
    <col width="45.13" customWidth="1" style="148" min="3" max="3"/>
    <col width="49.38" customWidth="1" style="148" min="4" max="4"/>
  </cols>
  <sheetData>
    <row r="1">
      <c r="A1" s="166" t="inlineStr">
        <is>
          <t>Network Manager</t>
        </is>
      </c>
      <c r="B1" s="153" t="n"/>
      <c r="C1" s="153" t="n"/>
      <c r="D1" s="153" t="n"/>
      <c r="E1" s="153" t="n"/>
      <c r="F1" s="153" t="n"/>
      <c r="G1" s="154" t="n"/>
    </row>
    <row r="2" ht="15" customHeight="1" s="148">
      <c r="A2" s="54" t="inlineStr">
        <is>
          <t>Test Case ID</t>
        </is>
      </c>
      <c r="B2" s="54" t="inlineStr">
        <is>
          <t>Description</t>
        </is>
      </c>
      <c r="C2" s="54" t="inlineStr">
        <is>
          <t>Steps</t>
        </is>
      </c>
      <c r="D2" s="55" t="inlineStr">
        <is>
          <t>Outcome</t>
        </is>
      </c>
      <c r="E2" s="54" t="inlineStr">
        <is>
          <t>Status (Pass/Fail)</t>
        </is>
      </c>
      <c r="F2" s="55" t="inlineStr">
        <is>
          <t xml:space="preserve">QA Ticket </t>
        </is>
      </c>
      <c r="G2" s="55" t="inlineStr">
        <is>
          <t xml:space="preserve">Comments </t>
        </is>
      </c>
    </row>
    <row r="3">
      <c r="A3" s="85" t="inlineStr">
        <is>
          <t>Worker Visit Verification Page_1</t>
        </is>
      </c>
      <c r="B3" s="73" t="inlineStr">
        <is>
          <t xml:space="preserve">Confirm user lands on the Worker Visit Verification Page when they select a worker from the workers list page </t>
        </is>
      </c>
      <c r="C3" s="104" t="inlineStr">
        <is>
          <t xml:space="preserve">1. Login to CCC web UI
2. Navigate to opp dashboard
3. Click on "connect workers" button
4. Select delivery tab
5. Click on the connect worker
6. User lands on the worker visits verification page
</t>
        </is>
      </c>
      <c r="D3" s="73" t="inlineStr">
        <is>
          <t>- User should be able to land on the Worker Visit Verification page when they select any worker form the list 
- They should be able to review different type of visits under diff tabs that have been submitted on a given day
- The list should contain the following columns 
i) Completion Time , Date
ii) Entity Name
iii) deliver unit
iv) payment unit
v) Last Activity
vi) Status</t>
        </is>
      </c>
      <c r="E3" s="66" t="n"/>
      <c r="F3" s="73" t="n"/>
      <c r="G3" s="73" t="inlineStr">
        <is>
          <t>✅ Automated: test_vv_01_land_and_bulk_approve (Playwright). Passing on stage.</t>
        </is>
      </c>
    </row>
    <row r="4">
      <c r="A4" s="85" t="inlineStr">
        <is>
          <t>Worker Visit Verification Page_2</t>
        </is>
      </c>
      <c r="B4" s="73" t="inlineStr">
        <is>
          <t>User should also view the worker's to date performance at the top of the page</t>
        </is>
      </c>
      <c r="C4" s="73" t="inlineStr">
        <is>
          <t>1. Login to CCC web UI
2. Navigate to worker visit verification page</t>
        </is>
      </c>
      <c r="D4" s="73" t="inlineStr">
        <is>
          <t>- User should be able to view the workers performance at the top of the page and should see the following information 
(i) Total Visits: Payment units completed so far
(ii) Pending Tasks
(iii) Rejected Visits
(iv) Accrued amount
(v) Paid Amount</t>
        </is>
      </c>
      <c r="E4" s="66" t="n"/>
      <c r="F4" s="73" t="n"/>
      <c r="G4" s="73" t="inlineStr">
        <is>
          <t>✅ Covered by test_worker_gaps.test_src_w_46_worker_profile_kpis (worker-profile KPI header).</t>
        </is>
      </c>
    </row>
    <row r="5">
      <c r="A5" s="85" t="inlineStr">
        <is>
          <t>Worker Visit Verification Page_3</t>
        </is>
      </c>
      <c r="B5" s="73" t="inlineStr">
        <is>
          <t xml:space="preserve">Confirm on selecting an image a pop-up should open with a carousel view </t>
        </is>
      </c>
      <c r="C5" s="73" t="inlineStr">
        <is>
          <t>1. Login to CCC web UI
2. Navigate to worker visit verification page
3. Select any visit
4. Click on the image under visit details</t>
        </is>
      </c>
      <c r="D5" s="73" t="inlineStr">
        <is>
          <t>- User should be able to see the images in a carousel view when an image is selected</t>
        </is>
      </c>
      <c r="E5" s="66" t="n"/>
      <c r="F5" s="73" t="n"/>
      <c r="G5" s="73" t="inlineStr">
        <is>
          <t>✅ Automated: test_vv_03_image_carousel. Skips when no scanned visit has a photo attachment - point WORKER_VISIT_VERIFICATION_PAGE_3 at a with-image visit to exercise it.</t>
        </is>
      </c>
    </row>
    <row r="6">
      <c r="A6" s="85" t="inlineStr">
        <is>
          <t>Worker Visit Verification Page_4</t>
        </is>
      </c>
      <c r="B6" s="80" t="inlineStr">
        <is>
          <t xml:space="preserve">Confirm user is able to suspend users from an opportunity </t>
        </is>
      </c>
      <c r="C6" s="104" t="inlineStr">
        <is>
          <t>1. Login to CCC web UI
2. Navigate to opp dashboard
3. Click on "connect workers" button
4. Select delivery tab
5. Click on the connect worker
6. User lands on the worker visits verification page
7. Click on user name &gt;&gt; User details with suspend button pop up is displayed
8. Click on suspend button</t>
        </is>
      </c>
      <c r="D6" s="80" t="inlineStr">
        <is>
          <t xml:space="preserve">User should be able to suspend any worker from the opportunity by clicking the name of the user on the worker verification screen page </t>
        </is>
      </c>
      <c r="E6" s="66" t="n"/>
      <c r="F6" s="73" t="n"/>
      <c r="G6" s="73" t="inlineStr">
        <is>
          <t>✅ Automated: test_vv_04_suspend_and_revoke. Passing on stage.</t>
        </is>
      </c>
    </row>
    <row r="7">
      <c r="A7" s="85" t="inlineStr">
        <is>
          <t>Worker Visit Verification Page_5</t>
        </is>
      </c>
      <c r="B7" s="80" t="inlineStr">
        <is>
          <t>Verify user is able to see two tabs: 
Visits and Tasks</t>
        </is>
      </c>
      <c r="C7" s="104" t="inlineStr">
        <is>
          <t>1. Login to CCC web UI
2. Navigate to worker visit verification page</t>
        </is>
      </c>
      <c r="D7" s="80" t="inlineStr">
        <is>
          <t>- Visit details are shown in visits tab
- Task details are shown in tasks tab</t>
        </is>
      </c>
      <c r="E7" s="66" t="n"/>
      <c r="F7" s="73" t="n"/>
      <c r="G7" s="73" t="inlineStr">
        <is>
          <t>✅ Automated: test_vv_05_visit_tabs_render. Passing on stage.</t>
        </is>
      </c>
    </row>
    <row r="8">
      <c r="A8" s="85" t="inlineStr">
        <is>
          <t>Worker Visit Verification Page_6</t>
        </is>
      </c>
      <c r="B8" s="80" t="inlineStr">
        <is>
          <t xml:space="preserve">Verify submitted visit is auto approved </t>
        </is>
      </c>
      <c r="C8" s="104" t="inlineStr">
        <is>
          <t>1. Login to CCC web UI
2. Invite a worker from an Opp
3. Submit few forms from mobile
4. Navigate to visit verification page</t>
        </is>
      </c>
      <c r="D8" s="80" t="inlineStr">
        <is>
          <t>- Submitted visit should get auto approved
- Visit status should be approved</t>
        </is>
      </c>
      <c r="E8" s="66" t="n"/>
      <c r="F8" s="73" t="n"/>
      <c r="G8" s="73" t="n"/>
    </row>
    <row r="9">
      <c r="A9" s="85" t="inlineStr">
        <is>
          <t>Worker Visit Verification Page_7</t>
        </is>
      </c>
      <c r="B9" s="80" t="inlineStr">
        <is>
          <t>Verify submitted visiit is auto rejected when doesn't satisfy the configured verification rules</t>
        </is>
      </c>
      <c r="C9" s="104" t="inlineStr">
        <is>
          <t>1. Login to CCC web UI
2. For an opportunity configure verification rules
3. Submit the vists from mobile which doesn't satisfy the configured rules
4. Navigate to visit verification page</t>
        </is>
      </c>
      <c r="D9" s="80" t="inlineStr">
        <is>
          <t>- Visits that doesn't satisfy the configured verification rules are auto rejected</t>
        </is>
      </c>
      <c r="E9" s="66" t="n"/>
      <c r="F9" s="73" t="n"/>
      <c r="G9" s="73" t="n"/>
    </row>
    <row r="10">
      <c r="A10" s="85" t="inlineStr">
        <is>
          <t>Worker Visit Verification Page_8</t>
        </is>
      </c>
      <c r="B10" s="80" t="inlineStr">
        <is>
          <t>Verify submitted visit is auto rejected when suspended user make a visit</t>
        </is>
      </c>
      <c r="C10" s="104" t="inlineStr">
        <is>
          <t>1. Login to CCC web UI
2. Navigate to visit verification page &gt;&gt; Click on worker name &gt;&gt; Suspend the user
3. Submit few forms from mobile using user in step2
4. Observe the status of submitted visits in step3</t>
        </is>
      </c>
      <c r="D10" s="80" t="inlineStr">
        <is>
          <t>- Visits that are submitted by suspended user are auto rejected</t>
        </is>
      </c>
      <c r="E10" s="66" t="n"/>
      <c r="F10" s="73" t="n"/>
      <c r="G10" s="73" t="n"/>
    </row>
    <row r="11">
      <c r="A11" s="85" t="inlineStr">
        <is>
          <t>Worker Visit Verification Page_9</t>
        </is>
      </c>
      <c r="B11" s="80" t="inlineStr">
        <is>
          <t xml:space="preserve">Verify user is able to see the visit details upon clicking on the visit </t>
        </is>
      </c>
      <c r="C11" s="73" t="inlineStr">
        <is>
          <t>1. Login to CCC web UI
2. Navigate to worker visit verification page
3. Select any visit</t>
        </is>
      </c>
      <c r="D11" s="80" t="inlineStr">
        <is>
          <t xml:space="preserve">- Following details are shown for visit details:
Payment unit, Entity id, Entity name
Verification Parameters
Map
</t>
        </is>
      </c>
      <c r="E11" s="66" t="n"/>
      <c r="F11" s="73" t="n"/>
      <c r="G11" s="73" t="inlineStr">
        <is>
          <t>✅ Automated: test_vv_09_visit_details_panel. Passing on stage.</t>
        </is>
      </c>
    </row>
    <row r="12">
      <c r="A12" s="85" t="inlineStr">
        <is>
          <t>Worker Visit Verification Page_10</t>
        </is>
      </c>
      <c r="B12" s="104" t="inlineStr">
        <is>
          <t>Verify Over Limit status is marked correctly when visits exceeding the configured daily limit are submitted on the same day.</t>
        </is>
      </c>
      <c r="C12" s="104" t="inlineStr">
        <is>
          <t>1. login to CCC web UI
2. Invite connect worker
3. Complete the daily limit visits in mobile
4. Again submit the visits exceeding the daily visit limit</t>
        </is>
      </c>
      <c r="D12" s="104" t="inlineStr">
        <is>
          <t xml:space="preserve">- visits submitted exceeding the daily visit limit should marked as over limit </t>
        </is>
      </c>
      <c r="E12" s="66" t="n"/>
      <c r="F12" s="73" t="n"/>
      <c r="G12" s="73" t="n"/>
    </row>
    <row r="13">
      <c r="A13" s="85" t="inlineStr">
        <is>
          <t>Worker Visit Verification Page_11</t>
        </is>
      </c>
      <c r="B13" s="104" t="inlineStr">
        <is>
          <t>Verify only the first N visits (up to the daily limit) remain valid and any additional visits are flagged as Over Limit.</t>
        </is>
      </c>
      <c r="C13" s="104" t="inlineStr">
        <is>
          <t>1. login to CCC web UI
2. Invite connect worker
3. Complete the daily limit visits in mobile
4. Again submit the visits exceeding the daily visit limit</t>
        </is>
      </c>
      <c r="D13" s="104" t="inlineStr">
        <is>
          <t xml:space="preserve">- visits submitted exceeding the daily visit limit should marked as over limit </t>
        </is>
      </c>
      <c r="E13" s="66" t="n"/>
      <c r="F13" s="73" t="n"/>
      <c r="G13" s="73" t="n"/>
    </row>
    <row r="14">
      <c r="A14" s="85" t="inlineStr">
        <is>
          <t>Worker Visit Verification Page_12</t>
        </is>
      </c>
      <c r="B14" s="104" t="inlineStr">
        <is>
          <t>Verify Over Limit status is marked correctly when visits exceeding the configured total/max visit limit are submitted.</t>
        </is>
      </c>
      <c r="C14" s="104" t="inlineStr">
        <is>
          <t>1. login to CCC web UI
2. Invite connect worker
3. Complete the total max limit visits in mobile
4. Again submit the visits exceeding the daily visit limit</t>
        </is>
      </c>
      <c r="D14" s="104" t="inlineStr">
        <is>
          <t xml:space="preserve">- visits submitted exceeding the total max limit should marked as over limit </t>
        </is>
      </c>
      <c r="E14" s="66" t="n"/>
      <c r="F14" s="73" t="n"/>
      <c r="G14" s="73" t="n"/>
    </row>
    <row r="15">
      <c r="A15" s="85" t="inlineStr">
        <is>
          <t>Worker Visit Verification Page_13</t>
        </is>
      </c>
      <c r="B15" s="104" t="inlineStr">
        <is>
          <t>Verify only the first N visits (up to the total visit limit) remain valid and any additional visits are flagged as Over Limit.</t>
        </is>
      </c>
      <c r="C15" s="104" t="inlineStr">
        <is>
          <t>1. login to CCC web UI
2. Invite connect worker
3. Complete the total max limit visits in mobile
4. Again submit the visits exceeding the daily visit limit</t>
        </is>
      </c>
      <c r="D15" s="104" t="inlineStr">
        <is>
          <t xml:space="preserve">- visits submitted exceeding the total max limit should marked as over limit </t>
        </is>
      </c>
      <c r="E15" s="66" t="n"/>
      <c r="F15" s="73" t="n"/>
      <c r="G15" s="73" t="n"/>
    </row>
    <row r="16">
      <c r="A16" s="85" t="inlineStr">
        <is>
          <t>Worker Visit Verification Page_14</t>
        </is>
      </c>
      <c r="B16" s="104" t="inlineStr">
        <is>
          <t>Verify no additional visits are accepted when multiple submissions are processed concurrently after the daily limit has been reached.</t>
        </is>
      </c>
      <c r="C16" s="73" t="inlineStr">
        <is>
          <t>1. Login to CCC Web UI.
2. Create an opportunity with a configured daily visit limit.
3. Invite multiple Connect workers or prepare multiple visit submissions from the same worker.
4. Submit visits until the daily limit is reached.
5. Immediately submit multiple additional visits concurrently (for example, back-to-back submissions from a single device, multiple devices, or queued submissions syncing together).
6. Navigate to the Worker Visit Verification page.</t>
        </is>
      </c>
      <c r="D16" s="104" t="inlineStr">
        <is>
          <t>- Visits submitted before the daily limit is marked as approved
- visits submitted after the daily limit is marked as overlimit</t>
        </is>
      </c>
      <c r="E16" s="66" t="n"/>
      <c r="F16" s="73" t="n"/>
      <c r="G16" s="73" t="n"/>
    </row>
    <row r="17">
      <c r="A17" s="85" t="inlineStr">
        <is>
          <t>Worker Visit Verification Page_15</t>
        </is>
      </c>
      <c r="B17" s="104" t="inlineStr">
        <is>
          <t>Verify no additional visits are accepted when multiple submissions are processed concurrently after the total visit limit has been reached.</t>
        </is>
      </c>
      <c r="C17" s="104" t="inlineStr">
        <is>
          <t>1. Login to CCC Web UI.
2. Create an opportunity with a configured total/max visit limit.
3. Invite Connect workers.
4. Submit visits until the total visit limit is reached.
5. Immediately submit multiple additional visits concurrently (multiple devices, rapid submissions, or queued sync submissions).
6. Navigate to the Worker Visit Verification page.</t>
        </is>
      </c>
      <c r="D17" s="104" t="inlineStr">
        <is>
          <t>- Visits submitted before the total max limit is marked as approved
- visits submitted after the total max limit is marked as overlimit</t>
        </is>
      </c>
      <c r="E17" s="66" t="n"/>
      <c r="F17" s="73" t="n"/>
      <c r="G17" s="73" t="n"/>
    </row>
    <row r="18">
      <c r="A18" s="85" t="inlineStr">
        <is>
          <t>Worker Visit Verification Page_16</t>
        </is>
      </c>
      <c r="B18" s="104" t="inlineStr">
        <is>
          <t>Verify visits exceeding the daily limit are displayed with an Over Limit status on the Visit Verification screen.</t>
        </is>
      </c>
      <c r="C18" s="104" t="inlineStr">
        <is>
          <t>1. Login to CCC Web UI.
2. Configure a daily visit limit for the opportunity.
3. Invite Connect workers.
4. Submit visits exceeding the configured daily visit limit.
5. Open the Worker Visit Verification page.
6. Locate visits marked as Over Limit.
7. Hover over the visit count indicator.</t>
        </is>
      </c>
      <c r="D18" s="104" t="inlineStr">
        <is>
          <t>- when mouse hover on the count of visits overlimit count should be displayed</t>
        </is>
      </c>
      <c r="E18" s="66" t="n"/>
      <c r="F18" s="73" t="n"/>
      <c r="G18" s="73" t="n"/>
    </row>
    <row r="19">
      <c r="A19" s="85" t="inlineStr">
        <is>
          <t>Worker Visit Verification Page_17</t>
        </is>
      </c>
      <c r="B19" s="104" t="inlineStr">
        <is>
          <t>Verify visits exceeding the total visit limit are displayed with an Over Limit status on the Visit Verification screen.</t>
        </is>
      </c>
      <c r="C19" s="104" t="inlineStr">
        <is>
          <t>1. Login to CCC Web UI.
2. Configure a total/max visit limit for the opportunity.
3. Invite Connect workers.
4. Submit visits exceeding the configured total visit limit.
5. Open the Worker Visit Verification page.
6. Locate visits marked as Over Limit.
7. Hover over the visit count indicator.</t>
        </is>
      </c>
      <c r="D19" s="104" t="inlineStr">
        <is>
          <t>- when mouse hover on the count of visits overlimit count should be displayed</t>
        </is>
      </c>
      <c r="E19" s="66" t="n"/>
      <c r="F19" s="73" t="n"/>
      <c r="G19" s="73" t="n"/>
    </row>
    <row r="20">
      <c r="A20" s="85" t="inlineStr">
        <is>
          <t>Worker Visit Verification Page_18</t>
        </is>
      </c>
      <c r="B20" s="104" t="inlineStr">
        <is>
          <t>Verify the count of valid visits and Over Limit visits displayed on the Visit Verification screen is accurate after concurrent submissions.</t>
        </is>
      </c>
      <c r="C20" s="104" t="inlineStr">
        <is>
          <t>1. Login to CCC Web UI.
2. Configure daily and total visit limits.
3. Invite Connect workers.
4. Submit multiple visits concurrently after the configured limit has been reached.
5. Open the Worker Visit Verification page.
6. Verify the visit summary counts.
7. Hover over the count indicators if applicable.</t>
        </is>
      </c>
      <c r="D20" s="104" t="inlineStr">
        <is>
          <t>- when mouse hover on the count of visits overlimit count should be displayed</t>
        </is>
      </c>
      <c r="E20" s="66" t="n"/>
      <c r="F20" s="73" t="n"/>
      <c r="G20" s="73" t="n"/>
    </row>
    <row r="21">
      <c r="A21" s="85" t="inlineStr">
        <is>
          <t>Worker Visit Verification Page_19</t>
        </is>
      </c>
      <c r="B21" s="104" t="inlineStr">
        <is>
          <t>Verify visits submitted through queued/offline sync are correctly evaluated against the daily limit when multiple submissions are processed together.</t>
        </is>
      </c>
      <c r="C21" s="104" t="inlineStr">
        <is>
          <t>1. Login to CCC Web UI.
2. Configure a daily visit limit.
3. Invite a Connect worker.
4. Put the mobile device in offline mode.
5. Submit multiple visits while offline, including submissions exceeding the daily limit.
6. Restore network connectivity and allow all queued visits to sync together.
7. Open the Worker Visit Verification page.</t>
        </is>
      </c>
      <c r="D21" s="104" t="inlineStr">
        <is>
          <t>- Visit that are in daily limit marked as approved
- Visits that exceeds daily limit are marked as over limit</t>
        </is>
      </c>
      <c r="E21" s="66" t="n"/>
      <c r="F21" s="73" t="n"/>
      <c r="G21" s="73" t="n"/>
    </row>
    <row r="22">
      <c r="A22" s="85" t="inlineStr">
        <is>
          <t>Worker Visit Verification Page_20</t>
        </is>
      </c>
      <c r="B22" s="104" t="inlineStr">
        <is>
          <t>Verify visits submitted through queued/offline sync are correctly evaluated against the total visit limit when multiple submissions are processed together.</t>
        </is>
      </c>
      <c r="C22" s="104" t="inlineStr">
        <is>
          <t>1. Login to CCC Web UI.
2. Configure a total/max visit limit.
3. Invite a Connect worker.
4. Put the mobile device in offline mode.
5. Submit multiple visits while offline, including submissions exceeding the total visit limit.
6. Restore network connectivity and allow all queued visits to sync together.
7. Open the Worker Visit Verification page.</t>
        </is>
      </c>
      <c r="D22" s="104" t="inlineStr">
        <is>
          <t>- Visit that are in total/max limit marked as approved
- Visits that exceeds total/max limit are marked as over limit</t>
        </is>
      </c>
      <c r="E22" s="66" t="n"/>
      <c r="F22" s="73" t="n"/>
      <c r="G22" s="73" t="n"/>
    </row>
    <row r="23">
      <c r="A23" s="85" t="inlineStr">
        <is>
          <t>Worker Visit Verification Page_21</t>
        </is>
      </c>
      <c r="B23" s="104" t="inlineStr">
        <is>
          <t>Verify trial visit submission</t>
        </is>
      </c>
      <c r="C23" s="104" t="inlineStr">
        <is>
          <t>1. Submit visits befor the opp start date</t>
        </is>
      </c>
      <c r="D23" s="104" t="inlineStr">
        <is>
          <t>- visits submitted before opp start date is marked as trial</t>
        </is>
      </c>
      <c r="E23" s="66" t="n"/>
      <c r="F23" s="73" t="n"/>
      <c r="G23" s="73" t="n"/>
    </row>
    <row r="24">
      <c r="A24" s="85" t="inlineStr">
        <is>
          <t>Worker Visit Verification Page_22</t>
        </is>
      </c>
      <c r="B24" s="104" t="inlineStr">
        <is>
          <t>Verify post end date submissions</t>
        </is>
      </c>
      <c r="C24" s="104" t="inlineStr">
        <is>
          <t>1. Submit the visits after the opp has ended</t>
        </is>
      </c>
      <c r="D24" s="104" t="inlineStr">
        <is>
          <t>- visits submitted after opp ended is not updated in web and no progress is gained for an opp</t>
        </is>
      </c>
      <c r="E24" s="66" t="n"/>
      <c r="F24" s="73" t="n"/>
      <c r="G24" s="73" t="n"/>
    </row>
    <row r="25">
      <c r="A25" s="85" t="inlineStr">
        <is>
          <t>Worker Visit Verification Page_23</t>
        </is>
      </c>
      <c r="B25" s="104" t="inlineStr">
        <is>
          <t>Verify duplicate visits are billable only when visits are approved by NM and agreed by PM</t>
        </is>
      </c>
      <c r="C25" s="104" t="inlineStr">
        <is>
          <t xml:space="preserve">1. Login to CCC web UI
2. Invite user for an Opp
3. Submit duplicate forms
4. Approve visit by NM user 
5. Agree visit by PM user
</t>
        </is>
      </c>
      <c r="D25" s="104" t="inlineStr">
        <is>
          <t>- Only forms that are approved by NM and agreed by PM are eligible for payment and amount should accrued</t>
        </is>
      </c>
      <c r="E25" s="66" t="n"/>
      <c r="F25" s="73" t="n"/>
      <c r="G25" s="73" t="inlineStr">
        <is>
          <t>This test is for opp created before june 1</t>
        </is>
      </c>
    </row>
    <row r="26">
      <c r="A26" s="85" t="inlineStr">
        <is>
          <t>Worker Visit Verification Page_24</t>
        </is>
      </c>
      <c r="B26" s="104" t="inlineStr">
        <is>
          <t>Verify duplicate visits are not billable when PM is not agreed</t>
        </is>
      </c>
      <c r="C26" s="104" t="inlineStr">
        <is>
          <t xml:space="preserve">1. Login to CCC web UI
2. Invite user for an Opp
3. Submit duplicate forms
4. Approve visit by NM user 
</t>
        </is>
      </c>
      <c r="D26" s="104" t="inlineStr">
        <is>
          <t>- Visits that aren't agreed by Pm are not eligilble for payment</t>
        </is>
      </c>
      <c r="E26" s="66" t="n"/>
      <c r="F26" s="73" t="n"/>
      <c r="G26" s="73" t="inlineStr">
        <is>
          <t>This test is for opp created before june 1</t>
        </is>
      </c>
    </row>
    <row r="27">
      <c r="A27" s="85" t="inlineStr">
        <is>
          <t>Worker Visit Verification Page_25</t>
        </is>
      </c>
      <c r="B27" s="104" t="inlineStr">
        <is>
          <t>Verfiy the visits are billable only when agreed by PM using import bulk</t>
        </is>
      </c>
      <c r="C27" s="104" t="inlineStr">
        <is>
          <t xml:space="preserve">1. Login to CC web UI
2. Invite user for an opp
3. Submit few duplicate visits
4. Navigate to connect workers page &gt;&gt; Download the PM review csv export
5. Make chnages are PM agreed for visits and import
</t>
        </is>
      </c>
      <c r="D27" s="104" t="inlineStr">
        <is>
          <t>- Only forms that are approved by NM and agreed by PM are eligible for payment and amount should accrued</t>
        </is>
      </c>
      <c r="E27" s="66" t="n"/>
      <c r="F27" s="73" t="n"/>
      <c r="G27" s="73" t="inlineStr">
        <is>
          <t>This test is for opp created before june 1</t>
        </is>
      </c>
    </row>
    <row r="28">
      <c r="A28" s="85" t="inlineStr">
        <is>
          <t>Worker Visit Verification Page_26</t>
        </is>
      </c>
      <c r="B28" s="104" t="inlineStr">
        <is>
          <t>Verfiy the visits are not billable when disagreed by PM using import bulk</t>
        </is>
      </c>
      <c r="C28" s="104" t="inlineStr">
        <is>
          <t xml:space="preserve">1. Login to CC web UI
2. Invite user for an opp
3. Submit few duplicate visits
4. Navigate to connect workers page &gt;&gt; Download the PM review csv export
5. Make chnages are PM disagreed for visits and import
</t>
        </is>
      </c>
      <c r="D28" s="104" t="inlineStr">
        <is>
          <t>- Only forms that are approved by NM and agreed by PM are eligible for payment and amount should accrued</t>
        </is>
      </c>
      <c r="E28" s="66" t="n"/>
      <c r="F28" s="73" t="n"/>
      <c r="G28" s="73" t="inlineStr">
        <is>
          <t>This test is for opp created before june 1</t>
        </is>
      </c>
    </row>
    <row r="29">
      <c r="A29" s="85" t="inlineStr">
        <is>
          <t>Worker Visit Verification Page_27</t>
        </is>
      </c>
      <c r="B29" s="104" t="inlineStr">
        <is>
          <t>Verify combination of agreed/disgareed for duplicate visits using import</t>
        </is>
      </c>
      <c r="C29" s="104" t="inlineStr">
        <is>
          <t xml:space="preserve">1. Login to CC web UI
2. Invite user for an opp
3. Submit few duplicate visits
4. Navigate to connect workers page &gt;&gt; Download the PM review csv export
5. Make chnages are PM agreed for few visits, disagree some visits and import
</t>
        </is>
      </c>
      <c r="D29" s="104" t="inlineStr">
        <is>
          <t>- Only forms that are approved by NM and agreed by PM are eligible for payment and amount should accrued</t>
        </is>
      </c>
      <c r="E29" s="66" t="n"/>
      <c r="F29" s="73" t="n"/>
      <c r="G29" s="73" t="inlineStr">
        <is>
          <t>This test is for opp created before june 1</t>
        </is>
      </c>
    </row>
    <row r="30">
      <c r="A30" s="85" t="inlineStr">
        <is>
          <t>Worker Visit Verification Page_28</t>
        </is>
      </c>
      <c r="B30" s="104" t="inlineStr">
        <is>
          <t>Verify the invoice generating should contains only visits that are agreed by PM</t>
        </is>
      </c>
      <c r="C30" s="104" t="inlineStr">
        <is>
          <t xml:space="preserve">1. Loin to CCC web UI
2. Navigate to view invoices page
3. Click create invoice &gt;&gt; service delivery
4. Select date </t>
        </is>
      </c>
      <c r="D30" s="104" t="inlineStr">
        <is>
          <t>- The visits that are approved by NM and agreed by PM are listed for invoice generation</t>
        </is>
      </c>
      <c r="E30" s="66" t="n"/>
      <c r="F30" s="73" t="n"/>
      <c r="G30" s="73" t="inlineStr">
        <is>
          <t>This test is for opp created before june 1</t>
        </is>
      </c>
    </row>
    <row r="31">
      <c r="A31" s="85" t="inlineStr">
        <is>
          <t>Worker Visit Verification Page_29</t>
        </is>
      </c>
      <c r="B31" s="104" t="inlineStr">
        <is>
          <t>Verify payment is accrued only when all required visits and atleast one optional visit (if any) are agreed by PM</t>
        </is>
      </c>
      <c r="C31" s="104" t="inlineStr">
        <is>
          <t>1. Login to CCC web UI
2. Submit all required visits
3. Submit atleast one optioanl visit
4. Approve by NM and agree by PM</t>
        </is>
      </c>
      <c r="D31" s="104" t="inlineStr">
        <is>
          <t>- payment should be accrued only when all req visits and atleast one optional visit is agreed by PM</t>
        </is>
      </c>
      <c r="E31" s="66" t="n"/>
      <c r="F31" s="73" t="n"/>
      <c r="G31" s="73" t="inlineStr">
        <is>
          <t>This test is for opp created before june 1</t>
        </is>
      </c>
    </row>
    <row r="32">
      <c r="A32" s="85" t="inlineStr">
        <is>
          <t>Worker Visit Verification Page_30</t>
        </is>
      </c>
      <c r="B32" s="104" t="inlineStr">
        <is>
          <t>Verify payment is not accrued when all required visits and atleast one optional visit (if any) are agreed by PM</t>
        </is>
      </c>
      <c r="C32" s="104" t="inlineStr">
        <is>
          <t>1. Login to CCC web UI
2. Submit all required visits
3. Submit atleast one optioanl visit
4. Approve by NM 
5. Don't agree all visits by PM</t>
        </is>
      </c>
      <c r="D32" s="104" t="inlineStr">
        <is>
          <t>- payment should not be accrued</t>
        </is>
      </c>
      <c r="E32" s="66" t="n"/>
      <c r="F32" s="73" t="n"/>
      <c r="G32" s="73" t="inlineStr">
        <is>
          <t>This test is for opp created before june 1</t>
        </is>
      </c>
    </row>
    <row r="33">
      <c r="A33" s="85" t="inlineStr">
        <is>
          <t>Worker Visit Verification Page_31</t>
        </is>
      </c>
      <c r="B33" s="86" t="inlineStr">
        <is>
          <t>Verfiy user is able to reject the visits (NM user)</t>
        </is>
      </c>
      <c r="C33" s="104" t="inlineStr">
        <is>
          <t>1. Login to CCC web UI
2. Navigate to visit verification page
3. Click on visit details &gt;&gt; Click on reject</t>
        </is>
      </c>
      <c r="D33" s="104" t="inlineStr">
        <is>
          <t>- Status should get update to rejected</t>
        </is>
      </c>
      <c r="E33" s="66" t="n"/>
      <c r="F33" s="87" t="n"/>
      <c r="G33" s="73" t="inlineStr">
        <is>
          <t>This test is for opp created before june 2 | ✅ Automated: test_vv_31_nm_reject_visit (NM org). Skips until a seeded manual-review opp with pending visits exists.</t>
        </is>
      </c>
    </row>
    <row r="34">
      <c r="A34" s="85" t="inlineStr">
        <is>
          <t>Worker Visit Verification Page_32</t>
        </is>
      </c>
      <c r="B34" s="86" t="inlineStr">
        <is>
          <t>Verify user is able to approve the visits (NM user)</t>
        </is>
      </c>
      <c r="C34" s="104" t="inlineStr">
        <is>
          <t>1. Login to CCC web UI
2. Navigate to visit verification page
3. Click on visit details &gt;&gt; Click on approve</t>
        </is>
      </c>
      <c r="D34" s="104" t="inlineStr">
        <is>
          <t>- Status should get update to approved</t>
        </is>
      </c>
      <c r="E34" s="66" t="n"/>
      <c r="F34" s="87" t="n"/>
      <c r="G34" s="73" t="inlineStr">
        <is>
          <t>This test is for opp created before june 3 | ✅ Automated: test_vv_32_nm_approve_visit (NM org). Skips until a seeded manual-review opp with pending visits exists.</t>
        </is>
      </c>
    </row>
    <row r="35">
      <c r="A35" s="85" t="inlineStr">
        <is>
          <t>Worker Visit Verification Page_33</t>
        </is>
      </c>
      <c r="B35" s="86" t="inlineStr">
        <is>
          <t>Verify user is able to agree the visits (PM user)</t>
        </is>
      </c>
      <c r="C35" s="104" t="inlineStr">
        <is>
          <t>1. Login to CCC web UI
2. Navigate to visit verification page
3. Click on visit details &gt;&gt; Click on agree</t>
        </is>
      </c>
      <c r="D35" s="104" t="inlineStr">
        <is>
          <t>- when PM approved visit paymnet amount is accrued</t>
        </is>
      </c>
      <c r="E35" s="66" t="n"/>
      <c r="F35" s="87" t="n"/>
      <c r="G35" s="73" t="inlineStr">
        <is>
          <t>This test is for opp created before june 4 | ✅ Automated: test_vv_33_pm_agree_visit. Skips until seeded NM-approved / PM-review-pending visits exist.</t>
        </is>
      </c>
    </row>
    <row r="36">
      <c r="A36" s="85" t="inlineStr">
        <is>
          <t>Worker Visit Verification Page_34</t>
        </is>
      </c>
      <c r="B36" s="86" t="inlineStr">
        <is>
          <t>Verify user is able to disagree the visits (PM user)</t>
        </is>
      </c>
      <c r="C36" s="104" t="inlineStr">
        <is>
          <t>1. Login to CCC web UI
2. Navigate to visit verification page
3. Click on visit details &gt;&gt; Click on disagree</t>
        </is>
      </c>
      <c r="D36" s="104" t="inlineStr">
        <is>
          <t>- When PM disagreed no paymnet is accrued</t>
        </is>
      </c>
      <c r="E36" s="66" t="n"/>
      <c r="F36" s="87" t="n"/>
      <c r="G36" s="73" t="inlineStr">
        <is>
          <t>This test is for opp created before june 5 | ✅ Automated: test_vv_34_pm_disagree_visit. Skips until seeded NM-approved / PM-review-pending visits exist.</t>
        </is>
      </c>
    </row>
    <row r="37">
      <c r="A37" s="85" t="inlineStr">
        <is>
          <t>Worker Visit Verification Page_35</t>
        </is>
      </c>
      <c r="B37" s="86" t="inlineStr">
        <is>
          <t>Verify user is not able to agree the visit that is disagreed and vice versa</t>
        </is>
      </c>
      <c r="C37" s="104" t="n"/>
      <c r="D37" s="104" t="n"/>
      <c r="E37" s="66" t="n"/>
      <c r="F37" s="87" t="n"/>
      <c r="G37" s="73" t="inlineStr">
        <is>
          <t>✅ Automated: test_vv_35_agree_and_disagree_are_mutually_exclusive (disagreed visit can't be agreed &amp; vice-versa). Skips until manual-review opp seeded.</t>
        </is>
      </c>
    </row>
    <row r="38">
      <c r="A38" s="166" t="inlineStr">
        <is>
          <t>Payment eligibility</t>
        </is>
      </c>
      <c r="B38" s="153" t="n"/>
      <c r="C38" s="153" t="n"/>
      <c r="D38" s="153" t="n"/>
      <c r="E38" s="153" t="n"/>
      <c r="F38" s="153" t="n"/>
      <c r="G38" s="154" t="n"/>
    </row>
    <row r="39">
      <c r="A39" s="58" t="inlineStr">
        <is>
          <t>Payment eligibility_01</t>
        </is>
      </c>
      <c r="B39" s="104" t="inlineStr">
        <is>
          <t>Verify user becomes eligible for payment when all required visits are approved</t>
        </is>
      </c>
      <c r="C39" s="104" t="inlineStr">
        <is>
          <t>1. Login to CCC Web UI. 
2. Create or select an opportunity with required delivery units configured. 
3. Invite a PID user to the opportunity. 
4. Login to the mobile app with the PID user. 
5. Claim the job and submit forms for all required visits.
 6. Approve the visits from the web/admin panel.</t>
        </is>
      </c>
      <c r="D39" s="104" t="inlineStr">
        <is>
          <t>User becomes eligible for payment once all required visits are approved.</t>
        </is>
      </c>
      <c r="E39" s="66" t="n"/>
      <c r="F39" s="73" t="n"/>
      <c r="G39" s="73" t="n"/>
    </row>
    <row r="40">
      <c r="A40" s="58" t="inlineStr">
        <is>
          <t>Payment eligibility_02</t>
        </is>
      </c>
      <c r="B40" s="104" t="inlineStr">
        <is>
          <t>Verify user is not eligible for payment if any required visit is not approved</t>
        </is>
      </c>
      <c r="C40" s="104" t="inlineStr">
        <is>
          <t>1. Login to CCC Web UI. 
2. Create an opportunity with multiple required visits. 
3. Invite a PID user. 
4. Submit all required visits from mobile. 
5. Approve only some of the required visits and leave at least one pending/rejected.</t>
        </is>
      </c>
      <c r="D40" s="104" t="inlineStr">
        <is>
          <t>User should not be eligible for payment if any required visit is not approved.</t>
        </is>
      </c>
      <c r="E40" s="66" t="n"/>
      <c r="F40" s="73" t="n"/>
      <c r="G40" s="73" t="n"/>
    </row>
    <row r="41">
      <c r="A41" s="58" t="inlineStr">
        <is>
          <t>Payment eligibility_03</t>
        </is>
      </c>
      <c r="B41" s="104" t="inlineStr">
        <is>
          <t>Verify payment eligibility when all required visits and at least one optional visit are approved</t>
        </is>
      </c>
      <c r="C41" s="104" t="inlineStr">
        <is>
          <t>1. Create an opportunity with required and optional delivery units. 
2. Invite PID user and claim job from mobile. 
3. Submit required visit forms. 
4. Submit at least one optional visit form. 
5. Approve all required visits and one optional visit.</t>
        </is>
      </c>
      <c r="D41" s="104" t="inlineStr">
        <is>
          <t>User becomes eligible for payment.</t>
        </is>
      </c>
      <c r="E41" s="66" t="n"/>
      <c r="F41" s="73" t="n"/>
      <c r="G41" s="73" t="n"/>
    </row>
    <row r="42">
      <c r="A42" s="58" t="inlineStr">
        <is>
          <t>Payment eligibility_04</t>
        </is>
      </c>
      <c r="B42" s="104" t="inlineStr">
        <is>
          <t>Verify worker is not eligible if optional visits exist but none are approved</t>
        </is>
      </c>
      <c r="C42" s="104" t="inlineStr">
        <is>
          <t>1. Create opportunity with required and optional visits. 
2. Submit all required visits. 
3. Submit optional visits but do not approve them.
 4. Approve only required visits.</t>
        </is>
      </c>
      <c r="D42" s="104" t="inlineStr">
        <is>
          <t>User should not be eligible for payment because no optional visit is approved.</t>
        </is>
      </c>
      <c r="E42" s="66" t="n"/>
      <c r="F42" s="73" t="n"/>
      <c r="G42" s="73" t="n"/>
    </row>
    <row r="43">
      <c r="A43" s="58" t="inlineStr">
        <is>
          <t>Payment eligibility_06</t>
        </is>
      </c>
      <c r="B43" s="104" t="inlineStr">
        <is>
          <t>Verify auto-approval system correctly marks eligibility</t>
        </is>
      </c>
      <c r="C43" s="104" t="inlineStr">
        <is>
          <t>1. Enable auto approval for visits. 
2. Invite PID user. 
3. Submit required and optional visits from mobile. 
4. Allow system to auto approve visits.</t>
        </is>
      </c>
      <c r="D43" s="104" t="inlineStr">
        <is>
          <t>System automatically marks user as eligible for payment when conditions are satisfied.</t>
        </is>
      </c>
      <c r="E43" s="66" t="n"/>
      <c r="F43" s="73" t="n"/>
      <c r="G43" s="73" t="n"/>
    </row>
    <row r="44">
      <c r="A44" s="58" t="inlineStr">
        <is>
          <t>Payment eligibility_07</t>
        </is>
      </c>
      <c r="B44" s="104" t="inlineStr">
        <is>
          <t>Verify manual approval works with new eligibility logic</t>
        </is>
      </c>
      <c r="C44" s="104" t="inlineStr">
        <is>
          <t>1. Create opportunity with required and optional visits. 
2. Submit visits from mobile. 
3. Admin manually approves required visits and at least one optional visit.</t>
        </is>
      </c>
      <c r="D44" s="104" t="inlineStr">
        <is>
          <t>User becomes eligible for payment after manual approval.</t>
        </is>
      </c>
      <c r="E44" s="66" t="n"/>
      <c r="F44" s="73" t="n"/>
      <c r="G44" s="73" t="n"/>
    </row>
    <row r="45">
      <c r="A45" s="58" t="inlineStr">
        <is>
          <t>Payment eligibility_08</t>
        </is>
      </c>
      <c r="B45" s="104" t="inlineStr">
        <is>
          <t>Verify optional visit approved but required visits missing</t>
        </is>
      </c>
      <c r="C45" s="104" t="inlineStr">
        <is>
          <t>1. Create opportunity with required and optional visits. 
2. Submit optional visit first.
3. Approve optional visit but leave required visits pending.</t>
        </is>
      </c>
      <c r="D45" s="104" t="inlineStr">
        <is>
          <t>User should not be eligible for payment until all required visits are approved.</t>
        </is>
      </c>
      <c r="E45" s="66" t="n"/>
      <c r="F45" s="73" t="n"/>
      <c r="G45" s="73" t="n"/>
    </row>
    <row r="46">
      <c r="A46" s="58" t="inlineStr">
        <is>
          <t>Payment eligibility_09</t>
        </is>
      </c>
      <c r="B46" s="104" t="inlineStr">
        <is>
          <t>Verify rejected visits do not count toward payment eligibility</t>
        </is>
      </c>
      <c r="C46" s="104" t="inlineStr">
        <is>
          <t>1. Submit required visits from mobile. 
2. Reject one of the required visits from web.</t>
        </is>
      </c>
      <c r="D46" s="104" t="inlineStr">
        <is>
          <t>User should not be eligible for payment when a required visit is rejected.</t>
        </is>
      </c>
      <c r="E46" s="66" t="n"/>
      <c r="F46" s="73" t="n"/>
      <c r="G46" s="73" t="n"/>
    </row>
    <row r="47">
      <c r="A47" s="58" t="inlineStr">
        <is>
          <t>GAP-SRC-W-40</t>
        </is>
      </c>
      <c r="B47" s="104" t="inlineStr">
        <is>
          <t>Verification tab-set is a function of mode x role: auto+PM=[All]; auto+NM=[Approved,Rejected,All]; manual+PM=[Pending PM Review,Disagree,Agree,All]; manual+NM=[Pending NM Review,Pending PM Review,Disagree,Agree,Rejected,All]. Tab labels are role-sensitive (agree='Agree'(PM)/'Approved'(NM); disagree='Disagree'(PM)/'Revalidate'(NM)). Src: VisitVerificationTableView.tabs + get_tab_display (views.py ~2355-2384).</t>
        </is>
      </c>
      <c r="C47" s="104" t="inlineStr"/>
      <c r="D47" s="80" t="inlineStr"/>
      <c r="E47" s="66" t="inlineStr"/>
      <c r="F47" s="73" t="inlineStr"/>
      <c r="G47" s="73" t="inlineStr">
        <is>
          <t>✅ Automated: test_gap_w_40_verification_tab_set_by_mode_and_role. Asserts PM sees Pending PM Review (not Pending NM Review), NM sees both, set ends with 'All'. Skips until manual-review opp seeded / when WORKER_VISITS_TASKS switch ON.</t>
        </is>
      </c>
    </row>
    <row r="48">
      <c r="A48" s="191" t="inlineStr">
        <is>
          <t>GAP-SRC-W-41</t>
        </is>
      </c>
      <c r="B48" s="104" t="inlineStr">
        <is>
          <t>WORKER_VISITS_TASKS waffle switch changes the whole visit table: ON -&gt; plain WorkerVisitTable (no review tabs, no bulk actions); OFF -&gt; tabbed VisitVerificationTable. Also gates the Visits/Tasks sub-tab bar on the worker profile. Src: visit_verification_table_view (~2436-2441); UserVisitVerificationView show_worker_tasks_tabs (~2190).</t>
        </is>
      </c>
      <c r="C48" s="104" t="inlineStr"/>
      <c r="D48" s="104" t="inlineStr"/>
      <c r="E48" s="66" t="inlineStr"/>
      <c r="F48" s="73" t="inlineStr"/>
      <c r="G48" s="73" t="inlineStr">
        <is>
          <t>✅ Automated: test_gap_w_41_visit_table_waffle_mode_consistent. Passing on stage.</t>
        </is>
      </c>
    </row>
    <row r="49">
      <c r="A49" s="191" t="inlineStr">
        <is>
          <t>GAP-SRC-W-42</t>
        </is>
      </c>
      <c r="B49" s="104" t="inlineStr">
        <is>
          <t>In-UI bulk Approve/Reject rules: max 100 visits per bulk op (400 'Maximum 100 visits allowed'); justification mandatory for flagged visits; reject requires a reason; disagree-&gt;pending; payment accrued recomputed. Src: approve_visits (~1062-1109) / reject_visits (~1116-1136).</t>
        </is>
      </c>
      <c r="C49" s="104" t="inlineStr"/>
      <c r="D49" s="104" t="inlineStr"/>
      <c r="E49" s="66" t="inlineStr"/>
      <c r="F49" s="73" t="inlineStr"/>
      <c r="G49" s="73" t="inlineStr">
        <is>
          <t>✅ Automated (partial): test_gap_w_42_reject_requires_reason + test_gap_w_42_approve_requires_justification (mandatory reason/justification enforced). 100-visit bulk cap NOT covered (needs &gt;100 seeded visits).</t>
        </is>
      </c>
    </row>
    <row r="50">
      <c r="A50" s="191" t="inlineStr">
        <is>
          <t>GAP-SRC-W-43</t>
        </is>
      </c>
      <c r="B50" s="104" t="inlineStr">
        <is>
          <t>Bulk select + Approve All/Reject All controls are hidden for PM, for viewer, and under auto-verify; only a non-viewer NM on a manual-review opp sees them. The select checkbox column is invisible for PM. Src: user_visit_verification_table.html bulk button guards; UserVisitVerificationTable.__init__ select column (~915-917).</t>
        </is>
      </c>
      <c r="C50" s="104" t="inlineStr"/>
      <c r="D50" s="104" t="inlineStr"/>
      <c r="E50" s="66" t="inlineStr"/>
      <c r="F50" s="73" t="inlineStr"/>
      <c r="G50" s="73" t="inlineStr">
        <is>
          <t>✅ Automated: test_gap_w_43_bulk_controls_hidden_for_pm (passing). NM positive control test_gap_w_43_bulk_controls_visible_for_nm skips until a seeded manual-review opp.</t>
        </is>
      </c>
    </row>
    <row r="51">
      <c r="A51" s="191" t="inlineStr">
        <is>
          <t>GAP-SRC-W-44</t>
        </is>
      </c>
      <c r="B51" s="104" t="inlineStr">
        <is>
          <t>Individual visit-review action bar is role/mode gated: hidden entirely under auto-verify; PM sees Agree/Disagree (Disagree only when review pending; Agree disabled when already agree); NM sees Approve/Reject with enable/disable by status; all disabled for viewer. Src: user_visit_details.html action bar (~292-320); user_visit_review (~1547-1557).</t>
        </is>
      </c>
      <c r="C51" s="104" t="inlineStr"/>
      <c r="D51" s="104" t="inlineStr"/>
      <c r="E51" s="66" t="inlineStr"/>
      <c r="F51" s="73" t="inlineStr"/>
      <c r="G51" s="73" t="inlineStr">
        <is>
          <t>✅ Automated: test_gap_w_44_visit_action_bar_gating. Passing on stage.</t>
        </is>
      </c>
    </row>
    <row r="52">
      <c r="A52" s="191" t="inlineStr">
        <is>
          <t>GAP-SRC-W-45</t>
        </is>
      </c>
      <c r="B52" s="104" t="inlineStr">
        <is>
          <t>Manual-verification endpoints (approve/reject/review/import-review/export-review) return HTTP 403 + HX-Trigger reload_table when the opportunity is auto-verify. Src: @require_manual_visit_verification (decorators.py ~6-27).</t>
        </is>
      </c>
      <c r="C52" s="104" t="inlineStr"/>
      <c r="D52" s="104" t="inlineStr"/>
      <c r="E52" s="66" t="inlineStr"/>
      <c r="F52" s="73" t="inlineStr"/>
      <c r="G52" s="73" t="inlineStr">
        <is>
          <t>✅ Automated: test_gap_w_45_manual_endpoint_403_under_auto_verify. Skips on covid_opp_test (it is manual-review, not auto-verify) - needs an auto-verify opp to run the 403 assertion.</t>
        </is>
      </c>
    </row>
  </sheetData>
  <mergeCells count="2">
    <mergeCell ref="A38:G38"/>
    <mergeCell ref="A1:G1"/>
  </mergeCells>
  <conditionalFormatting sqref="E3:E37 E39:E47">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3:E37 E39:E47" showDropDown="0" showInputMessage="0" showErrorMessage="1" allowBlank="1" type="list">
      <formula1>"Pass,Fail,N/A,Blocking"</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G42"/>
  <sheetViews>
    <sheetView workbookViewId="0">
      <selection activeCell="A1" sqref="A1"/>
    </sheetView>
  </sheetViews>
  <sheetFormatPr baseColWidth="8" defaultColWidth="12.63" defaultRowHeight="15.75" customHeight="1"/>
  <cols>
    <col width="45.5" customWidth="1" style="148" min="2" max="2"/>
    <col width="40.13" customWidth="1" style="148" min="3" max="3"/>
    <col width="52.13" customWidth="1" style="148" min="4" max="4"/>
  </cols>
  <sheetData>
    <row r="1">
      <c r="A1" s="166" t="inlineStr">
        <is>
          <t>Network Manager</t>
        </is>
      </c>
      <c r="B1" s="153" t="n"/>
      <c r="C1" s="153" t="n"/>
      <c r="D1" s="153" t="n"/>
      <c r="E1" s="153" t="n"/>
      <c r="F1" s="153" t="n"/>
      <c r="G1" s="154" t="n"/>
    </row>
    <row r="2" ht="15" customHeight="1" s="148">
      <c r="A2" s="54" t="inlineStr">
        <is>
          <t>Test Case ID</t>
        </is>
      </c>
      <c r="B2" s="54" t="inlineStr">
        <is>
          <t>Description</t>
        </is>
      </c>
      <c r="C2" s="54" t="inlineStr">
        <is>
          <t>Steps</t>
        </is>
      </c>
      <c r="D2" s="55" t="inlineStr">
        <is>
          <t>Outcome</t>
        </is>
      </c>
      <c r="E2" s="54" t="inlineStr">
        <is>
          <t>Status (Pass/Fail)</t>
        </is>
      </c>
      <c r="F2" s="55" t="inlineStr">
        <is>
          <t xml:space="preserve">QA Ticket </t>
        </is>
      </c>
      <c r="G2" s="55" t="inlineStr">
        <is>
          <t xml:space="preserve">Comments </t>
        </is>
      </c>
    </row>
    <row r="3">
      <c r="A3" s="82" t="inlineStr">
        <is>
          <t>Invoice_01</t>
        </is>
      </c>
      <c r="B3" s="68" t="inlineStr">
        <is>
          <t xml:space="preserve">Verify user can land on the Invoice page by clicking "View Invoice" option from the opportunity dashboard page </t>
        </is>
      </c>
      <c r="C3" s="68" t="inlineStr">
        <is>
          <t xml:space="preserve">1. Login to CCC web UI
2. Navigate to opp dashboard
3. Click on hamburger option
4. Select "view invoice" option
</t>
        </is>
      </c>
      <c r="D3" s="68" t="inlineStr">
        <is>
          <t xml:space="preserve">- User should land on the Invoices page without any issue 
- They should see a list of previous invoices which by default is ordered by the date in which it was raised. 
- They should see the following two tabs on the Invoices page:
All Invoices 
Payment Report
- User should also see a "Create new Invoice" button </t>
        </is>
      </c>
      <c r="E3" s="62" t="n"/>
    </row>
    <row r="4">
      <c r="A4" s="82" t="inlineStr">
        <is>
          <t>Invoice_02</t>
        </is>
      </c>
      <c r="B4" s="68" t="inlineStr">
        <is>
          <t>Verify user sees all the information for invoices under All Invoice tab</t>
        </is>
      </c>
      <c r="C4" s="68" t="inlineStr">
        <is>
          <t xml:space="preserve">1. Login to CCC web UI
2. Navigate to opp dashboard
3. Click on hamburger option
4. Select "view invoice" option
</t>
        </is>
      </c>
      <c r="D4" s="68" t="inlineStr">
        <is>
          <t xml:space="preserve">User should the following columns on the "All Invoices" tab
- Amount 
- Amount (USD) 
- Rate 
- Date added
- Invoice Number 
- Payment Status 
- Payment Date 
- Service Delivery </t>
        </is>
      </c>
      <c r="E4" s="62" t="n"/>
    </row>
    <row r="5">
      <c r="A5" s="82" t="inlineStr">
        <is>
          <t>Invoice_03</t>
        </is>
      </c>
      <c r="B5" s="68" t="inlineStr">
        <is>
          <t xml:space="preserve">Verify user sees the total accrued and paid amount for both worker and organization on the Payment Report page </t>
        </is>
      </c>
      <c r="C5" s="68" t="inlineStr">
        <is>
          <t>1. Login to CCC web UI
2. Navigate to opp dashboard
3. Click on hamburger option
4. Select "view invoice" option
5. Go to payment report tab</t>
        </is>
      </c>
      <c r="D5" s="68" t="inlineStr">
        <is>
          <t xml:space="preserve">- User should see the total amount accrued by both Workers and Organization 
- User should also see total amount paid to both Workers and Organization 
- User should see a button to switch to USD from local currency 
- User should see the following columns on the page 
Payment Unit 
Approved Units 
User Payment Accrued 
Network Manager Payment Accrued </t>
        </is>
      </c>
      <c r="E5" s="62" t="n"/>
    </row>
    <row r="6">
      <c r="A6" s="82" t="inlineStr">
        <is>
          <t>Invoice_04</t>
        </is>
      </c>
      <c r="B6" s="68" t="inlineStr">
        <is>
          <t>Verify on the Payment Report, the amount gets converted to USD when user toggles the switch</t>
        </is>
      </c>
      <c r="C6" s="68" t="inlineStr">
        <is>
          <t xml:space="preserve">1. Login to CCC web UI
2. Navigate to opp dashboard
3. Click on hamburger option
4. Select "view invoice" option
5. Go to payment report tab
6. Click on USD </t>
        </is>
      </c>
      <c r="D6" s="68" t="inlineStr">
        <is>
          <t xml:space="preserve">- The amount should get updated to USD from local currency when the user toggles the switch to USD from local currency </t>
        </is>
      </c>
      <c r="E6" s="62" t="n"/>
    </row>
    <row r="7">
      <c r="A7" s="82" t="inlineStr">
        <is>
          <t>Invoice_05</t>
        </is>
      </c>
      <c r="B7" s="68" t="inlineStr">
        <is>
          <t>Confirm user can create a new custom invoice by clicking on the "Create Invoice" button</t>
        </is>
      </c>
      <c r="C7" s="68" t="inlineStr">
        <is>
          <t>1. Login to CCC web UI
2. Navigate to opp dashboard
3. Click on hamburger option
4. Select "view invoice" option
5. click on create invoice button and Select Invoice Type = Custom
6. Enter Invoice Amount
7. Enter Date of Expense Incurred
8. Enter Justification describing purpose, date, and subscription
9. Click Submit</t>
        </is>
      </c>
      <c r="D7" s="68" t="inlineStr">
        <is>
          <t xml:space="preserve">"- User is navigated to Custom Invoice page
- Invoice ID is unique and auto generated
- Invoice Generation Date is auto generated today's date
- Required fields are validated 
- Custom invoice is created successfully 
- Invoice appears in Invoice List with Invoice Type = Other"
ii) Enter all the details and ensure a new invoice get created and is visible under "All Invoices" tab. 
iii) Invoice should also be visible for a PM user </t>
        </is>
      </c>
      <c r="E7" s="62" t="n"/>
    </row>
    <row r="8">
      <c r="A8" s="82" t="inlineStr">
        <is>
          <t>Invoice_06</t>
        </is>
      </c>
      <c r="B8" s="68" t="inlineStr">
        <is>
          <t xml:space="preserve">Confirm that user sees a message, displaying the amount in USD </t>
        </is>
      </c>
      <c r="C8" s="68" t="inlineStr">
        <is>
          <t xml:space="preserve">1. Login to CCC web UI
2. Navigate to opp dashboard
3. Click on hamburger option
4. Select "view invoice" option
5. On invoice page, click on create invoice button
6. Create an invoice
</t>
        </is>
      </c>
      <c r="D8" s="68" t="inlineStr">
        <is>
          <t xml:space="preserve">- On entering the amount in the amount field, user should see the following message
Exchange Rate on 20-06-2025: 'xyz'
Amount in USD: 'abc' 
- On creating the invoice, user should see the amount in both local currency and USD on the "All Invoices" tab
Note: When the program is created in USD, user should see the message but the amount after exchange rate should be same as entered by the user. </t>
        </is>
      </c>
      <c r="E8" s="62" t="n"/>
    </row>
    <row r="9">
      <c r="A9" s="82" t="inlineStr">
        <is>
          <t>Invoice_07</t>
        </is>
      </c>
      <c r="B9" s="118" t="inlineStr">
        <is>
          <t>Verify mandatory fields for Custom Invoice</t>
        </is>
      </c>
      <c r="C9" s="118" t="inlineStr">
        <is>
          <t>1. Login as NM 
2. Navigate to Create Custom Invoice 
3. Leave Amount field blank 
4. Click Submit 
5. Repeat by leaving Justification field and date of expense incurred field blank</t>
        </is>
      </c>
      <c r="D9" s="118" t="inlineStr">
        <is>
          <t>- System displays "please fil this field" error message 
- Invoice is not submitted until all required fields are completed</t>
        </is>
      </c>
      <c r="E9" s="62" t="n"/>
    </row>
    <row r="10">
      <c r="A10" s="82" t="inlineStr">
        <is>
          <t>Invoice_08</t>
        </is>
      </c>
      <c r="B10" s="118" t="inlineStr">
        <is>
          <t>Verify invoice status is show as "pending Network Manager Review" upon new invoice creation</t>
        </is>
      </c>
      <c r="C10" s="118" t="inlineStr">
        <is>
          <t>1. Login to CCC web UI
2. Navigate to Opp dashboard
3. Hamgurger menu &gt;&gt; view invoices &gt;&gt; create invoice</t>
        </is>
      </c>
      <c r="D10" s="118" t="inlineStr">
        <is>
          <t>Invoice has been created and Invoice status is shown as "Pending Network manager review" on the invoices list page</t>
        </is>
      </c>
      <c r="E10" s="62" t="n"/>
    </row>
    <row r="11">
      <c r="A11" s="82" t="inlineStr">
        <is>
          <t>Invoice_09</t>
        </is>
      </c>
      <c r="B11" s="118" t="inlineStr">
        <is>
          <t>Verify user is able to submit inovice to program manager [NM user]</t>
        </is>
      </c>
      <c r="C11" s="118" t="inlineStr">
        <is>
          <t>cont to above TC
- Click on review button
- Click on Submit to program manager button</t>
        </is>
      </c>
      <c r="D11" s="118" t="inlineStr">
        <is>
          <t>-"Invoice has been submitted for approval" message is displayed
- Invoice status should be shown as " Pending Program manager review" on invoices list page</t>
        </is>
      </c>
      <c r="E11" s="62" t="n"/>
    </row>
    <row r="12">
      <c r="A12" s="82" t="inlineStr">
        <is>
          <t>Invoice_10</t>
        </is>
      </c>
      <c r="B12" s="118" t="inlineStr">
        <is>
          <t>Verify user is able to cancel the invoice as network manager</t>
        </is>
      </c>
      <c r="C12" s="118" t="inlineStr">
        <is>
          <t>1. Login to CCC web UI
2. Navigate to Opp dashboard
3. Hamgurger menu &gt;&gt; view invoices &gt;&gt; create invoice
4. Click on review &gt;&gt; Click cancel
5. On the cancel invoice pop up click on the cancel invoice button</t>
        </is>
      </c>
      <c r="D12" s="118" t="inlineStr">
        <is>
          <t>- Cancel invoice pop up is displayed with follwoing details:
"Are you sure you want to cancel this invoice? This action cannot be undone." message and
 Close and Cancel invoice buttons
- "Invoice has been cancelled by Network Manager" message is displayed
- Invoice status should be "Cancelled by NM"</t>
        </is>
      </c>
      <c r="E12" s="62" t="n"/>
    </row>
    <row r="13">
      <c r="A13" s="82" t="inlineStr">
        <is>
          <t>Invoice_11</t>
        </is>
      </c>
      <c r="B13" s="118" t="inlineStr">
        <is>
          <t>Verify NM user is not able to cancel the invoice by clicking on close button on the invoice pop up</t>
        </is>
      </c>
      <c r="C13" s="118" t="inlineStr">
        <is>
          <t>1. Login to CCC web UI
2. Navigate to Opp dashboard
3. Hamgurger menu &gt;&gt; view invoices &gt;&gt; create invoice
4. Click on review &gt;&gt; Click cancel
5. On the cancel invoice pop up click on the close button</t>
        </is>
      </c>
      <c r="D13" s="118" t="inlineStr">
        <is>
          <t>- Cancel invoice pop up is displayed with follwoing details:
"Are you sure you want to cancel this invoice? This action cannot be undone." message and
 Close and Cancel invoice buttons
- When click on the close button, user lands on the invoice review page</t>
        </is>
      </c>
      <c r="E13" s="62" t="n"/>
    </row>
    <row r="14">
      <c r="A14" s="82" t="inlineStr">
        <is>
          <t>Invoice_12</t>
        </is>
      </c>
      <c r="B14" s="118" t="inlineStr">
        <is>
          <t>Verify user is able to see the invoice status as "pending program manager review" after submited to PM</t>
        </is>
      </c>
      <c r="C14" s="118" t="inlineStr">
        <is>
          <t>1. Login to CCC web UI
2. Navigate to Opp dashboard
3. Hamgurger menu &gt;&gt; view invoices &gt;&gt; create invoice
4. Click on review &gt;&gt; Click on "submit to program manager"</t>
        </is>
      </c>
      <c r="D14" s="118" t="inlineStr">
        <is>
          <t>- "Pending program manager review" status is shown as invoice type on the invoice list page</t>
        </is>
      </c>
      <c r="E14" s="62" t="n"/>
    </row>
    <row r="15">
      <c r="A15" s="82" t="inlineStr">
        <is>
          <t>Invoice_13</t>
        </is>
      </c>
      <c r="B15" s="118" t="inlineStr">
        <is>
          <t>Verify NM user cannot edit invoice after submission</t>
        </is>
      </c>
      <c r="C15" s="118" t="inlineStr">
        <is>
          <t>1. Login as NM 
2. Navigate to invoice page
3. Click on review button</t>
        </is>
      </c>
      <c r="D15" s="118" t="inlineStr">
        <is>
          <t>- All invoice fields are disabled 
- NM cannot modify  invoice</t>
        </is>
      </c>
      <c r="E15" s="62" t="n"/>
    </row>
    <row r="16">
      <c r="A16" s="82" t="inlineStr">
        <is>
          <t>Invoice_14</t>
        </is>
      </c>
      <c r="B16" s="118" t="inlineStr">
        <is>
          <t>Verify PM user can review Custom Invoice in read-only mode</t>
        </is>
      </c>
      <c r="C16" s="118" t="inlineStr">
        <is>
          <t>1. Login as PM user 
2. Navigate to Invoice List 
3. Click on review, Open submitted Custom Invoice</t>
        </is>
      </c>
      <c r="D16" s="118" t="inlineStr">
        <is>
          <t>- Invoice opens in read-only mode 
- All invoice details and justification are visible</t>
        </is>
      </c>
      <c r="E16" s="62" t="n"/>
    </row>
    <row r="17">
      <c r="A17" s="82" t="inlineStr">
        <is>
          <t>Invoice_15</t>
        </is>
      </c>
      <c r="B17" s="118" t="inlineStr">
        <is>
          <t>Verify PM user can pay Custom Invoice</t>
        </is>
      </c>
      <c r="C17" s="118" t="inlineStr">
        <is>
          <t>1. Login as PM user 
2. Open invoices list page 
3. Click Pay Invoice</t>
        </is>
      </c>
      <c r="D17" s="118" t="inlineStr">
        <is>
          <t>- Payment is processed successfully 
- Invoice status updates to Paid
- Mail gets triggered when payment is done
- Status is get updated to paid in NM user</t>
        </is>
      </c>
      <c r="E17" s="62" t="n"/>
    </row>
    <row r="18">
      <c r="A18" s="82" t="inlineStr">
        <is>
          <t>Invoice_16</t>
        </is>
      </c>
      <c r="B18" s="118" t="inlineStr">
        <is>
          <t>Verify user is able to land on invoices list by clicking on back to invoices button</t>
        </is>
      </c>
      <c r="C18" s="118" t="inlineStr">
        <is>
          <t>1. Login to CCC web UI
2. Open invoices list page 
3. Click review
4. On review page, click on back to invoices button</t>
        </is>
      </c>
      <c r="D18" s="118" t="inlineStr">
        <is>
          <t>- User should land on the invoice list page</t>
        </is>
      </c>
      <c r="E18" s="62" t="n"/>
    </row>
    <row r="19">
      <c r="A19" s="82" t="inlineStr">
        <is>
          <t>Invoice_17</t>
        </is>
      </c>
      <c r="B19" s="118" t="inlineStr">
        <is>
          <t>Verify error is displayed when future date is selected under date of expenses field</t>
        </is>
      </c>
      <c r="C19" s="118" t="inlineStr">
        <is>
          <t>1. Login as NM 
2. Navigate to Create Custom Invoice 
3. Choose the future date under date of expenses field
4. Click submit</t>
        </is>
      </c>
      <c r="D19" s="118" t="inlineStr">
        <is>
          <t>- Date of expense can't be in the future error message is displayed
- Custom invoice can't be created</t>
        </is>
      </c>
      <c r="E19" s="62" t="n"/>
    </row>
    <row r="20">
      <c r="A20" s="82" t="inlineStr">
        <is>
          <t>Invoice_18</t>
        </is>
      </c>
      <c r="B20" s="68" t="inlineStr">
        <is>
          <t>Verify user is able to create service delivery invoice manually</t>
        </is>
      </c>
      <c r="C20" s="68" t="inlineStr">
        <is>
          <t>1. Login to CCC web UI
2. Navigate to opp dashboard
3. Click on hamburger option
4. Select "view invoice" option
5. On invoice page, click on create invoice button
6. Create an invoice
7. Select service delivery option 
8.Verify the invoice creation screen is displayed.
9.Enter a value in the Invoice Title field.
10.Select Start Date and End Date.
11.Review the updated invoice details.
12.Click Submit.</t>
        </is>
      </c>
      <c r="D20" s="68" t="inlineStr">
        <is>
          <t>- A new Service Delivery Invoice creation page is opened.
- The following fields are displayed: 
Invoice ID, Invoice Title, Generation Date, Start Date, End Date, Amount (Local Currency), Amount (USD), Line Items, Download All Items button, Service Delivery Notes, and Submit button.
- Invoice ID is auto-generated and non-editable.
- Invoice Title and Service Delivery Notes are editable, while calculated fields are read-only.
- Generation Date is auto-populated with the system date.
- On selecting Start Date and End Date, the Line Items section is automatically populated with service delivery records that fall within the selected date range. Each line item displays the service name/description, quantity or units delivered, applicable rate, and calculated line item amount.
- Amount (Local Currency) is calculated as the sum of all line item amounts in the customer’s local currency.
- Amount (USD) is automatically derived from the local currency amount using the configured exchange rate.
- Any change to the Start Date or End Date dynamically updates the Line Items, Amount (Local Currency), and Amount (USD).
- Download All Items allows the user to download the complete list of displayed line items.
- Clicking Submit successfully creates the Service Delivery invoice with all calculated values correctly saved.</t>
        </is>
      </c>
      <c r="E20" s="62" t="n"/>
    </row>
    <row r="21">
      <c r="A21" s="82" t="inlineStr">
        <is>
          <t>Invoice_19</t>
        </is>
      </c>
      <c r="B21" s="118" t="inlineStr">
        <is>
          <t xml:space="preserve">Verify monthly data is listed seperately under the line items if date range includes mutliple months </t>
        </is>
      </c>
      <c r="C21" s="118" t="inlineStr">
        <is>
          <t xml:space="preserve">1. Login to CCC web UI
2. Navigate to opp dashboard
3. Click on hamburger option
4. Select "view invoice" option
5. On invoice page, click on create invoice button
6. Create an invoice
7. Select service delivery option 
8.Verify the invoice creation screen is displayed.
9.Enter a value in the Invoice Title field.
10.Select Start Date and End Date which includes multiples months as a range
</t>
        </is>
      </c>
      <c r="D21" s="118" t="inlineStr">
        <is>
          <t>- Following details are shown under line items:
Month
Payment Unit
Number Approved
Payment Unit Amount(INR)
Total Amount (INR)
Exchange Rate
Total Amount (USD)</t>
        </is>
      </c>
      <c r="E21" s="62" t="n"/>
    </row>
    <row r="22">
      <c r="A22" s="82" t="inlineStr">
        <is>
          <t>Invoice_20</t>
        </is>
      </c>
      <c r="B22" s="118" t="inlineStr">
        <is>
          <t>Verify user is able to download all the line items by clicking on the "Download All items"</t>
        </is>
      </c>
      <c r="C22" s="118" t="inlineStr">
        <is>
          <t xml:space="preserve">cont to above TC:
- Click on the "Download All items" button </t>
        </is>
      </c>
      <c r="D22" s="118" t="inlineStr">
        <is>
          <t>List of thevisits are shown in the downloaded file with following details:
- Payment unit
- Opportunity
- Beneficiary
- Worker
- Date of delivery
- Date Approved
- Approved deliveries
- Payment Accured (INR)
- Payment Accured (USD)</t>
        </is>
      </c>
      <c r="E22" s="62" t="n"/>
    </row>
    <row r="23">
      <c r="A23" s="82" t="inlineStr">
        <is>
          <t>Invoice_21</t>
        </is>
      </c>
      <c r="B23" s="118" t="inlineStr">
        <is>
          <t>Verify invoices are generated automatically (NM user)</t>
        </is>
      </c>
      <c r="C23" s="118" t="inlineStr">
        <is>
          <t>1. Login to CCC Web UI as NM user
2. Navigate to Opp Dashboard → Hamburger menu → View Invoices
3. Verify automatic invoice generated for the visits that are approved in previous month</t>
        </is>
      </c>
      <c r="D23" s="118" t="inlineStr">
        <is>
          <t xml:space="preserve">- Automatic invoices should be generated monthly
- Invoice generated only for the items which are not linked to any other invoice
</t>
        </is>
      </c>
      <c r="E23" s="62" t="n"/>
    </row>
    <row r="24">
      <c r="A24" s="82" t="inlineStr">
        <is>
          <t>Invoice_22</t>
        </is>
      </c>
      <c r="B24" s="118" t="inlineStr">
        <is>
          <t>Verify the invoice status is shown as 'Pending' for automatic generated invoices</t>
        </is>
      </c>
      <c r="C24" s="118" t="inlineStr">
        <is>
          <t>1. Login to CCC Web UI as NM user
2. Navigate to Opp Dashboard → Hamburger menu → View Invoices
3. Verify automatic invoice generation</t>
        </is>
      </c>
      <c r="D24" s="118" t="inlineStr">
        <is>
          <t>- Invoice status is shown as pending on the invoice list page</t>
        </is>
      </c>
      <c r="E24" s="62" t="n"/>
    </row>
    <row r="25">
      <c r="A25" s="82" t="inlineStr">
        <is>
          <t>Invoice_23</t>
        </is>
      </c>
      <c r="B25" s="118" t="inlineStr">
        <is>
          <t>Verify user is able to review  and submit the generated invoice(NM user)</t>
        </is>
      </c>
      <c r="C25" s="118" t="inlineStr">
        <is>
          <t>cont to above TC
- Click on review button</t>
        </is>
      </c>
      <c r="D25" s="118" t="inlineStr">
        <is>
          <t xml:space="preserve">- User should be able to edit the invoice title
- User should be able to add the service delivery notes
- Click on submit for approval button
- Pending status should get changed to Submitted
- In PM user, pay button is enabled after submiting for approval </t>
        </is>
      </c>
      <c r="E25" s="62" t="n"/>
    </row>
    <row r="26">
      <c r="A26" s="82" t="inlineStr">
        <is>
          <t>Invoice_24</t>
        </is>
      </c>
      <c r="B26" s="118" t="inlineStr">
        <is>
          <t>Verify invoices generated automatically have correct information</t>
        </is>
      </c>
      <c r="C26" s="118" t="inlineStr">
        <is>
          <t>1. Login to CCC Web UI as NM user
2. Navigate to Opp Dashboard → Hamburger menu → View Invoices
3. Click on review
4. Verify fields: Invoice date, rate, amount, total INR &amp; USD, notes
5. Click on download details button 
6. Verify all the visits approved in the invoice generated month reflects in the list</t>
        </is>
      </c>
      <c r="D26" s="118" t="inlineStr">
        <is>
          <t xml:space="preserve">-The following fields are present and populated with correct information:
Invoice ID
Invoice title - editable
Invoice status - pending
Generation date
Start and end date
Amount (Local Currency – INR)
Amount (USD)
Line Items
- Month
- Number of approved visits
- Exchange rate
- Total Amount (INR)
- Total Amount (USD)
Service delivery notes - editable
-The amounts and totals are correctly calculated based on the applicable rates and line items.
-Clicking Download Details downloads a detailed list of invoice line items.
-The downloaded details include all approved visits that fall within the invoice generation month.
</t>
        </is>
      </c>
      <c r="E26" s="62" t="n"/>
    </row>
    <row r="27">
      <c r="A27" s="82" t="inlineStr">
        <is>
          <t>Invoice_25</t>
        </is>
      </c>
      <c r="B27" s="118" t="inlineStr">
        <is>
          <t>Verify PM user can approve the generated invoice</t>
        </is>
      </c>
      <c r="C27" s="118" t="inlineStr">
        <is>
          <t>1. Login as PM user
2. Navigate to View Invoices
3. Open submitted invoice
4. Click pay</t>
        </is>
      </c>
      <c r="D27" s="118" t="inlineStr">
        <is>
          <t>-PM user should be able to approve the invoice successfully
- Mail should get triggered after payment
- payment date should get updated in NM user
- Invoice status should get updated to approved in NM user</t>
        </is>
      </c>
      <c r="E27" s="62" t="n"/>
    </row>
    <row r="28">
      <c r="A28" s="82" t="inlineStr">
        <is>
          <t>Invoice_26</t>
        </is>
      </c>
      <c r="B28" s="118" t="inlineStr">
        <is>
          <t>verify NM user is able to create the new invoice using cancelled invoice details</t>
        </is>
      </c>
      <c r="C28" s="118" t="inlineStr">
        <is>
          <t xml:space="preserve">1. Login to CCC web UI
2. Create invoice and cancel it
3. Again create new invoice using details in the cancelled invoice 
</t>
        </is>
      </c>
      <c r="D28" s="118" t="inlineStr">
        <is>
          <t>- User should be able to create invoice using visits in the cancelled invoice</t>
        </is>
      </c>
      <c r="E28" s="62" t="n"/>
    </row>
    <row r="29">
      <c r="A29" s="82" t="inlineStr">
        <is>
          <t>Invoice_27</t>
        </is>
      </c>
      <c r="B29" s="118" t="inlineStr">
        <is>
          <t>verify NM user is able to create the new invoice using rejected invoice details [rejected by PM]</t>
        </is>
      </c>
      <c r="C29" s="118" t="inlineStr">
        <is>
          <t xml:space="preserve">1. Login to CCC web UI
2. Create invoice and submit for approval
3. Click reviw as PM &gt;&gt; Click reject
3. Again create new invoice using details in the rejected invoice 
</t>
        </is>
      </c>
      <c r="D29" s="118" t="inlineStr">
        <is>
          <t>- User should be able to create invoice using visits in the rejected invoice</t>
        </is>
      </c>
      <c r="E29" s="62" t="n"/>
    </row>
    <row r="30">
      <c r="A30" s="82" t="inlineStr">
        <is>
          <t>Invoice_28</t>
        </is>
      </c>
      <c r="B30" s="118" t="inlineStr">
        <is>
          <t>Verify user is able to land on the invoices page when click on back to invoices option</t>
        </is>
      </c>
      <c r="C30" s="118" t="inlineStr">
        <is>
          <t>1. Login to CCC web UI
2. Navigate to Opp dashboard
3. Hamgurger menu &gt;&gt; view invoices &gt;&gt; create invoice
4. Click on review 
5. On review page, click on back to invoices button</t>
        </is>
      </c>
      <c r="D30" s="118" t="inlineStr">
        <is>
          <t>- User should land on the invoices list page</t>
        </is>
      </c>
      <c r="E30" s="62" t="n"/>
    </row>
    <row r="31">
      <c r="A31" s="82" t="inlineStr">
        <is>
          <t>Invoice_29</t>
        </is>
      </c>
      <c r="B31" s="118" t="inlineStr">
        <is>
          <t>Verify user is able to edit the service delivery notes on the review page as NM user</t>
        </is>
      </c>
      <c r="C31" s="118" t="inlineStr">
        <is>
          <t>1. Login to CCC web UI
2. Navigate to Opp dashboard
3. Hamgurger menu &gt;&gt; view invoices &gt;&gt; create invoice
4. Click on review 
5. On review page, edit the service delivery notes and submit to PM</t>
        </is>
      </c>
      <c r="D31" s="118" t="inlineStr">
        <is>
          <t>- User should be able to edit the service delivery notes</t>
        </is>
      </c>
      <c r="E31" s="62" t="n"/>
    </row>
    <row r="32">
      <c r="A32" s="166" t="inlineStr">
        <is>
          <t>Program Manager</t>
        </is>
      </c>
      <c r="B32" s="153" t="n"/>
      <c r="C32" s="153" t="n"/>
      <c r="D32" s="153" t="n"/>
      <c r="E32" s="153" t="n"/>
      <c r="F32" s="153" t="n"/>
      <c r="G32" s="154" t="n"/>
    </row>
    <row r="33">
      <c r="A33" s="58" t="inlineStr">
        <is>
          <t>Invoice List_30</t>
        </is>
      </c>
      <c r="B33" s="68" t="inlineStr">
        <is>
          <t xml:space="preserve">Confirm user can see a list of all the invoices for an opportunity </t>
        </is>
      </c>
      <c r="C33" s="68" t="inlineStr">
        <is>
          <t xml:space="preserve">1. Login to CCC web UI
2. Navigate to opp dashboard
3. Click on hamburger option, view invoices option
</t>
        </is>
      </c>
      <c r="D33" s="68" t="inlineStr">
        <is>
          <t xml:space="preserve">- User should be able to see a list of all the invoices generated by clicking the View Invoices menu option in the Opportunity dashboard or the Opportunity list </t>
        </is>
      </c>
      <c r="E33" s="62" t="n"/>
    </row>
    <row r="34">
      <c r="A34" s="58" t="inlineStr">
        <is>
          <t>Invoice List_31</t>
        </is>
      </c>
      <c r="B34" s="118" t="inlineStr">
        <is>
          <t>Verify user is able to see the invoice status as "pending program manager review" after submited to PM</t>
        </is>
      </c>
      <c r="C34" s="118" t="inlineStr">
        <is>
          <t>1. Login to CCC web UI
2. Navigate to Opp dashboard
3. Hamgurger menu &gt;&gt; view invoices &gt;&gt; create invoice
4. Click on review &gt;&gt; Click on "submit to program manager"</t>
        </is>
      </c>
      <c r="D34" s="118" t="inlineStr">
        <is>
          <t>- "Pending program manager review" status is shown as invoice type on the invoice list page</t>
        </is>
      </c>
      <c r="E34" s="62" t="n"/>
    </row>
    <row r="35">
      <c r="A35" s="58" t="inlineStr">
        <is>
          <t>Invoice List_32</t>
        </is>
      </c>
      <c r="B35" s="118" t="inlineStr">
        <is>
          <t>Verify user should see the Approval for payment processing option as PM user</t>
        </is>
      </c>
      <c r="C35" s="118" t="inlineStr">
        <is>
          <t>Cont to above TC
- Click on review button as PM user
- Click on "Approve for payment processing" button</t>
        </is>
      </c>
      <c r="D35" s="118" t="inlineStr">
        <is>
          <t xml:space="preserve">- "Invoice has been approved and ready to pay" message is displayed
- Invoice status is changed as "ready to pay" </t>
        </is>
      </c>
      <c r="E35" s="62" t="n"/>
    </row>
    <row r="36">
      <c r="A36" s="58" t="inlineStr">
        <is>
          <t>Invoice List_33</t>
        </is>
      </c>
      <c r="B36" s="118" t="inlineStr">
        <is>
          <t>Verify user is able to reject the invoice when invoice is in ready to pay status</t>
        </is>
      </c>
      <c r="C36" s="118" t="inlineStr">
        <is>
          <t>Cont to above TC
- Click on review &gt;&gt; Click on reject button
- Reject invoice pop is displayed &gt;&gt; click on reject invoice option</t>
        </is>
      </c>
      <c r="D36" s="118" t="inlineStr">
        <is>
          <t>- Reject invoice pop up is displayed with follwoing details:
"Are you sure you want to reject this invoice? This action cannot be undone." message and
 Close and reject invoice buttons
- When click on the reject inovice button,  "Invoice has been rejected by Project Manager" message is displayed
- Invoice status should be changed to "Rejected by PM"</t>
        </is>
      </c>
      <c r="E36" s="62" t="n"/>
    </row>
    <row r="37">
      <c r="A37" s="58" t="inlineStr">
        <is>
          <t>Invoice List_34</t>
        </is>
      </c>
      <c r="B37" s="118" t="inlineStr">
        <is>
          <t>Verify PM user is not able to reject the invoice by clicking on close button on the reject invoice pop up</t>
        </is>
      </c>
      <c r="C37" s="118" t="inlineStr">
        <is>
          <t xml:space="preserve">1. Login to CCC web UI
2. Navigate to Opp dashboard
3. Hamgurger menu &gt;&gt; view invoices &gt;&gt; create invoice
4. Submit to PM and approve for payment processing &gt;&gt; Click on review &gt;&gt; reject
5. On the reject invoice pop up click on the close button </t>
        </is>
      </c>
      <c r="D37" s="118" t="inlineStr">
        <is>
          <t>- Reject invoice pop up is displayed with follwoing details:
"Are you sure you want to reject this invoice? This action cannot be undone." message and
 Close and reject invoice buttons
- When click on the close button, user lands on the invoice review page</t>
        </is>
      </c>
      <c r="E37" s="62" t="n"/>
    </row>
    <row r="38">
      <c r="A38" s="58" t="inlineStr">
        <is>
          <t>Invoice List_35</t>
        </is>
      </c>
      <c r="B38" s="118" t="inlineStr">
        <is>
          <t>Verify PM user is able to reject the invoice</t>
        </is>
      </c>
      <c r="C38" s="118" t="inlineStr">
        <is>
          <t>1. Login to CCC web UI
2. Navigate to Opp dashboard
3. Hamgurger menu &gt;&gt; view invoices &gt;&gt; create invoice
4. Click on review &gt;&gt; Click Submit for PM
5. As Pm user, click on review &gt;&gt; click reject
5. On the reject invoice pop up click on the reject invoice button</t>
        </is>
      </c>
      <c r="D38" s="118" t="inlineStr">
        <is>
          <t>- Reject invoice pop up is displayed with follwoing details:
"Are you sure you want to reject this invoice? This action cannot be undone." message and
 Close and reject invoice buttons
- When click on the reject inovice button,  "Invoice has been rejected by Project Manager" message is displayed
- Invoice status should be changed to "Rejected by PM"</t>
        </is>
      </c>
      <c r="E38" s="62" t="n"/>
    </row>
    <row r="39">
      <c r="A39" s="58" t="inlineStr">
        <is>
          <t>Invoice List_36</t>
        </is>
      </c>
      <c r="B39" s="118" t="inlineStr">
        <is>
          <t>Verify PM user is able to pay the invoice</t>
        </is>
      </c>
      <c r="C39" s="118" t="inlineStr">
        <is>
          <t>1. Login to CCC web UI
2. Navigate to Opp dashboard
3. Hamgurger menu &gt;&gt; view invoices &gt;&gt; create invoice
4. Click on review &gt;&gt; Click on "submit to program manager" &gt;&gt; Click on "Approve for payment processing"
5. Click on review &gt;&gt; user should see pay button &gt;&gt; Click on pay button</t>
        </is>
      </c>
      <c r="D39" s="118" t="inlineStr">
        <is>
          <t>- Invoice has been paid and email is triggered.
- Invoices status changes to "paid"</t>
        </is>
      </c>
      <c r="E39" s="62" t="n"/>
    </row>
    <row r="40">
      <c r="A40" s="58" t="inlineStr">
        <is>
          <t>Invoice List_37</t>
        </is>
      </c>
      <c r="B40" s="118" t="inlineStr">
        <is>
          <t>Verify user is able to review the invoice in read only mode as PM user</t>
        </is>
      </c>
      <c r="C40" s="118" t="inlineStr">
        <is>
          <t>1. Login to CCC web UI as PM
2. Navigate to Opp dashboard
3. Hamgurger menu &gt;&gt; view invoices &gt;&gt; create invoice
4. Click on review 
5. Verify user is not able to edit the invoice details</t>
        </is>
      </c>
      <c r="D40" s="118" t="inlineStr">
        <is>
          <t>- User should see the invoice review in read only mode</t>
        </is>
      </c>
      <c r="E40" s="62" t="n"/>
    </row>
    <row r="41">
      <c r="B41" s="90" t="n"/>
      <c r="C41" s="90" t="n"/>
      <c r="D41" s="90" t="n"/>
    </row>
    <row r="42">
      <c r="B42" s="90" t="n"/>
      <c r="C42" s="90" t="n"/>
      <c r="D42" s="90" t="n"/>
    </row>
  </sheetData>
  <mergeCells count="2">
    <mergeCell ref="A32:G32"/>
    <mergeCell ref="A1:G1"/>
  </mergeCells>
  <conditionalFormatting sqref="E3:E31 E33:E40">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3:E31 E33:E40" showDropDown="0" showInputMessage="0" showErrorMessage="1" allowBlank="1" type="list">
      <formula1>"Pass,Fail,N/A,Blocking"</formula1>
    </dataValidation>
  </dataValidations>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G12"/>
  <sheetViews>
    <sheetView workbookViewId="0">
      <selection activeCell="A1" sqref="A1"/>
    </sheetView>
  </sheetViews>
  <sheetFormatPr baseColWidth="8" defaultColWidth="12.63" defaultRowHeight="15.75" customHeight="1"/>
  <cols>
    <col width="28.63" customWidth="1" style="148" min="1" max="1"/>
    <col width="40" customWidth="1" style="148" min="2" max="2"/>
    <col width="48.88" customWidth="1" style="148" min="3" max="3"/>
    <col width="44.75" customWidth="1" style="148" min="4" max="4"/>
  </cols>
  <sheetData>
    <row r="1" ht="15" customHeight="1" s="148">
      <c r="A1" s="91" t="inlineStr">
        <is>
          <t>Prerequsite: A PID user should get created and login to the learn app, submit few forms.</t>
        </is>
      </c>
    </row>
    <row r="2" ht="15" customHeight="1" s="148">
      <c r="A2" s="54" t="inlineStr">
        <is>
          <t>Test Case ID</t>
        </is>
      </c>
      <c r="B2" s="54" t="inlineStr">
        <is>
          <t>Description</t>
        </is>
      </c>
      <c r="C2" s="54" t="inlineStr">
        <is>
          <t>Steps</t>
        </is>
      </c>
      <c r="D2" s="55" t="inlineStr">
        <is>
          <t>Outcome</t>
        </is>
      </c>
      <c r="E2" s="54" t="inlineStr">
        <is>
          <t>Status (Pass/Fail)</t>
        </is>
      </c>
      <c r="F2" s="55" t="inlineStr">
        <is>
          <t xml:space="preserve">QA Ticket </t>
        </is>
      </c>
      <c r="G2" s="55" t="inlineStr">
        <is>
          <t xml:space="preserve">Comments </t>
        </is>
      </c>
    </row>
    <row r="3">
      <c r="A3" s="58" t="inlineStr">
        <is>
          <t>Connect channel 1</t>
        </is>
      </c>
      <c r="B3" s="93" t="inlineStr">
        <is>
          <t xml:space="preserve">Verify user is able to create connect channel </t>
        </is>
      </c>
      <c r="C3" s="93" t="inlineStr">
        <is>
          <t xml:space="preserve">1. Login to CC hq
2. Navigate to messaging &gt;&gt; view all
3. Under connect messaging section, Select user conset
4. Click Request messaging consent button
</t>
        </is>
      </c>
      <c r="D3" s="59" t="inlineStr">
        <is>
          <t>- Channel created for a personal ID message is displayed on hq web
- Channel should get created and displayed in the connect mobile</t>
        </is>
      </c>
      <c r="E3" s="62" t="n"/>
      <c r="F3" s="80" t="n"/>
      <c r="G3" s="80" t="n"/>
    </row>
    <row r="4">
      <c r="A4" s="58" t="inlineStr">
        <is>
          <t>Connect message1</t>
        </is>
      </c>
      <c r="B4" s="93" t="inlineStr">
        <is>
          <t>Verify user is able to create a broadcast with connect message option</t>
        </is>
      </c>
      <c r="C4" s="93" t="inlineStr">
        <is>
          <t>1. Login to CC hq 
2. Navigate to Messaging &gt;&gt; Broadcasts
3. Click on "+ Add broadcast" 
4. Select the content type  as 'connect message' 
5. Create a broadcast
6. Verify PID user recive a message on the channel</t>
        </is>
      </c>
      <c r="D4" s="59" t="inlineStr">
        <is>
          <t>- User should be able to receive the broadcast message in the connect channel</t>
        </is>
      </c>
      <c r="E4" s="62" t="n"/>
      <c r="F4" s="80" t="n"/>
      <c r="G4" s="80" t="n"/>
    </row>
    <row r="5">
      <c r="A5" s="58" t="inlineStr">
        <is>
          <t>Connect message2</t>
        </is>
      </c>
      <c r="B5" s="93" t="inlineStr">
        <is>
          <t>Verify user is able to create a broadcast with connect survey option</t>
        </is>
      </c>
      <c r="C5" s="93" t="inlineStr">
        <is>
          <t>1. Login to CC hq 
2. Navigate to Messaging &gt;&gt; Broadcasts
3. Click on "+ Add broadcast" 
4. Select the content type  as 'connect Survey' 
5. Create a broadcast
6 Verify PID user recive a message on the channel</t>
        </is>
      </c>
      <c r="D5" s="59" t="inlineStr">
        <is>
          <t>- User should be able to receive the broadcast survey in the connect channel
- User should be able to answer the question and get next question in the form
- Form should get submit and able to verify it on the submit histstory</t>
        </is>
      </c>
      <c r="E5" s="62" t="n"/>
      <c r="F5" s="80" t="n"/>
      <c r="G5" s="80" t="n"/>
    </row>
    <row r="6">
      <c r="A6" s="58" t="inlineStr">
        <is>
          <t>Connect message3</t>
        </is>
      </c>
      <c r="B6" s="93" t="inlineStr">
        <is>
          <t>Verify all the options from Recipents dropdown is disabled except users upon selecting message type as connect message/survey</t>
        </is>
      </c>
      <c r="C6" s="93" t="inlineStr">
        <is>
          <t xml:space="preserve">1. Login to CC hq 
2. Navigate to Messaging &gt;&gt; Conditional alert or Broadcast
3. Click on  "+Add Broadcast"
4. Select the content type  as 'connect survey' / 'Connect messaging'
5. Verify all the options in the recipents dropdown is disabled and only users option is available
</t>
        </is>
      </c>
      <c r="D6" s="59" t="inlineStr">
        <is>
          <t>- Only users option should be visible and preselected upon selecting the connect message/survey option</t>
        </is>
      </c>
      <c r="E6" s="62" t="n"/>
      <c r="F6" s="80" t="n"/>
      <c r="G6" s="80" t="n"/>
    </row>
    <row r="7">
      <c r="A7" s="58" t="inlineStr">
        <is>
          <t>Connect message4</t>
        </is>
      </c>
      <c r="B7" s="93" t="inlineStr">
        <is>
          <t>Verify user is able to create a Conditional alerts with connect message option</t>
        </is>
      </c>
      <c r="C7" s="93" t="inlineStr">
        <is>
          <t>1. Login to CC hq 
2. Navigate to Messaging &gt;&gt; Conditional alert
3. Click on "+ Conditional alert" 
4. Select the content type  as 'connect message' 
5. Create a Conditional alert
6. Submit a form with PID user used to create CA by satisfying the alert condition
7 Verify PID user recive a message on the channel</t>
        </is>
      </c>
      <c r="D7" s="59" t="inlineStr">
        <is>
          <t>- User should be able to get a alert message in the connect channel upon submitting the form satisfying the alert condition</t>
        </is>
      </c>
      <c r="E7" s="62" t="n"/>
      <c r="F7" s="80" t="n"/>
      <c r="G7" s="80" t="n"/>
    </row>
    <row r="8">
      <c r="A8" s="58" t="inlineStr">
        <is>
          <t>Connect message5</t>
        </is>
      </c>
      <c r="B8" s="93" t="inlineStr">
        <is>
          <t>Verify user is able to create a conditional alerts with connect survey option</t>
        </is>
      </c>
      <c r="C8" s="93" t="inlineStr">
        <is>
          <t>1. Login to CC hq 
2. Navigate to Messaging &gt;&gt; Conditional alert
3. Click on "+ Conditional alert" 
4. Select the content type  as 'connect survey' 
5. Create a Conditional alert
6. Submit a form with PID user used to create CA by satisfying the alert condition
7 Verify PID user recive a message on the channel</t>
        </is>
      </c>
      <c r="D8" s="59" t="inlineStr">
        <is>
          <t>- User should be able to get a alert survey message in the connect channel upon submitting the form satisfying the alert condition
- User should be able to answer the question and get next question in the form
- Form should get submit and able to verify it on the submit histstory</t>
        </is>
      </c>
      <c r="E8" s="62" t="n"/>
      <c r="F8" s="80" t="n"/>
      <c r="G8" s="80" t="n"/>
    </row>
    <row r="9">
      <c r="A9" s="58" t="inlineStr">
        <is>
          <t>Connect message6</t>
        </is>
      </c>
      <c r="B9" s="93" t="inlineStr">
        <is>
          <t>Verify all the options from Recipents dropdown is disabled except users upon selecting message type as connect message/survey</t>
        </is>
      </c>
      <c r="C9" s="93" t="inlineStr">
        <is>
          <t xml:space="preserve">1. Login to CC hq 
2. Navigate to Messaging &gt;&gt; Conditional alert or Broadcast
3. Click on "+ Conditional alert"
4. Select the content type  as 'connect survey' / 'Connect messaging'
5. Verify all the options in the recipents dropdown is disabled and only users option is available
</t>
        </is>
      </c>
      <c r="D9" s="59" t="inlineStr">
        <is>
          <t>- Only users option should be visible and preselected upon selecting the connect message/survey option</t>
        </is>
      </c>
      <c r="E9" s="62" t="n"/>
      <c r="F9" s="80" t="n"/>
      <c r="G9" s="80" t="n"/>
    </row>
    <row r="10">
      <c r="A10" s="58" t="inlineStr">
        <is>
          <t>Connect message7</t>
        </is>
      </c>
      <c r="B10" s="93" t="inlineStr">
        <is>
          <t>Verify user is able to select only active PID users while creating a Conditional alerts with connect message/survey options</t>
        </is>
      </c>
      <c r="C10" s="93" t="inlineStr">
        <is>
          <t xml:space="preserve">Continue to above TC:
Also verify only the active PID users are present in the </t>
        </is>
      </c>
      <c r="D10" s="59" t="inlineStr">
        <is>
          <t>- Only the PID users data should get display on the users drop down</t>
        </is>
      </c>
      <c r="E10" s="62" t="n"/>
      <c r="F10" s="80" t="n"/>
      <c r="G10" s="80" t="n"/>
    </row>
    <row r="11">
      <c r="A11" s="58" t="inlineStr">
        <is>
          <t>Connect message8</t>
        </is>
      </c>
      <c r="B11" s="93" t="inlineStr">
        <is>
          <t>Verify user is able to create keyword for connect message</t>
        </is>
      </c>
      <c r="C11" s="93" t="inlineStr">
        <is>
          <t>1. Login to CC hq web UI
2. Navigate to Messaging &gt;&gt; keyword 
3. Select 'connect message' as content type
4. Create a keyword
5. Login with personal ID [CCC mobile]
5. Trigger keyword from channel 
6. verify user receive a connect message in the channel to the personal ID user</t>
        </is>
      </c>
      <c r="D11" s="59" t="inlineStr">
        <is>
          <t>- User should get a connect message in the channel upon triggering the keyword</t>
        </is>
      </c>
      <c r="E11" s="62" t="n"/>
      <c r="F11" s="80" t="n"/>
      <c r="G11" s="80" t="n"/>
    </row>
    <row r="12">
      <c r="A12" s="58" t="inlineStr">
        <is>
          <t>Connect message9</t>
        </is>
      </c>
      <c r="B12" s="93" t="inlineStr">
        <is>
          <t>Verify user is able to create keyword for connect survey</t>
        </is>
      </c>
      <c r="C12" s="93" t="inlineStr">
        <is>
          <t>1. Login to CC hq web UI
2. Navigate to Messaging &gt;&gt; keyword 
3. Select 'connect survey' as content type
4. Create a keyword
5. Login with personal ID [CCC mobile]
5. Trigger keyword from channel 
6. verify user receive a first question from the form in the channel to the personal ID user
7. Answer all the questions for the form
8. Verify that submitted form is present on hq</t>
        </is>
      </c>
      <c r="D12" s="59" t="inlineStr">
        <is>
          <t>- User should be able to get a connect survey from in the connect channel upon triggering the keyword in the channel
- User should be able to answer the question and get next question in the form
- Form should get submit and able to verify it on the submit histstory</t>
        </is>
      </c>
      <c r="E12" s="62" t="n"/>
      <c r="F12" s="80" t="n"/>
      <c r="G12" s="80" t="n"/>
    </row>
  </sheetData>
  <mergeCells count="1">
    <mergeCell ref="A1:G1"/>
  </mergeCells>
  <conditionalFormatting sqref="E3:E12">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3:E12" showDropDown="0" showInputMessage="0" showErrorMessage="1" allowBlank="1" type="list">
      <formula1>"Pass,Fail,N/A,Blocking"</formula1>
    </dataValidation>
  </dataValidations>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G9"/>
  <sheetViews>
    <sheetView workbookViewId="0">
      <selection activeCell="A1" sqref="A1"/>
    </sheetView>
  </sheetViews>
  <sheetFormatPr baseColWidth="8" defaultColWidth="12.63" defaultRowHeight="15.75" customHeight="1"/>
  <cols>
    <col width="19.63" customWidth="1" style="148" min="1" max="1"/>
    <col width="33.75" customWidth="1" style="148" min="2" max="2"/>
    <col width="39.13" customWidth="1" style="148" min="3" max="3"/>
    <col width="37.75" customWidth="1" style="148" min="4" max="4"/>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ht="12.75" customHeight="1" s="148">
      <c r="A2" s="104" t="inlineStr">
        <is>
          <t>Review mail_01</t>
        </is>
      </c>
      <c r="B2" s="96" t="inlineStr">
        <is>
          <t xml:space="preserve">Verify reminder mail is sent for all the members of organization regarding pending review deliveries for all the opportunities </t>
        </is>
      </c>
      <c r="C2" s="96" t="inlineStr">
        <is>
          <t>1. Ensure an organization has one or more opportunities with pending deliveries.
2. Ensure multiple users are added as members of the organization.
3. wait for the scheduled reminder task to run.
4. Check inboxes of all organization members.</t>
        </is>
      </c>
      <c r="D2" s="96" t="inlineStr">
        <is>
          <t>- Reminder email is sent to all organization members.
- Email displays all opportunities that have pending deliveries.</t>
        </is>
      </c>
      <c r="E2" s="62" t="n"/>
      <c r="F2" s="80" t="n"/>
      <c r="G2" s="80" t="n"/>
    </row>
    <row r="3" ht="12.75" customHeight="1" s="148">
      <c r="A3" s="104" t="inlineStr">
        <is>
          <t>Review mail_02</t>
        </is>
      </c>
      <c r="B3" s="96" t="inlineStr">
        <is>
          <t xml:space="preserve">Verify no mail is triggered when no pending visits are there for any of the opportunities user is a member </t>
        </is>
      </c>
      <c r="C3" s="96" t="inlineStr">
        <is>
          <t>1. Ensure the organization has no opportunities with pending deliveries.
2. wait for the scheduled reminder task to run.
3. Check inboxes of all organization members.</t>
        </is>
      </c>
      <c r="D3" s="96" t="inlineStr">
        <is>
          <t xml:space="preserve">- No reminder emails are sent to the organiztion memebers
</t>
        </is>
      </c>
      <c r="E3" s="62" t="n"/>
      <c r="F3" s="80" t="n"/>
      <c r="G3" s="80" t="n"/>
    </row>
    <row r="4" ht="12.75" customHeight="1" s="148">
      <c r="A4" s="104" t="inlineStr">
        <is>
          <t>Review mail_03</t>
        </is>
      </c>
      <c r="B4" s="96" t="inlineStr">
        <is>
          <t>Verify reminder email contains a valid link to the workers list delivery tab page</t>
        </is>
      </c>
      <c r="C4" s="96" t="inlineStr">
        <is>
          <t>1. Open the reminder email received by an organization member.
2. Locate the Workers List link in the email.
3. Click the link.</t>
        </is>
      </c>
      <c r="D4" s="96" t="inlineStr">
        <is>
          <t xml:space="preserve">- Link is present, clickable, and redirects to the correct Workers List page.
- Only opportunities with pending deliveries are included in the email. </t>
        </is>
      </c>
      <c r="E4" s="62" t="n"/>
      <c r="F4" s="80" t="n"/>
      <c r="G4" s="80" t="n"/>
    </row>
    <row r="5" ht="12.75" customHeight="1" s="148">
      <c r="A5" s="104" t="inlineStr">
        <is>
          <t>Review mail_04</t>
        </is>
      </c>
      <c r="B5" s="96" t="inlineStr">
        <is>
          <t>Verify that the Opportunities list link redirects to the Connect Workers Delivery tab</t>
        </is>
      </c>
      <c r="C5" s="96" t="inlineStr">
        <is>
          <t>1. Open the reminder email.
2. Click on the Opportunities list link.
3. Observe the landing page.</t>
        </is>
      </c>
      <c r="D5" s="96" t="inlineStr">
        <is>
          <t>User is redirected to the Connect Workers Delivery tab.</t>
        </is>
      </c>
      <c r="E5" s="62" t="n"/>
      <c r="F5" s="80" t="n"/>
      <c r="G5" s="80" t="n"/>
    </row>
    <row r="6" ht="12.75" customHeight="1" s="148">
      <c r="A6" s="104" t="inlineStr">
        <is>
          <t>Review mail_05</t>
        </is>
      </c>
      <c r="B6" s="96" t="inlineStr">
        <is>
          <t>Verify following details are included in reminder mail: Organization name and list of opportunities with redirect link</t>
        </is>
      </c>
      <c r="C6" s="96" t="inlineStr">
        <is>
          <t>1. Trigger the reminder email
2. Open the email.
3. Verify organization name, opportunity names, and links is displayed.
4. Verify list of opportunities with pending deliveries is shown.</t>
        </is>
      </c>
      <c r="D6" s="96" t="inlineStr">
        <is>
          <t>Following details in the email should be accurate and up to date.
- Organization Name
- Opportuntiy Name 
- Links 
"Reminder email includes following things:
- Message saying ""This is a reminder to review pending deliveries before the end of the month so they can be included in invoices""
- Organization name 
- List of pending opportunities."</t>
        </is>
      </c>
      <c r="E6" s="62" t="n"/>
      <c r="F6" s="80" t="n"/>
      <c r="G6" s="80" t="n"/>
    </row>
    <row r="7" ht="12.75" customHeight="1" s="148">
      <c r="A7" s="104" t="inlineStr">
        <is>
          <t>Review mail_06</t>
        </is>
      </c>
      <c r="B7" s="96" t="inlineStr">
        <is>
          <t>Verify mail is not triggered to the members who are not a part of organization</t>
        </is>
      </c>
      <c r="C7" s="96" t="inlineStr">
        <is>
          <t>1. Identify users who are not members of the organization.
2. Ensure organization has pending deliveries.
3. Trigger the reminder email.
4. Check inboxes of non-members.</t>
        </is>
      </c>
      <c r="D7" s="96" t="inlineStr">
        <is>
          <t>Reminder email is not sent to non-organization members.</t>
        </is>
      </c>
      <c r="E7" s="62" t="n"/>
      <c r="F7" s="80" t="n"/>
      <c r="G7" s="80" t="n"/>
    </row>
    <row r="8" ht="12.75" customHeight="1" s="148">
      <c r="A8" s="104" t="inlineStr">
        <is>
          <t>Review mail_07</t>
        </is>
      </c>
      <c r="B8" s="96" t="inlineStr">
        <is>
          <t>Verify opportunities which have only PM pending review will be included only in PM organization reminder mail</t>
        </is>
      </c>
      <c r="C8" s="96" t="inlineStr">
        <is>
          <t>1. Ensure opportunities have PM pending reviews.
2. Trigger the PM reminder email job.
3. Open the PM reminder email.</t>
        </is>
      </c>
      <c r="D8" s="96" t="inlineStr">
        <is>
          <t>Opportunities with PM pending reviews are included in the PM reminder email.</t>
        </is>
      </c>
      <c r="E8" s="62" t="n"/>
      <c r="F8" s="80" t="n"/>
      <c r="G8" s="80" t="n"/>
    </row>
    <row r="9" ht="12.75" customHeight="1" s="148">
      <c r="A9" s="104" t="inlineStr">
        <is>
          <t>Review mail_08</t>
        </is>
      </c>
      <c r="B9" s="96" t="inlineStr">
        <is>
          <t>Verify opportunities that have only NM review will be included only in NM organization reminder mail</t>
        </is>
      </c>
      <c r="C9" s="96" t="inlineStr">
        <is>
          <t>1. Ensure opportunities have NM pending reviews.
2. Trigger the NM reminder email job.
3. Open the NM reminder email.</t>
        </is>
      </c>
      <c r="D9" s="96" t="inlineStr">
        <is>
          <t>Opportunities with NM pending reviews are included in the NM reminder email.</t>
        </is>
      </c>
      <c r="E9" s="62" t="n"/>
      <c r="F9" s="80" t="n"/>
      <c r="G9" s="80" t="n"/>
    </row>
  </sheetData>
  <conditionalFormatting sqref="E2:E9">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9" showDropDown="0" showInputMessage="0" showErrorMessage="1" allowBlank="1" type="list">
      <formula1>"Pass,Fail,N/A,Blocking"</formula1>
    </dataValidation>
  </dataValidations>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G4"/>
  <sheetViews>
    <sheetView workbookViewId="0">
      <selection activeCell="A1" sqref="A1"/>
    </sheetView>
  </sheetViews>
  <sheetFormatPr baseColWidth="8" defaultColWidth="12.63" defaultRowHeight="15.75" customHeight="1"/>
  <cols>
    <col width="34.75" customWidth="1" style="148" min="2" max="2"/>
    <col width="48.25" customWidth="1" style="148" min="3" max="3"/>
    <col width="41.13" customWidth="1" style="148" min="4" max="4"/>
  </cols>
  <sheetData>
    <row r="1" ht="15" customHeight="1" s="148">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c r="A2" s="82" t="inlineStr">
        <is>
          <t xml:space="preserve">Credentials_1 </t>
        </is>
      </c>
      <c r="B2" s="68" t="inlineStr">
        <is>
          <t>Verify user is able to select an application for Issueing Credentials on HQ</t>
        </is>
      </c>
      <c r="C2" s="68" t="inlineStr">
        <is>
          <t>1. Login to CC HQ :https://staging.commcarehq.org/a/connectqa/settings/project/credentials_application//
2. Navigate to project settings
3. Under project administration select credentials Applications
4. Select any app the form the dropdown</t>
        </is>
      </c>
      <c r="D2" s="68" t="inlineStr">
        <is>
          <t xml:space="preserve">User should be able to select any app from the dropdown list to issue credentials. </t>
        </is>
      </c>
      <c r="E2" s="62" t="n"/>
      <c r="F2" s="80" t="n"/>
      <c r="G2" s="80" t="n"/>
    </row>
    <row r="3">
      <c r="A3" s="82" t="inlineStr">
        <is>
          <t>Credentials_2</t>
        </is>
      </c>
      <c r="B3" s="68" t="inlineStr">
        <is>
          <t>Confirm that we see the Worker Activity option for the selected app</t>
        </is>
      </c>
      <c r="C3" s="68" t="inlineStr">
        <is>
          <t xml:space="preserve">continue to above TC:
- Go to the app settings for the app used in above TC
</t>
        </is>
      </c>
      <c r="D3" s="68" t="inlineStr">
        <is>
          <t xml:space="preserve">- User should see the option for Worker Activity under Advanced Settings only for the selected app. 
- User should be able to select any of the options from the dropdown list. </t>
        </is>
      </c>
      <c r="E3" s="62" t="n"/>
      <c r="F3" s="80" t="n"/>
      <c r="G3" s="80" t="n"/>
    </row>
    <row r="4">
      <c r="A4" s="82" t="inlineStr">
        <is>
          <t>Credentials_3</t>
        </is>
      </c>
      <c r="B4" s="68" t="inlineStr">
        <is>
          <t>Verify that the profile.xml is updated for the app</t>
        </is>
      </c>
      <c r="C4" s="68" t="inlineStr">
        <is>
          <t>1. Go to app release page
2. Clcik on publish
3. Click on View source file
4. Select profile.xml</t>
        </is>
      </c>
      <c r="D4" s="68" t="inlineStr">
        <is>
          <t xml:space="preserve">User should see the workers activity in the profile.xml file with the correct values for the worker activity. </t>
        </is>
      </c>
      <c r="E4" s="62" t="n"/>
      <c r="F4" s="80" t="n"/>
      <c r="G4" s="80" t="n"/>
    </row>
  </sheetData>
  <conditionalFormatting sqref="E2:E4">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4" showDropDown="0" showInputMessage="0" showErrorMessage="1" allowBlank="1" type="list">
      <formula1>"Pass,Fail,N/A,Blocking"</formula1>
    </dataValidation>
  </dataValidations>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G42"/>
  <sheetViews>
    <sheetView workbookViewId="0">
      <selection activeCell="A1" sqref="A1"/>
    </sheetView>
  </sheetViews>
  <sheetFormatPr baseColWidth="8" defaultColWidth="12.63" defaultRowHeight="15.75" customHeight="1"/>
  <cols>
    <col width="21.13" customWidth="1" style="148" min="1" max="1"/>
    <col width="47.63" customWidth="1" style="148" min="2" max="2"/>
    <col width="48.38" customWidth="1" style="148" min="3" max="3"/>
    <col width="50.13" customWidth="1" style="148" min="4" max="4"/>
  </cols>
  <sheetData>
    <row r="1">
      <c r="A1" s="54" t="inlineStr">
        <is>
          <t>Test Case ID</t>
        </is>
      </c>
      <c r="B1" s="54" t="inlineStr">
        <is>
          <t>Description</t>
        </is>
      </c>
      <c r="C1" s="54" t="inlineStr">
        <is>
          <t>Steps</t>
        </is>
      </c>
      <c r="D1" s="55" t="inlineStr">
        <is>
          <t>Outcome</t>
        </is>
      </c>
      <c r="E1" s="54" t="inlineStr">
        <is>
          <t>Status (Pass/Fail)</t>
        </is>
      </c>
      <c r="F1" s="55" t="inlineStr">
        <is>
          <t xml:space="preserve">QA Ticket </t>
        </is>
      </c>
      <c r="G1" s="55" t="inlineStr">
        <is>
          <t xml:space="preserve">Comments </t>
        </is>
      </c>
    </row>
    <row r="2">
      <c r="A2" s="58" t="inlineStr">
        <is>
          <t>Re-Learn_01</t>
        </is>
      </c>
      <c r="B2" s="96" t="inlineStr">
        <is>
          <t>Verify user is able to configure task type question in CC hq app</t>
        </is>
      </c>
      <c r="C2" s="96" t="inlineStr">
        <is>
          <t>1. Navigate to CC hq &gt;&gt; delivery app
2. Add question type as advanced&gt;&gt; task</t>
        </is>
      </c>
      <c r="D2" s="96" t="inlineStr">
        <is>
          <t>- User should be able to create a task type question in hq app</t>
        </is>
      </c>
      <c r="E2" s="66" t="n"/>
      <c r="F2" s="80" t="n"/>
      <c r="G2" s="80" t="n"/>
    </row>
    <row r="3">
      <c r="A3" s="58" t="inlineStr">
        <is>
          <t>Re-Learn_02</t>
        </is>
      </c>
      <c r="B3" s="96" t="inlineStr">
        <is>
          <t>Verify user is able to configure task type for an Opp</t>
        </is>
      </c>
      <c r="C3" s="96" t="inlineStr">
        <is>
          <t>1. Naviagte to opp dashboard &gt;&gt; Hamburger option &gt;&gt; configure task types
2. Click on "+Add new task type"
3. New task type pop up is dispalyed , select the following details:
- Task unit, Name, Case property and description
4. Click on save</t>
        </is>
      </c>
      <c r="D3" s="96" t="inlineStr">
        <is>
          <t>- User should be able to see the configured task type on the list</t>
        </is>
      </c>
      <c r="E3" s="66" t="n"/>
      <c r="F3" s="80" t="n"/>
      <c r="G3" s="80" t="n"/>
    </row>
    <row r="4">
      <c r="A4" s="58" t="inlineStr">
        <is>
          <t>Re-Learn_03</t>
        </is>
      </c>
      <c r="B4" s="96" t="inlineStr">
        <is>
          <t>Verify available tasks are listed as dropdown under task unit field</t>
        </is>
      </c>
      <c r="C4" s="96" t="inlineStr">
        <is>
          <t>1. Naviagte to opp dashboard &gt;&gt; Hamburger option &gt;&gt; configure task types
2. Click on "+Add new task type"
3. click on available tasks field</t>
        </is>
      </c>
      <c r="D4" s="96" t="inlineStr">
        <is>
          <t>- A dropdown should be displayed containing the tasks configured on hq app</t>
        </is>
      </c>
      <c r="E4" s="66" t="n"/>
      <c r="F4" s="80" t="n"/>
      <c r="G4" s="80" t="n"/>
    </row>
    <row r="5">
      <c r="A5" s="58" t="inlineStr">
        <is>
          <t>Re-Learn_04</t>
        </is>
      </c>
      <c r="B5" s="96" t="inlineStr">
        <is>
          <t>Verify that the Name field is mandatory</t>
        </is>
      </c>
      <c r="C5" s="96" t="inlineStr">
        <is>
          <t>1. Naviagte to opp dashboard &gt;&gt; Hamburger option &gt;&gt; configure task types
2. Click on "+Add new task type"
3. Save the task type without entering the name</t>
        </is>
      </c>
      <c r="D5" s="96" t="inlineStr">
        <is>
          <t>- User should see the error "fill in this field" for name field</t>
        </is>
      </c>
      <c r="E5" s="66" t="n"/>
      <c r="F5" s="80" t="n"/>
      <c r="G5" s="80" t="n"/>
    </row>
    <row r="6">
      <c r="A6" s="58" t="inlineStr">
        <is>
          <t>Re-Learn_05</t>
        </is>
      </c>
      <c r="B6" s="96" t="inlineStr">
        <is>
          <t>Verify that the Description field validation is displayed when left empty</t>
        </is>
      </c>
      <c r="C6" s="96" t="inlineStr">
        <is>
          <t>1. Naviagte to opp dashboard &gt;&gt; Hamburger option &gt;&gt; configure task types
2. Click on "+Add new task type"
3. Save the task type without entering the description</t>
        </is>
      </c>
      <c r="D6" s="96" t="inlineStr">
        <is>
          <t>- User should see the error "fill in this field" for description field</t>
        </is>
      </c>
      <c r="E6" s="66" t="n"/>
      <c r="F6" s="80" t="n"/>
      <c r="G6" s="80" t="n"/>
    </row>
    <row r="7">
      <c r="A7" s="58" t="inlineStr">
        <is>
          <t>Re-Learn_06</t>
        </is>
      </c>
      <c r="B7" s="96" t="inlineStr">
        <is>
          <t>Verify that the user is able to configure a task type even when the case property is not entered</t>
        </is>
      </c>
      <c r="C7" s="96" t="inlineStr">
        <is>
          <t>1. Naviagte to opp dashboard &gt;&gt; Hamburger option &gt;&gt; configure task types
2. Click on "+Add new task type"
3. Save the task type without entering the case property</t>
        </is>
      </c>
      <c r="D7" s="96" t="inlineStr">
        <is>
          <t>- User should be able to configure task type successfully</t>
        </is>
      </c>
      <c r="E7" s="66" t="n"/>
      <c r="F7" s="80" t="n"/>
      <c r="G7" s="80" t="n"/>
    </row>
    <row r="8">
      <c r="A8" s="58" t="inlineStr">
        <is>
          <t>Re-Learn_07</t>
        </is>
      </c>
      <c r="B8" s="96" t="inlineStr">
        <is>
          <t>Verify the validation for the Task Unit field</t>
        </is>
      </c>
      <c r="C8" s="96" t="inlineStr">
        <is>
          <t>1. Naviagte to opp dashboard &gt;&gt; Hamburger option &gt;&gt; configure task types
2. Click on "+Add new task type"
3. Save the task type without selecting the task field</t>
        </is>
      </c>
      <c r="D8" s="96" t="inlineStr">
        <is>
          <t>- User should see "Please select an item in the list" error for task unit field</t>
        </is>
      </c>
      <c r="E8" s="66" t="n"/>
      <c r="F8" s="80" t="n"/>
      <c r="G8" s="80" t="n"/>
    </row>
    <row r="9">
      <c r="A9" s="58" t="inlineStr">
        <is>
          <t>Re-Learn_08</t>
        </is>
      </c>
      <c r="B9" s="96" t="inlineStr">
        <is>
          <t>Verify that the user is able to cancel the task configuration by clicking the Cancel button</t>
        </is>
      </c>
      <c r="C9" s="96" t="inlineStr">
        <is>
          <t>1. Naviagte to opp dashboard &gt;&gt; Hamburger option &gt;&gt; configure task types
2. Click on "+Add new task type"
3. Enter all the details 
4. Click cancel</t>
        </is>
      </c>
      <c r="D9" s="96" t="inlineStr">
        <is>
          <t>- New task type creation template should get close and no task type is configured</t>
        </is>
      </c>
      <c r="E9" s="66" t="n"/>
      <c r="F9" s="80" t="n"/>
      <c r="G9" s="80" t="n"/>
    </row>
    <row r="10">
      <c r="A10" s="58" t="inlineStr">
        <is>
          <t>Re-Learn_09</t>
        </is>
      </c>
      <c r="B10" s="96" t="inlineStr">
        <is>
          <t>Verify user is able to close the task configuration when click on the "x"(Close) button</t>
        </is>
      </c>
      <c r="C10" s="96" t="inlineStr">
        <is>
          <t>1. Naviagte to opp dashboard &gt;&gt; Hamburger option &gt;&gt; configure task types
2. Click on "+Add new task type"
3. Enter all the details 
4. Click on "X" close button</t>
        </is>
      </c>
      <c r="D10" s="96" t="inlineStr">
        <is>
          <t>- New task type creation template should get close and no task type is configured</t>
        </is>
      </c>
      <c r="E10" s="66" t="n"/>
      <c r="F10" s="80" t="n"/>
      <c r="G10" s="80" t="n"/>
    </row>
    <row r="11">
      <c r="A11" s="58" t="inlineStr">
        <is>
          <t>Re-Learn_10</t>
        </is>
      </c>
      <c r="B11" s="96" t="inlineStr">
        <is>
          <t>Verify that the user is able to edit the configured task</t>
        </is>
      </c>
      <c r="C11" s="96" t="inlineStr">
        <is>
          <t>1. Naviagte to opp dashboard &gt;&gt; Hamburger option &gt;&gt; configure task types
2. On the task type list page, click on the edit button
3. On edit task type template, edit name and description
4. Click save</t>
        </is>
      </c>
      <c r="D11" s="96" t="inlineStr">
        <is>
          <t>- User should be able to edit the configured task type
- Edited Changes should be saved successfully</t>
        </is>
      </c>
      <c r="E11" s="66" t="n"/>
      <c r="F11" s="80" t="n"/>
      <c r="G11" s="80" t="n"/>
    </row>
    <row r="12">
      <c r="A12" s="58" t="inlineStr">
        <is>
          <t>Re-Learn_11</t>
        </is>
      </c>
      <c r="B12" s="96" t="inlineStr">
        <is>
          <t>Verify user is able to archive the configured task</t>
        </is>
      </c>
      <c r="C12" s="96" t="inlineStr">
        <is>
          <t>1. Naviagte to opp dashboard &gt;&gt; Hamburger option &gt;&gt; configure task types
2. On the task type list page, click on the edit button under actions column
3. On edit task type template, select the check box under archive this task type
4. Click save</t>
        </is>
      </c>
      <c r="D12" s="96" t="inlineStr">
        <is>
          <t>- Task should get archieved succesfully and archieved date should get updated
- Archieved tasks are not shown on connect workers &gt;&gt; tasks
- User shouldn't be able to assign new tasks</t>
        </is>
      </c>
      <c r="E12" s="66" t="n"/>
      <c r="F12" s="97" t="n"/>
      <c r="G12" s="97" t="n"/>
    </row>
    <row r="13">
      <c r="A13" s="58" t="inlineStr">
        <is>
          <t>Re-Learn_12</t>
        </is>
      </c>
      <c r="B13" s="96" t="inlineStr">
        <is>
          <t>Verify user is able to sort the tasks using "task type name" header sorting arrows</t>
        </is>
      </c>
      <c r="C13" s="96" t="inlineStr">
        <is>
          <t>1. Naviagte to opp dashboard &gt;&gt; Hamburger option &gt;&gt; configure task types
2. Click on the sort arrows at "task type name" header</t>
        </is>
      </c>
      <c r="D13" s="96" t="inlineStr">
        <is>
          <t>-Task list should get sort upon clicking on the arrows</t>
        </is>
      </c>
      <c r="E13" s="66" t="n"/>
      <c r="F13" s="97" t="n"/>
      <c r="G13" s="97" t="n"/>
    </row>
    <row r="14">
      <c r="A14" s="58" t="inlineStr">
        <is>
          <t>Re-Learn_13</t>
        </is>
      </c>
      <c r="B14" s="96" t="inlineStr">
        <is>
          <t>Verify user is able to sort the tasks using "description" header sorting arrows</t>
        </is>
      </c>
      <c r="C14" s="96" t="inlineStr">
        <is>
          <t>1. Naviagte to opp dashboard &gt;&gt; Hamburger option &gt;&gt; configure task types
2. Click on the sort arrows at "description" header</t>
        </is>
      </c>
      <c r="D14" s="96" t="inlineStr">
        <is>
          <t>-Task list should get sort upon clicking on the arrows</t>
        </is>
      </c>
      <c r="E14" s="66" t="n"/>
      <c r="F14" s="97" t="n"/>
      <c r="G14" s="97" t="n"/>
    </row>
    <row r="15">
      <c r="A15" s="58" t="inlineStr">
        <is>
          <t>Re-Learn_14</t>
        </is>
      </c>
      <c r="B15" s="96" t="inlineStr">
        <is>
          <t>Verify user is able to sort the tasks using "linked task unit" header sorting arrows</t>
        </is>
      </c>
      <c r="C15" s="96" t="inlineStr">
        <is>
          <t>1. Naviagte to opp dashboard &gt;&gt; Hamburger option &gt;&gt; configure task types
2. Click on the sort arrows at "linked task unit" header</t>
        </is>
      </c>
      <c r="D15" s="96" t="inlineStr">
        <is>
          <t>-Task list should get sort upon clicking on the arrows</t>
        </is>
      </c>
      <c r="E15" s="66" t="n"/>
      <c r="F15" s="97" t="n"/>
      <c r="G15" s="97" t="n"/>
    </row>
    <row r="16">
      <c r="A16" s="58" t="inlineStr">
        <is>
          <t>Re-Learn_15</t>
        </is>
      </c>
      <c r="B16" s="96" t="inlineStr">
        <is>
          <t>Verify user is able to sort the tasks using "Archieved" header sorting arrows</t>
        </is>
      </c>
      <c r="C16" s="96" t="inlineStr">
        <is>
          <t>1. Naviagte to opp dashboard &gt;&gt; Hamburger option &gt;&gt; configure task types
2. Click on the sort arrows at "Archieved" header</t>
        </is>
      </c>
      <c r="D16" s="96" t="inlineStr">
        <is>
          <t>-Task list should get sort upon clicking on the arrows</t>
        </is>
      </c>
      <c r="E16" s="66" t="n"/>
      <c r="F16" s="97" t="n"/>
      <c r="G16" s="97" t="n"/>
    </row>
    <row r="17">
      <c r="A17" s="58" t="inlineStr">
        <is>
          <t>Re-Learn_16</t>
        </is>
      </c>
      <c r="B17" s="96" t="inlineStr">
        <is>
          <t>Verify user sees tasks tab on visits verification page</t>
        </is>
      </c>
      <c r="C17" s="96" t="inlineStr">
        <is>
          <t>1. Navigate to opp dashboard
2. Click on services delivered
3. Click on the worker name
4. On visit verification page, tasks tab is present</t>
        </is>
      </c>
      <c r="D17" s="96" t="inlineStr">
        <is>
          <t>- User should see tasks tab on visit verification page</t>
        </is>
      </c>
      <c r="E17" s="66" t="n"/>
      <c r="F17" s="97" t="n"/>
      <c r="G17" s="97" t="n"/>
    </row>
    <row r="18">
      <c r="A18" s="58" t="inlineStr">
        <is>
          <t>Re-Learn_17</t>
        </is>
      </c>
      <c r="B18" s="96" t="inlineStr">
        <is>
          <t>Verify  user is able to assign tasks using "create task" button</t>
        </is>
      </c>
      <c r="C18" s="96" t="inlineStr">
        <is>
          <t>Cont to above TC
- At the bottom of page, on tasks tab click on the create task button
- Fill all the details &gt;&gt; click save changes</t>
        </is>
      </c>
      <c r="D18" s="96" t="inlineStr">
        <is>
          <t>- User should be able to assign the task for user sucessfully
- User should recive push notification in mobile</t>
        </is>
      </c>
      <c r="E18" s="66" t="n"/>
      <c r="F18" s="97" t="n"/>
      <c r="G18" s="97" t="n"/>
    </row>
    <row r="19">
      <c r="A19" s="58" t="inlineStr">
        <is>
          <t>Re-Learn_18</t>
        </is>
      </c>
      <c r="B19" s="96" t="inlineStr">
        <is>
          <t>Verify  "delete task" button present at bottom of the tasks tab is disabled</t>
        </is>
      </c>
      <c r="C19" s="96" t="inlineStr">
        <is>
          <t>1. Navigate to opp dashboard
2. Click on services delivered
3. Click on the worker name
4. On visit verification page, go to tasks tab
5. See that At bottom of page, delete task button is present</t>
        </is>
      </c>
      <c r="D19" s="96" t="inlineStr">
        <is>
          <t>- Delete task button should be disabled if no visits are selected</t>
        </is>
      </c>
      <c r="E19" s="66" t="n"/>
      <c r="F19" s="97" t="n"/>
      <c r="G19" s="97" t="n"/>
    </row>
    <row r="20">
      <c r="A20" s="58" t="inlineStr">
        <is>
          <t>Re-Learn_19</t>
        </is>
      </c>
      <c r="B20" s="96" t="inlineStr">
        <is>
          <t xml:space="preserve">Verify details on create task pop up </t>
        </is>
      </c>
      <c r="C20" s="96" t="inlineStr">
        <is>
          <t xml:space="preserve">1. Navigate to opp dashboard
2. Click on services delivered
3. Click on the worker name
4. On visit verification page &gt;&gt; tasks tab &gt;&gt; create task </t>
        </is>
      </c>
      <c r="D20" s="96" t="inlineStr">
        <is>
          <t>- Task field contains a dropdown with list of active tasks configured
- Due date field, it should accept only present and future dates</t>
        </is>
      </c>
      <c r="E20" s="66" t="n"/>
      <c r="F20" s="97" t="n"/>
      <c r="G20" s="97" t="n"/>
    </row>
    <row r="21">
      <c r="A21" s="58" t="inlineStr">
        <is>
          <t>Re-Learn_20</t>
        </is>
      </c>
      <c r="B21" s="96" t="inlineStr">
        <is>
          <t>Verify the task field mandatory</t>
        </is>
      </c>
      <c r="C21" s="96" t="inlineStr">
        <is>
          <t>1. Navigate to opp dashboard
2. Click on services delivered
3. Click on the worker name
4. On visit verification page &gt;&gt; tasks tab &gt;&gt; create task 
5. Save the task with empty task field</t>
        </is>
      </c>
      <c r="D21" s="96" t="inlineStr">
        <is>
          <t>- User should not be able to assign task 
- user should see "please select an item in the list" error for task field</t>
        </is>
      </c>
      <c r="E21" s="66" t="n"/>
      <c r="F21" s="97" t="n"/>
      <c r="G21" s="97" t="n"/>
    </row>
    <row r="22">
      <c r="A22" s="58" t="inlineStr">
        <is>
          <t>Re-Learn_21</t>
        </is>
      </c>
      <c r="B22" s="96" t="inlineStr">
        <is>
          <t>Verify due date field mandatory validation</t>
        </is>
      </c>
      <c r="C22" s="96" t="inlineStr">
        <is>
          <t>1. Navigate to opp dashboard
2. Click on services delivered
3. Click on the worker name
4. On visit verification page &gt;&gt; tasks tab &gt;&gt; create task 
5. Save the task with empty date field</t>
        </is>
      </c>
      <c r="D22" s="96" t="inlineStr">
        <is>
          <t>- User should not be able to assign task 
- user should see "please fill in this field" error for due date field</t>
        </is>
      </c>
      <c r="E22" s="66" t="n"/>
      <c r="F22" s="97" t="n"/>
      <c r="G22" s="97" t="n"/>
    </row>
    <row r="23">
      <c r="A23" s="58" t="inlineStr">
        <is>
          <t>Re-Learn_22</t>
        </is>
      </c>
      <c r="B23" s="96" t="inlineStr">
        <is>
          <t>Verify user is not able to assign task by clicking on close button</t>
        </is>
      </c>
      <c r="C23" s="96" t="inlineStr">
        <is>
          <t>Cont to above TC
- At the bottom of page, on tasks tab click on the create task button
- Fill all the details &gt;&gt; click close</t>
        </is>
      </c>
      <c r="D23" s="96" t="inlineStr">
        <is>
          <t>- User should not able to assign task for a worker</t>
        </is>
      </c>
      <c r="E23" s="66" t="n"/>
      <c r="F23" s="97" t="n"/>
      <c r="G23" s="97" t="n"/>
    </row>
    <row r="24">
      <c r="A24" s="58" t="inlineStr">
        <is>
          <t>Re-Learn_23</t>
        </is>
      </c>
      <c r="B24" s="96" t="inlineStr">
        <is>
          <t>Verify user is able to edit the assigned task</t>
        </is>
      </c>
      <c r="C24" s="96" t="inlineStr">
        <is>
          <t>1. Navigate to opp dashboard
2. Click on services delivered
3. Click on the worker name
4. On visit verification page, go to tasks tab
5. Click on task which is in "to do" status
6. At visit details, click on edit icon &gt;&gt; Change new end date &gt;&gt; save</t>
        </is>
      </c>
      <c r="D24" s="96" t="inlineStr">
        <is>
          <t>- Edited changes should get updated successfully</t>
        </is>
      </c>
      <c r="E24" s="66" t="n"/>
      <c r="F24" s="97" t="n"/>
      <c r="G24" s="97" t="n"/>
    </row>
    <row r="25">
      <c r="A25" s="58" t="inlineStr">
        <is>
          <t>Re-Learn_24</t>
        </is>
      </c>
      <c r="B25" s="96" t="inlineStr">
        <is>
          <t>Verify user is able to view the submitted task form</t>
        </is>
      </c>
      <c r="C25" s="96" t="inlineStr">
        <is>
          <t>1. Navigate to opp dashboard
2. Click on services delivered
3. Click on the worker name
4. On visit verification page, go to tasks tab
5. Click on task which is in "Completed" status
6. At visit details, click on "view form in commcare hq" button</t>
        </is>
      </c>
      <c r="D25" s="96" t="inlineStr">
        <is>
          <t>- User should land on commcare hq submitted form page</t>
        </is>
      </c>
      <c r="E25" s="66" t="n"/>
      <c r="F25" s="97" t="n"/>
      <c r="G25" s="97" t="n"/>
    </row>
    <row r="26">
      <c r="A26" s="58" t="inlineStr">
        <is>
          <t>Re-Learn_25</t>
        </is>
      </c>
      <c r="B26" s="96" t="inlineStr">
        <is>
          <t>Verify task details</t>
        </is>
      </c>
      <c r="C26" s="96" t="inlineStr">
        <is>
          <t xml:space="preserve">1. Navigate to opp dashboard
2. Click on services delivered
3. Click on the worker name
4. On visit verification page, go to tasks tab
5. Click on task </t>
        </is>
      </c>
      <c r="D26" s="96" t="inlineStr">
        <is>
          <t>- Following visit details should be seen:
Task name
Status (gets updated when task is completed)
Due date
Assigned by
Duration (get updated when task is completed)
completed at (gets updated when task is completed)
Edit icon (Shown only for to do tasks)
View Form in commcare HQ button (Shown only for completed tasks)</t>
        </is>
      </c>
      <c r="E26" s="66" t="n"/>
      <c r="F26" s="97" t="n"/>
      <c r="G26" s="97" t="n"/>
    </row>
    <row r="27">
      <c r="A27" s="58" t="inlineStr">
        <is>
          <t>Re-Learn_26</t>
        </is>
      </c>
      <c r="B27" s="96" t="inlineStr">
        <is>
          <t>Verify user is able to delete the "to do" tasks</t>
        </is>
      </c>
      <c r="C27" s="96" t="inlineStr">
        <is>
          <t>1. Navigate to opp dashboard
2. Click on services delivered
3. Click on the worker name
4. On visit verification page, go to tasks tab
5. See that At bottom of page, delete task button is present
6. Select the to do tasks &gt;&gt; click delete tasks</t>
        </is>
      </c>
      <c r="D27" s="96" t="inlineStr">
        <is>
          <t>- User should be able to delete tasks that are in to do status</t>
        </is>
      </c>
      <c r="E27" s="66" t="n"/>
      <c r="F27" s="97" t="n"/>
      <c r="G27" s="97" t="n"/>
    </row>
    <row r="28">
      <c r="A28" s="58" t="inlineStr">
        <is>
          <t>Re-Learn_27</t>
        </is>
      </c>
      <c r="B28" s="96" t="inlineStr">
        <is>
          <t>Verify user is able to land on Tasks list page</t>
        </is>
      </c>
      <c r="C28" s="96" t="inlineStr">
        <is>
          <t xml:space="preserve">1. Navigate to opp dahsboard
2. Click on the "Tasks assigned to connect workers" button
</t>
        </is>
      </c>
      <c r="D28" s="96" t="inlineStr">
        <is>
          <t xml:space="preserve">- User should land on tasks list tab 
</t>
        </is>
      </c>
      <c r="E28" s="66" t="n"/>
      <c r="F28" s="97" t="n"/>
      <c r="G28" s="97" t="n"/>
    </row>
    <row r="29">
      <c r="A29" s="58" t="inlineStr">
        <is>
          <t>Re-Learn_28</t>
        </is>
      </c>
      <c r="B29" s="96" t="inlineStr">
        <is>
          <t>Verfiy filters pop up on task tab (connect workers page)</t>
        </is>
      </c>
      <c r="C29" s="96" t="inlineStr">
        <is>
          <t>1. Navigate to opp dahsboard
2. Click on the "Tasks assigned to connect workers" button
3. Click on filters icon</t>
        </is>
      </c>
      <c r="D29" s="96" t="inlineStr">
        <is>
          <t>- Following fields are shown on filter pop up:
Worker name
Tasks status
Tasks type
Date assigned from
Date assigned before
Due date from
Due date before</t>
        </is>
      </c>
      <c r="E29" s="66" t="n"/>
      <c r="F29" s="97" t="n"/>
      <c r="G29" s="97" t="n"/>
    </row>
    <row r="30">
      <c r="A30" s="58" t="inlineStr">
        <is>
          <t>Re-Learn_29</t>
        </is>
      </c>
      <c r="B30" s="96" t="inlineStr">
        <is>
          <t>Verify filter combinations on tasks tab(connect workers page)</t>
        </is>
      </c>
      <c r="C30" s="96" t="inlineStr">
        <is>
          <t>1. Navigate to opp dahsboard
2. Click on the "Tasks assigned to connect workers" button
3. Click on filters icon
4. Apply filters with different combinations</t>
        </is>
      </c>
      <c r="D30" s="96" t="inlineStr">
        <is>
          <t>- Tasks should be visible as per the applied filters</t>
        </is>
      </c>
      <c r="E30" s="66" t="n"/>
      <c r="F30" s="97" t="n"/>
      <c r="G30" s="97" t="n"/>
    </row>
    <row r="31">
      <c r="A31" s="58" t="inlineStr">
        <is>
          <t>Re-Learn_30</t>
        </is>
      </c>
      <c r="B31" s="96" t="inlineStr">
        <is>
          <t>Verfiy filters pop up on task tab (Visit verification page)</t>
        </is>
      </c>
      <c r="C31" s="96" t="inlineStr">
        <is>
          <t>1. Navigate to visit verification page &gt;&gt; tasks tab
2. Click on filters icon</t>
        </is>
      </c>
      <c r="D31" s="96" t="inlineStr">
        <is>
          <t xml:space="preserve">- Following fields are shown on filter pop up:
Tasks status
Tasks type
Date assigned 
Due date from
</t>
        </is>
      </c>
      <c r="E31" s="66" t="n"/>
      <c r="F31" s="97" t="n"/>
      <c r="G31" s="97" t="n"/>
    </row>
    <row r="32">
      <c r="A32" s="58" t="inlineStr">
        <is>
          <t>Re-Learn_31</t>
        </is>
      </c>
      <c r="B32" s="96" t="inlineStr">
        <is>
          <t>Verify filter combinations on tasks tab(Visit verification page)</t>
        </is>
      </c>
      <c r="C32" s="96" t="inlineStr">
        <is>
          <t>1. Navigate to visit verification page &gt;&gt; tasks tab
2. Click on filters icon 
3. Apply filters with different combinations</t>
        </is>
      </c>
      <c r="D32" s="96" t="inlineStr">
        <is>
          <t>- Tasks should be visible as per the applied filters</t>
        </is>
      </c>
      <c r="E32" s="66" t="n"/>
      <c r="F32" s="97" t="n"/>
      <c r="G32" s="97" t="n"/>
    </row>
    <row r="33">
      <c r="A33" s="58" t="inlineStr">
        <is>
          <t>Re-Learn_32</t>
        </is>
      </c>
      <c r="B33" s="96" t="inlineStr">
        <is>
          <t>Verify user lands on Task List page upon clicking on task assigned to connect workers on opp dashboard</t>
        </is>
      </c>
      <c r="C33" s="96" t="inlineStr">
        <is>
          <t xml:space="preserve">1. On Opp dashboard &gt;&gt; click on "tasks assigned to connect workers"
</t>
        </is>
      </c>
      <c r="D33" s="96" t="inlineStr">
        <is>
          <t>- User should land on Tasks list page</t>
        </is>
      </c>
      <c r="E33" s="66" t="n"/>
      <c r="F33" s="97" t="n"/>
      <c r="G33" s="97" t="n"/>
    </row>
    <row r="34">
      <c r="A34" s="58" t="inlineStr">
        <is>
          <t>Re-Learn_33</t>
        </is>
      </c>
      <c r="B34" s="96" t="inlineStr">
        <is>
          <t>Verify user is able to create a task from task list page</t>
        </is>
      </c>
      <c r="C34" s="96" t="inlineStr">
        <is>
          <t>1. Navigate to tasks list page
2. Click on "+" button
3. On create task pop up, select task and select the worker
4. Click on save changes</t>
        </is>
      </c>
      <c r="D34" s="96" t="inlineStr">
        <is>
          <t>- Task assigned push notification should be recieved for a mobile worker
- Task assigned should see the list</t>
        </is>
      </c>
      <c r="E34" s="66" t="n"/>
      <c r="F34" s="97" t="n"/>
      <c r="G34" s="97" t="n"/>
    </row>
    <row r="35">
      <c r="A35" s="58" t="inlineStr">
        <is>
          <t>Re-Learn_34</t>
        </is>
      </c>
      <c r="B35" s="96" t="inlineStr">
        <is>
          <t>Verify user is able to delete task from task list page</t>
        </is>
      </c>
      <c r="C35" s="96" t="inlineStr">
        <is>
          <t>1. Navigate to tasks list page
2. Select tasks that are in "to do" status
3. Click on delete bin icon button</t>
        </is>
      </c>
      <c r="D35" s="96" t="inlineStr">
        <is>
          <t>- User should be able to delete the assigned task which is in "to do" status</t>
        </is>
      </c>
      <c r="E35" s="66" t="n"/>
      <c r="F35" s="97" t="n"/>
      <c r="G35" s="97" t="n"/>
    </row>
    <row r="36">
      <c r="A36" s="58" t="inlineStr">
        <is>
          <t>Re-Learn_35</t>
        </is>
      </c>
      <c r="B36" s="96" t="inlineStr">
        <is>
          <t>Verify user  is able to edit the to do task from task list page</t>
        </is>
      </c>
      <c r="C36" s="96" t="inlineStr">
        <is>
          <t>1. Navigate to tasks list page
2. Click on edit button at to do tasks status</t>
        </is>
      </c>
      <c r="D36" s="96" t="inlineStr">
        <is>
          <t>- User should be able to edit the tasks in to do status</t>
        </is>
      </c>
      <c r="E36" s="66" t="n"/>
      <c r="F36" s="97" t="n"/>
      <c r="G36" s="97" t="n"/>
    </row>
    <row r="37">
      <c r="A37" s="58" t="inlineStr">
        <is>
          <t>Re-Learn_36</t>
        </is>
      </c>
      <c r="B37" s="96" t="inlineStr">
        <is>
          <t>Verify filter combination on task list page</t>
        </is>
      </c>
      <c r="C37" s="96" t="inlineStr">
        <is>
          <t>1. Navigate to tasks list page
2. Click on filters icon
3. Select different combinations of filters and apply</t>
        </is>
      </c>
      <c r="D37" s="96" t="inlineStr">
        <is>
          <t>- Follwoing fields should be there on filters pop up:
  Workers name
  Task type
  Task status
   In active - yes, no (Archived tasks)
   Date assigned from and before
   Due date from and before
- Tasks should get filtered as per applied filters</t>
        </is>
      </c>
      <c r="E37" s="66" t="n"/>
      <c r="F37" s="97" t="n"/>
      <c r="G37" s="97" t="n"/>
    </row>
    <row r="38">
      <c r="A38" s="58" t="inlineStr">
        <is>
          <t>Re-Learn_37</t>
        </is>
      </c>
      <c r="B38" s="96" t="inlineStr">
        <is>
          <t>Verfiy task list page details</t>
        </is>
      </c>
      <c r="C38" s="96" t="inlineStr">
        <is>
          <t xml:space="preserve">1. On Opp dashboard &gt;&gt; click on "tasks assigned to connect workers"
</t>
        </is>
      </c>
      <c r="D38" s="96" t="inlineStr">
        <is>
          <t>Following details are there in task list page:
- Task ID
- Connect worker
- Task status
- Task type
- Assigned date
- due data
- Assigned by 
- Edit button (only for to do status)</t>
        </is>
      </c>
      <c r="E38" s="66" t="n"/>
      <c r="F38" s="97" t="n"/>
      <c r="G38" s="97" t="n"/>
    </row>
    <row r="39">
      <c r="A39" s="58" t="inlineStr">
        <is>
          <t>Re-Learn_38</t>
        </is>
      </c>
      <c r="B39" s="96" t="inlineStr">
        <is>
          <t>Verify user is able to sort details by headder arrows</t>
        </is>
      </c>
      <c r="C39" s="96" t="inlineStr">
        <is>
          <t>1. On Opp dashboard &gt;&gt; click on "tasks assigned to connect workers"
2. On tasks list page &gt;&gt; Click on headder arrows</t>
        </is>
      </c>
      <c r="D39" s="96" t="inlineStr">
        <is>
          <t>- List should be sort by clicking on arrow headders</t>
        </is>
      </c>
      <c r="E39" s="66" t="n"/>
      <c r="F39" s="97" t="n"/>
      <c r="G39" s="97" t="n"/>
    </row>
    <row r="40">
      <c r="A40" s="98" t="n"/>
      <c r="B40" s="100" t="n"/>
      <c r="C40" s="100" t="n"/>
      <c r="D40" s="100" t="n"/>
      <c r="E40" s="101" t="n"/>
    </row>
    <row r="41">
      <c r="A41" s="98" t="n"/>
      <c r="B41" s="100" t="n"/>
      <c r="C41" s="100" t="n"/>
      <c r="D41" s="100" t="n"/>
      <c r="E41" s="101" t="n"/>
    </row>
    <row r="42">
      <c r="A42" s="98" t="n"/>
      <c r="B42" s="100" t="n"/>
      <c r="C42" s="100" t="n"/>
      <c r="D42" s="100" t="n"/>
      <c r="E42" s="101" t="n"/>
    </row>
  </sheetData>
  <conditionalFormatting sqref="E2:E42">
    <cfRule type="cellIs" priority="1" operator="equal" dxfId="4">
      <formula>"Pass"</formula>
    </cfRule>
    <cfRule type="cellIs" priority="2" operator="equal" dxfId="5">
      <formula>"Fail"</formula>
    </cfRule>
    <cfRule type="cellIs" priority="3" operator="equal" dxfId="6">
      <formula>"N/A"</formula>
    </cfRule>
    <cfRule type="cellIs" priority="4" operator="equal" dxfId="7">
      <formula>"Blocking"</formula>
    </cfRule>
  </conditionalFormatting>
  <dataValidations count="1">
    <dataValidation sqref="E2:E42" showDropDown="0" showInputMessage="0" showErrorMessage="1" allowBlank="1" type="list">
      <formula1>"Pass,Fail,N/A,Blocking"</formula1>
    </dataValidation>
  </dataValidations>
  <pageMargins left="0.75" right="0.75" top="1" bottom="1" header="0.5" footer="0.5"/>
</worksheet>
</file>

<file path=xl/worksheets/sheet18.xml><?xml version="1.0" encoding="utf-8"?>
<worksheet xmlns="http://schemas.openxmlformats.org/spreadsheetml/2006/main">
  <sheetPr>
    <outlinePr summaryBelow="0" summaryRight="0"/>
    <pageSetUpPr/>
  </sheetPr>
  <dimension ref="A1:Z45"/>
  <sheetViews>
    <sheetView workbookViewId="0">
      <selection activeCell="A1" sqref="A1"/>
    </sheetView>
  </sheetViews>
  <sheetFormatPr baseColWidth="8" defaultColWidth="12.63" defaultRowHeight="15.75" customHeight="1"/>
  <cols>
    <col width="17.75" customWidth="1" style="148" min="1" max="1"/>
    <col width="45.38" customWidth="1" style="148" min="2" max="2"/>
    <col width="55.13" customWidth="1" style="148" min="3" max="3"/>
    <col width="47.88" customWidth="1" style="148" min="4" max="4"/>
    <col width="18" customWidth="1" style="148" min="5" max="5"/>
    <col width="16.75" customWidth="1" style="148" min="7" max="7"/>
  </cols>
  <sheetData>
    <row r="1">
      <c r="A1" s="167" t="inlineStr">
        <is>
          <t>prerequisite - Microplanning feature flag should be enabled for managed opportunity</t>
        </is>
      </c>
      <c r="B1" s="153" t="n"/>
      <c r="C1" s="153" t="n"/>
      <c r="D1" s="153" t="n"/>
      <c r="E1" s="153" t="n"/>
      <c r="F1" s="153" t="n"/>
      <c r="G1" s="154" t="n"/>
      <c r="H1" s="89" t="n"/>
      <c r="I1" s="89" t="n"/>
      <c r="J1" s="89" t="n"/>
      <c r="K1" s="89" t="n"/>
      <c r="L1" s="89" t="n"/>
      <c r="M1" s="89" t="n"/>
      <c r="N1" s="89" t="n"/>
      <c r="O1" s="89" t="n"/>
      <c r="P1" s="89" t="n"/>
      <c r="Q1" s="89" t="n"/>
      <c r="R1" s="89" t="n"/>
      <c r="S1" s="89" t="n"/>
      <c r="T1" s="89" t="n"/>
      <c r="U1" s="89" t="n"/>
      <c r="V1" s="89" t="n"/>
      <c r="W1" s="89" t="n"/>
      <c r="X1" s="89" t="n"/>
      <c r="Y1" s="89" t="n"/>
      <c r="Z1" s="89" t="n"/>
    </row>
    <row r="2">
      <c r="A2" s="103" t="inlineStr">
        <is>
          <t>Test Case ID</t>
        </is>
      </c>
      <c r="B2" s="103" t="inlineStr">
        <is>
          <t>Description</t>
        </is>
      </c>
      <c r="C2" s="103" t="inlineStr">
        <is>
          <t>Steps</t>
        </is>
      </c>
      <c r="D2" s="103" t="inlineStr">
        <is>
          <t>Outcome</t>
        </is>
      </c>
      <c r="E2" s="103" t="inlineStr">
        <is>
          <t>Status (Pass/Fail)</t>
        </is>
      </c>
      <c r="F2" s="103" t="inlineStr">
        <is>
          <t>Ticket/ Bug</t>
        </is>
      </c>
      <c r="G2" s="103" t="inlineStr">
        <is>
          <t>Comments</t>
        </is>
      </c>
      <c r="H2" s="89" t="n"/>
      <c r="I2" s="89" t="n"/>
      <c r="J2" s="89" t="n"/>
      <c r="K2" s="89" t="n"/>
      <c r="L2" s="89" t="n"/>
      <c r="M2" s="89" t="n"/>
      <c r="N2" s="89" t="n"/>
      <c r="O2" s="89" t="n"/>
      <c r="P2" s="89" t="n"/>
      <c r="Q2" s="89" t="n"/>
      <c r="R2" s="89" t="n"/>
      <c r="S2" s="89" t="n"/>
      <c r="T2" s="89" t="n"/>
      <c r="U2" s="89" t="n"/>
      <c r="V2" s="89" t="n"/>
      <c r="W2" s="89" t="n"/>
      <c r="X2" s="89" t="n"/>
      <c r="Y2" s="89" t="n"/>
      <c r="Z2" s="89" t="n"/>
    </row>
    <row r="3">
      <c r="A3" s="104" t="inlineStr">
        <is>
          <t>Microplanning_01</t>
        </is>
      </c>
      <c r="B3" s="104" t="inlineStr">
        <is>
          <t>Verify user is able to land on select opportunity area page(microplanning)</t>
        </is>
      </c>
      <c r="C3" s="104" t="inlineStr">
        <is>
          <t xml:space="preserve">1. Login to CCC web UI
2. On Opp dashboard, click on "View progress map" button
</t>
        </is>
      </c>
      <c r="D3" s="104" t="inlineStr">
        <is>
          <t>- User should land on select opp area page</t>
        </is>
      </c>
      <c r="E3" s="105" t="n"/>
      <c r="F3" s="104" t="n"/>
      <c r="G3" s="104" t="n"/>
      <c r="H3" s="89" t="n"/>
      <c r="I3" s="89" t="n"/>
      <c r="J3" s="89" t="n"/>
      <c r="K3" s="89" t="n"/>
      <c r="L3" s="89" t="n"/>
      <c r="M3" s="89" t="n"/>
      <c r="N3" s="89" t="n"/>
      <c r="O3" s="89" t="n"/>
      <c r="P3" s="89" t="n"/>
      <c r="Q3" s="89" t="n"/>
      <c r="R3" s="89" t="n"/>
      <c r="S3" s="89" t="n"/>
      <c r="T3" s="89" t="n"/>
      <c r="U3" s="89" t="n"/>
      <c r="V3" s="89" t="n"/>
      <c r="W3" s="89" t="n"/>
      <c r="X3" s="89" t="n"/>
      <c r="Y3" s="89" t="n"/>
      <c r="Z3" s="89" t="n"/>
    </row>
    <row r="4">
      <c r="A4" s="104" t="inlineStr">
        <is>
          <t>Microplanning_02</t>
        </is>
      </c>
      <c r="B4" s="104" t="inlineStr">
        <is>
          <t>Verify user is able to cluster work areas</t>
        </is>
      </c>
      <c r="C4" s="104" t="inlineStr">
        <is>
          <t>1. Login to CCC web UI
2. On Opp dashboard, click on "View progress map" button
3. Click on "create work area groups"</t>
        </is>
      </c>
      <c r="D4" s="104" t="inlineStr">
        <is>
          <t>- Uploaded work areas are grouped together as clusters based on backend code
- User should see the colours for the work areas after clustering</t>
        </is>
      </c>
      <c r="E4" s="105" t="n"/>
      <c r="F4" s="104" t="n"/>
      <c r="G4" s="104" t="n"/>
      <c r="H4" s="89" t="n"/>
      <c r="I4" s="89" t="n"/>
      <c r="J4" s="89" t="n"/>
      <c r="K4" s="89" t="n"/>
      <c r="L4" s="89" t="n"/>
      <c r="M4" s="89" t="n"/>
      <c r="N4" s="89" t="n"/>
      <c r="O4" s="89" t="n"/>
      <c r="P4" s="89" t="n"/>
      <c r="Q4" s="89" t="n"/>
      <c r="R4" s="89" t="n"/>
      <c r="S4" s="89" t="n"/>
      <c r="T4" s="89" t="n"/>
      <c r="U4" s="89" t="n"/>
      <c r="V4" s="89" t="n"/>
      <c r="W4" s="89" t="n"/>
      <c r="X4" s="89" t="n"/>
      <c r="Y4" s="89" t="n"/>
      <c r="Z4" s="89" t="n"/>
    </row>
    <row r="5">
      <c r="A5" s="104" t="inlineStr">
        <is>
          <t>Microplanning_03</t>
        </is>
      </c>
      <c r="B5" s="104" t="inlineStr">
        <is>
          <t>Verify user is able to download the work area summary</t>
        </is>
      </c>
      <c r="C5" s="104" t="inlineStr">
        <is>
          <t>1. Login to CCC web UI
2. On Opp dashboard, click on "View progress map" button
3. At filter map work areas section, click on download arrow button</t>
        </is>
      </c>
      <c r="D5" s="104" t="inlineStr">
        <is>
          <t xml:space="preserve">- File should get downloaded with work area summary
- If filters are applied, file should get downloaded with work area details based on filters </t>
        </is>
      </c>
      <c r="E5" s="105" t="n"/>
      <c r="F5" s="104" t="n"/>
      <c r="G5" s="104" t="n"/>
      <c r="H5" s="89" t="n"/>
      <c r="I5" s="89" t="n"/>
      <c r="J5" s="89" t="n"/>
      <c r="K5" s="89" t="n"/>
      <c r="L5" s="89" t="n"/>
      <c r="M5" s="89" t="n"/>
      <c r="N5" s="89" t="n"/>
      <c r="O5" s="89" t="n"/>
      <c r="P5" s="89" t="n"/>
      <c r="Q5" s="89" t="n"/>
      <c r="R5" s="89" t="n"/>
      <c r="S5" s="89" t="n"/>
      <c r="T5" s="89" t="n"/>
      <c r="U5" s="89" t="n"/>
      <c r="V5" s="89" t="n"/>
      <c r="W5" s="89" t="n"/>
      <c r="X5" s="89" t="n"/>
      <c r="Y5" s="89" t="n"/>
      <c r="Z5" s="89" t="n"/>
    </row>
    <row r="6">
      <c r="A6" s="104" t="inlineStr">
        <is>
          <t>Microplanning_04</t>
        </is>
      </c>
      <c r="B6" s="104" t="inlineStr">
        <is>
          <t>Verify Filter Map work Areas</t>
        </is>
      </c>
      <c r="C6" s="104" t="inlineStr">
        <is>
          <t>1. Login to CCC web UI
2. On Opp dashboard, click on "View progress map" button
3. Observe the filter map work areas</t>
        </is>
      </c>
      <c r="D6" s="104" t="inlineStr">
        <is>
          <t xml:space="preserve">- Following fields should be visible under filter map work areas:
Show visits toggle button
Work Areas status
Assignee
Start date
End date
Show only unassigned section
</t>
        </is>
      </c>
      <c r="E6" s="105" t="n"/>
      <c r="F6" s="104" t="n"/>
      <c r="G6" s="104" t="n"/>
      <c r="H6" s="89" t="n"/>
      <c r="I6" s="89" t="n"/>
      <c r="J6" s="89" t="n"/>
      <c r="K6" s="89" t="n"/>
      <c r="L6" s="89" t="n"/>
      <c r="M6" s="89" t="n"/>
      <c r="N6" s="89" t="n"/>
      <c r="O6" s="89" t="n"/>
      <c r="P6" s="89" t="n"/>
      <c r="Q6" s="89" t="n"/>
      <c r="R6" s="89" t="n"/>
      <c r="S6" s="89" t="n"/>
      <c r="T6" s="89" t="n"/>
      <c r="U6" s="89" t="n"/>
      <c r="V6" s="89" t="n"/>
      <c r="W6" s="89" t="n"/>
      <c r="X6" s="89" t="n"/>
      <c r="Y6" s="89" t="n"/>
      <c r="Z6" s="89" t="n"/>
    </row>
    <row r="7">
      <c r="A7" s="104" t="inlineStr">
        <is>
          <t>Microplanning_05</t>
        </is>
      </c>
      <c r="B7" s="104" t="inlineStr">
        <is>
          <t>Verify show visits option under filter map work areas</t>
        </is>
      </c>
      <c r="C7" s="104" t="inlineStr">
        <is>
          <t>1. Login to CCC web UI
2. On Opp dashboard, click on "View progress map" button
3. Under filter map work areas section, enable show visits button</t>
        </is>
      </c>
      <c r="D7" s="104" t="inlineStr">
        <is>
          <t>- If show visits is on, user should see the submitted visits in the map
- If it is off, no visits are shown on map</t>
        </is>
      </c>
      <c r="E7" s="105" t="n"/>
      <c r="F7" s="104" t="n"/>
      <c r="G7" s="104" t="n"/>
      <c r="H7" s="89" t="n"/>
      <c r="I7" s="89" t="n"/>
      <c r="J7" s="89" t="n"/>
      <c r="K7" s="89" t="n"/>
      <c r="L7" s="89" t="n"/>
      <c r="M7" s="89" t="n"/>
      <c r="N7" s="89" t="n"/>
      <c r="O7" s="89" t="n"/>
      <c r="P7" s="89" t="n"/>
      <c r="Q7" s="89" t="n"/>
      <c r="R7" s="89" t="n"/>
      <c r="S7" s="89" t="n"/>
      <c r="T7" s="89" t="n"/>
      <c r="U7" s="89" t="n"/>
      <c r="V7" s="89" t="n"/>
      <c r="W7" s="89" t="n"/>
      <c r="X7" s="89" t="n"/>
      <c r="Y7" s="89" t="n"/>
      <c r="Z7" s="89" t="n"/>
    </row>
    <row r="8">
      <c r="A8" s="104" t="inlineStr">
        <is>
          <t>Microplanning_06</t>
        </is>
      </c>
      <c r="B8" s="104" t="inlineStr">
        <is>
          <t>Verify show only unassigned option</t>
        </is>
      </c>
      <c r="C8" s="104" t="inlineStr">
        <is>
          <t>1. Login to CCC web UI
2. On Opp dashboard, click on "View progress map" button
3. Under filter map work areas section, Click on the dropdown of show only unassigned option</t>
        </is>
      </c>
      <c r="D8" s="104" t="inlineStr">
        <is>
          <t>- Following options should be available for show only unassigned option:
Unknown
Yes
No 
- If yes is selected, only unassigned visits are highlighted
- If No is selected, all visits are shown</t>
        </is>
      </c>
      <c r="E8" s="105" t="n"/>
      <c r="F8" s="104" t="n"/>
      <c r="G8" s="104" t="n"/>
      <c r="H8" s="89" t="n"/>
      <c r="I8" s="89" t="n"/>
      <c r="J8" s="89" t="n"/>
      <c r="K8" s="89" t="n"/>
      <c r="L8" s="89" t="n"/>
      <c r="M8" s="89" t="n"/>
      <c r="N8" s="89" t="n"/>
      <c r="O8" s="89" t="n"/>
      <c r="P8" s="89" t="n"/>
      <c r="Q8" s="89" t="n"/>
      <c r="R8" s="89" t="n"/>
      <c r="S8" s="89" t="n"/>
      <c r="T8" s="89" t="n"/>
      <c r="U8" s="89" t="n"/>
      <c r="V8" s="89" t="n"/>
      <c r="W8" s="89" t="n"/>
      <c r="X8" s="89" t="n"/>
      <c r="Y8" s="89" t="n"/>
      <c r="Z8" s="89" t="n"/>
    </row>
    <row r="9">
      <c r="A9" s="104" t="inlineStr">
        <is>
          <t>Microplanning_07</t>
        </is>
      </c>
      <c r="B9" s="104" t="inlineStr">
        <is>
          <t>Verify work area status field</t>
        </is>
      </c>
      <c r="C9" s="104" t="inlineStr">
        <is>
          <t>1. Login to CCC web UI
2. On Opp dashboard, click on "View progress map" button
3. Under filter map work areas section, Click on work area status field</t>
        </is>
      </c>
      <c r="D9" s="104" t="inlineStr">
        <is>
          <t>Following options are visible for work area status field:
- Not Started
- Unassigned
- Not visited
- Visited
- Request for inaccessible
- Inaccesible
- Excluded
- Expected visit count
User should be able to select multiple options from the dropdown</t>
        </is>
      </c>
      <c r="E9" s="105" t="n"/>
      <c r="F9" s="104" t="n"/>
      <c r="G9" s="104" t="n"/>
      <c r="H9" s="89" t="n"/>
      <c r="I9" s="89" t="n"/>
      <c r="J9" s="89" t="n"/>
      <c r="K9" s="89" t="n"/>
      <c r="L9" s="89" t="n"/>
      <c r="M9" s="89" t="n"/>
      <c r="N9" s="89" t="n"/>
      <c r="O9" s="89" t="n"/>
      <c r="P9" s="89" t="n"/>
      <c r="Q9" s="89" t="n"/>
      <c r="R9" s="89" t="n"/>
      <c r="S9" s="89" t="n"/>
      <c r="T9" s="89" t="n"/>
      <c r="U9" s="89" t="n"/>
      <c r="V9" s="89" t="n"/>
      <c r="W9" s="89" t="n"/>
      <c r="X9" s="89" t="n"/>
      <c r="Y9" s="89" t="n"/>
      <c r="Z9" s="89" t="n"/>
    </row>
    <row r="10">
      <c r="A10" s="104" t="inlineStr">
        <is>
          <t>Microplanning_08</t>
        </is>
      </c>
      <c r="B10" s="104" t="inlineStr">
        <is>
          <t>Verify user is able to see the work areas highlighted based on selected status</t>
        </is>
      </c>
      <c r="C10" s="104" t="inlineStr">
        <is>
          <t>1. Login to CCC web UI
2. On Opp dashboard, click on "View progress map" button
3. Under filter map work areas section, Click on work area status field
4. Select the options from work area status field</t>
        </is>
      </c>
      <c r="D10" s="104" t="inlineStr">
        <is>
          <t>- Work areas should get based on selected options</t>
        </is>
      </c>
      <c r="E10" s="105" t="n"/>
      <c r="F10" s="104" t="n"/>
      <c r="G10" s="104" t="n"/>
      <c r="H10" s="89" t="n"/>
      <c r="I10" s="89" t="n"/>
      <c r="J10" s="89" t="n"/>
      <c r="K10" s="89" t="n"/>
      <c r="L10" s="89" t="n"/>
      <c r="M10" s="89" t="n"/>
      <c r="N10" s="89" t="n"/>
      <c r="O10" s="89" t="n"/>
      <c r="P10" s="89" t="n"/>
      <c r="Q10" s="89" t="n"/>
      <c r="R10" s="89" t="n"/>
      <c r="S10" s="89" t="n"/>
      <c r="T10" s="89" t="n"/>
      <c r="U10" s="89" t="n"/>
      <c r="V10" s="89" t="n"/>
      <c r="W10" s="89" t="n"/>
      <c r="X10" s="89" t="n"/>
      <c r="Y10" s="89" t="n"/>
      <c r="Z10" s="89" t="n"/>
    </row>
    <row r="11">
      <c r="A11" s="104" t="inlineStr">
        <is>
          <t>Microplanning_09</t>
        </is>
      </c>
      <c r="B11" s="104" t="inlineStr">
        <is>
          <t>Verify user is able to review the inaccessible request</t>
        </is>
      </c>
      <c r="C11" s="104" t="inlineStr">
        <is>
          <t>1. Assign work area to user
2. From mobile request work area for inaccesible
3. On Opp dashboard, click on "View progress map" button
4. Select the work area used in step 2
4. Under work area details click on review inaccessible button</t>
        </is>
      </c>
      <c r="D11" s="104" t="inlineStr">
        <is>
          <t>Follwoing details are observed on the review pop up:
- Visit date
- Reason
- Location
- Photo evidence
- Return to progress map button
- Deny request button
- Approve as inaccessible</t>
        </is>
      </c>
      <c r="E11" s="105" t="n"/>
      <c r="F11" s="104" t="n"/>
      <c r="G11" s="104" t="n"/>
      <c r="H11" s="89" t="n"/>
      <c r="I11" s="89" t="n"/>
      <c r="J11" s="89" t="n"/>
      <c r="K11" s="89" t="n"/>
      <c r="L11" s="89" t="n"/>
      <c r="M11" s="89" t="n"/>
      <c r="N11" s="89" t="n"/>
      <c r="O11" s="89" t="n"/>
      <c r="P11" s="89" t="n"/>
      <c r="Q11" s="89" t="n"/>
      <c r="R11" s="89" t="n"/>
      <c r="S11" s="89" t="n"/>
      <c r="T11" s="89" t="n"/>
      <c r="U11" s="89" t="n"/>
      <c r="V11" s="89" t="n"/>
      <c r="W11" s="89" t="n"/>
      <c r="X11" s="89" t="n"/>
      <c r="Y11" s="89" t="n"/>
      <c r="Z11" s="89" t="n"/>
    </row>
    <row r="12">
      <c r="A12" s="104" t="inlineStr">
        <is>
          <t>Microplanning_10</t>
        </is>
      </c>
      <c r="B12" s="104" t="inlineStr">
        <is>
          <t>Verify user is able to approve the inaccessible request</t>
        </is>
      </c>
      <c r="C12" s="104" t="inlineStr">
        <is>
          <t xml:space="preserve">cont to above TC
- Click on deny button
</t>
        </is>
      </c>
      <c r="D12" s="104" t="inlineStr">
        <is>
          <t>- Push notification is sent to mobile that request for inaccesibility is denined
- Work area status will update accordingly in web</t>
        </is>
      </c>
      <c r="E12" s="105" t="n"/>
      <c r="F12" s="104" t="n"/>
      <c r="G12" s="104" t="n"/>
      <c r="H12" s="89" t="n"/>
      <c r="I12" s="89" t="n"/>
      <c r="J12" s="89" t="n"/>
      <c r="K12" s="89" t="n"/>
      <c r="L12" s="89" t="n"/>
      <c r="M12" s="89" t="n"/>
      <c r="N12" s="89" t="n"/>
      <c r="O12" s="89" t="n"/>
      <c r="P12" s="89" t="n"/>
      <c r="Q12" s="89" t="n"/>
      <c r="R12" s="89" t="n"/>
      <c r="S12" s="89" t="n"/>
      <c r="T12" s="89" t="n"/>
      <c r="U12" s="89" t="n"/>
      <c r="V12" s="89" t="n"/>
      <c r="W12" s="89" t="n"/>
      <c r="X12" s="89" t="n"/>
      <c r="Y12" s="89" t="n"/>
      <c r="Z12" s="89" t="n"/>
    </row>
    <row r="13">
      <c r="A13" s="104" t="inlineStr">
        <is>
          <t>Microplanning_11</t>
        </is>
      </c>
      <c r="B13" s="104" t="inlineStr">
        <is>
          <t>Verify user is able to deny the inaccessible request</t>
        </is>
      </c>
      <c r="C13" s="104" t="inlineStr">
        <is>
          <t>1. Assign work area to user
2. From mobile request work area for inaccesible
3. On Opp dashboard, click on "View progress map" button
4. Select the work area used in step 2
4. Under work area details click on review inaccessible button
5. on review pop up, click on approve as inaccessible</t>
        </is>
      </c>
      <c r="D13" s="104" t="inlineStr">
        <is>
          <t>- Work area is marked as inaccessible</t>
        </is>
      </c>
      <c r="E13" s="105" t="n"/>
      <c r="F13" s="104" t="n"/>
      <c r="G13" s="104" t="n"/>
      <c r="H13" s="89" t="n"/>
      <c r="I13" s="89" t="n"/>
      <c r="J13" s="89" t="n"/>
      <c r="K13" s="89" t="n"/>
      <c r="L13" s="89" t="n"/>
      <c r="M13" s="89" t="n"/>
      <c r="N13" s="89" t="n"/>
      <c r="O13" s="89" t="n"/>
      <c r="P13" s="89" t="n"/>
      <c r="Q13" s="89" t="n"/>
      <c r="R13" s="89" t="n"/>
      <c r="S13" s="89" t="n"/>
      <c r="T13" s="89" t="n"/>
      <c r="U13" s="89" t="n"/>
      <c r="V13" s="89" t="n"/>
      <c r="W13" s="89" t="n"/>
      <c r="X13" s="89" t="n"/>
      <c r="Y13" s="89" t="n"/>
      <c r="Z13" s="89" t="n"/>
    </row>
    <row r="14">
      <c r="A14" s="104" t="inlineStr">
        <is>
          <t>Microplanning_12</t>
        </is>
      </c>
      <c r="B14" s="104" t="inlineStr">
        <is>
          <t>Verify assignee field</t>
        </is>
      </c>
      <c r="C14" s="104" t="inlineStr">
        <is>
          <t>1. Login to CCC web UI
2. On Opp dashboard, click on "View progress map" button
3. Under filter map work areas section, Click on assignee field</t>
        </is>
      </c>
      <c r="D14" s="104" t="inlineStr">
        <is>
          <t>Assignee field dropdown should contain only the workers list that are assigned for work areas</t>
        </is>
      </c>
      <c r="E14" s="105" t="n"/>
      <c r="F14" s="104" t="n"/>
      <c r="G14" s="104" t="n"/>
      <c r="H14" s="89" t="n"/>
      <c r="I14" s="89" t="n"/>
      <c r="J14" s="89" t="n"/>
      <c r="K14" s="89" t="n"/>
      <c r="L14" s="89" t="n"/>
      <c r="M14" s="89" t="n"/>
      <c r="N14" s="89" t="n"/>
      <c r="O14" s="89" t="n"/>
      <c r="P14" s="89" t="n"/>
      <c r="Q14" s="89" t="n"/>
      <c r="R14" s="89" t="n"/>
      <c r="S14" s="89" t="n"/>
      <c r="T14" s="89" t="n"/>
      <c r="U14" s="89" t="n"/>
      <c r="V14" s="89" t="n"/>
      <c r="W14" s="89" t="n"/>
      <c r="X14" s="89" t="n"/>
      <c r="Y14" s="89" t="n"/>
      <c r="Z14" s="89" t="n"/>
    </row>
    <row r="15">
      <c r="A15" s="104" t="inlineStr">
        <is>
          <t>Microplanning_13</t>
        </is>
      </c>
      <c r="B15" s="104" t="inlineStr">
        <is>
          <t>Verify start date field</t>
        </is>
      </c>
      <c r="C15" s="104" t="inlineStr">
        <is>
          <t>1. Login to CCC web UI
2. On Opp dashboard, click on "View progress map" button
3. Under filter map work areas section, Click on start date field</t>
        </is>
      </c>
      <c r="D15" s="104" t="inlineStr">
        <is>
          <t>User should be able to select the date from calender widget</t>
        </is>
      </c>
      <c r="E15" s="105" t="n"/>
      <c r="F15" s="104" t="n"/>
      <c r="G15" s="104" t="n"/>
      <c r="H15" s="89" t="n"/>
      <c r="I15" s="89" t="n"/>
      <c r="J15" s="89" t="n"/>
      <c r="K15" s="89" t="n"/>
      <c r="L15" s="89" t="n"/>
      <c r="M15" s="89" t="n"/>
      <c r="N15" s="89" t="n"/>
      <c r="O15" s="89" t="n"/>
      <c r="P15" s="89" t="n"/>
      <c r="Q15" s="89" t="n"/>
      <c r="R15" s="89" t="n"/>
      <c r="S15" s="89" t="n"/>
      <c r="T15" s="89" t="n"/>
      <c r="U15" s="89" t="n"/>
      <c r="V15" s="89" t="n"/>
      <c r="W15" s="89" t="n"/>
      <c r="X15" s="89" t="n"/>
      <c r="Y15" s="89" t="n"/>
      <c r="Z15" s="89" t="n"/>
    </row>
    <row r="16">
      <c r="A16" s="104" t="inlineStr">
        <is>
          <t>Microplanning_14</t>
        </is>
      </c>
      <c r="B16" s="104" t="inlineStr">
        <is>
          <t>Verify end date field</t>
        </is>
      </c>
      <c r="C16" s="104" t="inlineStr">
        <is>
          <t>1. Login to CCC web UI
2. On Opp dashboard, click on "View progress map" button
3. Under filter map work areas section, Click on end date field</t>
        </is>
      </c>
      <c r="D16" s="104" t="inlineStr">
        <is>
          <t>User should be able to select the date from calender widget</t>
        </is>
      </c>
      <c r="E16" s="105" t="n"/>
      <c r="F16" s="104" t="n"/>
      <c r="G16" s="104" t="n"/>
      <c r="H16" s="89" t="n"/>
      <c r="I16" s="89" t="n"/>
      <c r="J16" s="89" t="n"/>
      <c r="K16" s="89" t="n"/>
      <c r="L16" s="89" t="n"/>
      <c r="M16" s="89" t="n"/>
      <c r="N16" s="89" t="n"/>
      <c r="O16" s="89" t="n"/>
      <c r="P16" s="89" t="n"/>
      <c r="Q16" s="89" t="n"/>
      <c r="R16" s="89" t="n"/>
      <c r="S16" s="89" t="n"/>
      <c r="T16" s="89" t="n"/>
      <c r="U16" s="89" t="n"/>
      <c r="V16" s="89" t="n"/>
      <c r="W16" s="89" t="n"/>
      <c r="X16" s="89" t="n"/>
      <c r="Y16" s="89" t="n"/>
      <c r="Z16" s="89" t="n"/>
    </row>
    <row r="17">
      <c r="A17" s="104" t="inlineStr">
        <is>
          <t>Microplanning_15</t>
        </is>
      </c>
      <c r="B17" s="104" t="inlineStr">
        <is>
          <t>Verify different combinations of filters</t>
        </is>
      </c>
      <c r="C17" s="104" t="inlineStr">
        <is>
          <t>1. Login to CCC web UI
2. On Opp dashboard, click on "View progress map" button
3. Under filter map work areas section, apply different combinations of filters</t>
        </is>
      </c>
      <c r="D17" s="104" t="inlineStr">
        <is>
          <t xml:space="preserve">- When filters are applied, user should see the work areas based on filters
</t>
        </is>
      </c>
      <c r="E17" s="105" t="n"/>
      <c r="F17" s="104" t="n"/>
      <c r="G17" s="104" t="n"/>
      <c r="H17" s="89" t="n"/>
      <c r="I17" s="89" t="n"/>
      <c r="J17" s="89" t="n"/>
      <c r="K17" s="89" t="n"/>
      <c r="L17" s="89" t="n"/>
      <c r="M17" s="89" t="n"/>
      <c r="N17" s="89" t="n"/>
      <c r="O17" s="89" t="n"/>
      <c r="P17" s="89" t="n"/>
      <c r="Q17" s="89" t="n"/>
      <c r="R17" s="89" t="n"/>
      <c r="S17" s="89" t="n"/>
      <c r="T17" s="89" t="n"/>
      <c r="U17" s="89" t="n"/>
      <c r="V17" s="89" t="n"/>
      <c r="W17" s="89" t="n"/>
      <c r="X17" s="89" t="n"/>
      <c r="Y17" s="89" t="n"/>
      <c r="Z17" s="89" t="n"/>
    </row>
    <row r="18">
      <c r="A18" s="104" t="inlineStr">
        <is>
          <t>Microplanning_16</t>
        </is>
      </c>
      <c r="B18" s="104" t="inlineStr">
        <is>
          <t>Verify select work area section</t>
        </is>
      </c>
      <c r="C18" s="104" t="inlineStr">
        <is>
          <t>1. Login to CCC web UI
2. On Opp dashboard, click on "View progress map" button
3. Select work area from map 
4. Verify "select work area" section is displayed</t>
        </is>
      </c>
      <c r="D18" s="104" t="inlineStr">
        <is>
          <t>Following information is visible under select work area section
- Assignee
- Work Area Group
- Expected visit count
- Number of buildings
- Status 
- Modify work area button</t>
        </is>
      </c>
      <c r="E18" s="105" t="n"/>
      <c r="F18" s="104" t="n"/>
      <c r="G18" s="104" t="n"/>
      <c r="H18" s="89" t="n"/>
      <c r="I18" s="89" t="n"/>
      <c r="J18" s="89" t="n"/>
      <c r="K18" s="89" t="n"/>
      <c r="L18" s="89" t="n"/>
      <c r="M18" s="89" t="n"/>
      <c r="N18" s="89" t="n"/>
      <c r="O18" s="89" t="n"/>
      <c r="P18" s="89" t="n"/>
      <c r="Q18" s="89" t="n"/>
      <c r="R18" s="89" t="n"/>
      <c r="S18" s="89" t="n"/>
      <c r="T18" s="89" t="n"/>
      <c r="U18" s="89" t="n"/>
      <c r="V18" s="89" t="n"/>
      <c r="W18" s="89" t="n"/>
      <c r="X18" s="89" t="n"/>
      <c r="Y18" s="89" t="n"/>
      <c r="Z18" s="89" t="n"/>
    </row>
    <row r="19">
      <c r="A19" s="104" t="inlineStr">
        <is>
          <t>Microplanning_17</t>
        </is>
      </c>
      <c r="B19" s="104" t="inlineStr">
        <is>
          <t>Verify user is able to modify work area</t>
        </is>
      </c>
      <c r="C19" s="104" t="inlineStr">
        <is>
          <t>1. Login to CCC web UI
2. On Opp dashboard, click on "View progress map" button
3. Select work area from map 
4. Verify "select work area" section is displayed
5. Click on modify work area button, edit the work area
6. Click on save button</t>
        </is>
      </c>
      <c r="D19" s="104" t="inlineStr">
        <is>
          <t>- User should be able to modify the work area successfully</t>
        </is>
      </c>
      <c r="E19" s="105" t="n"/>
      <c r="F19" s="106" t="n"/>
      <c r="G19" s="104" t="n"/>
      <c r="H19" s="89" t="n"/>
      <c r="I19" s="89" t="n"/>
      <c r="J19" s="89" t="n"/>
      <c r="K19" s="89" t="n"/>
      <c r="L19" s="89" t="n"/>
      <c r="M19" s="89" t="n"/>
      <c r="N19" s="89" t="n"/>
      <c r="O19" s="89" t="n"/>
      <c r="P19" s="89" t="n"/>
      <c r="Q19" s="89" t="n"/>
      <c r="R19" s="89" t="n"/>
      <c r="S19" s="89" t="n"/>
      <c r="T19" s="89" t="n"/>
      <c r="U19" s="89" t="n"/>
      <c r="V19" s="89" t="n"/>
      <c r="W19" s="89" t="n"/>
      <c r="X19" s="89" t="n"/>
      <c r="Y19" s="89" t="n"/>
      <c r="Z19" s="89" t="n"/>
    </row>
    <row r="20">
      <c r="A20" s="104" t="inlineStr">
        <is>
          <t>Microplanning_18</t>
        </is>
      </c>
      <c r="B20" s="104" t="inlineStr">
        <is>
          <t>Verify user is able to land on work area assignment page upon clicking on enter assignment mode</t>
        </is>
      </c>
      <c r="C20" s="104" t="inlineStr">
        <is>
          <t>1. Login to CCC web UI
2. On Opp dashboard, click on "View progress map" button
3. Click Enter assignment mode</t>
        </is>
      </c>
      <c r="D20" s="104" t="inlineStr">
        <is>
          <t>- User should land on work area assignment mode</t>
        </is>
      </c>
      <c r="E20" s="105" t="n"/>
      <c r="F20" s="104" t="n"/>
      <c r="G20" s="104" t="n"/>
      <c r="H20" s="89" t="n"/>
      <c r="I20" s="89" t="n"/>
      <c r="J20" s="89" t="n"/>
      <c r="K20" s="89" t="n"/>
      <c r="L20" s="89" t="n"/>
      <c r="M20" s="89" t="n"/>
      <c r="N20" s="89" t="n"/>
      <c r="O20" s="89" t="n"/>
      <c r="P20" s="89" t="n"/>
      <c r="Q20" s="89" t="n"/>
      <c r="R20" s="89" t="n"/>
      <c r="S20" s="89" t="n"/>
      <c r="T20" s="89" t="n"/>
      <c r="U20" s="89" t="n"/>
      <c r="V20" s="89" t="n"/>
      <c r="W20" s="89" t="n"/>
      <c r="X20" s="89" t="n"/>
      <c r="Y20" s="89" t="n"/>
      <c r="Z20" s="89" t="n"/>
    </row>
    <row r="21">
      <c r="A21" s="104" t="inlineStr">
        <is>
          <t>Microplanning_19</t>
        </is>
      </c>
      <c r="B21" s="104" t="inlineStr">
        <is>
          <t>Verify user is able to assign work area to worker</t>
        </is>
      </c>
      <c r="C21" s="104" t="inlineStr">
        <is>
          <t>1. Login to CCC web UI
2. On Opp dashboard, click on "View progress map" button
3. Click Enter assignment mode
4. Select work area &gt;&gt; FLW &gt;&gt; save and confirm</t>
        </is>
      </c>
      <c r="D21" s="104" t="inlineStr">
        <is>
          <t>- User should be able to assign work area successfully</t>
        </is>
      </c>
      <c r="E21" s="105" t="n"/>
      <c r="F21" s="104" t="n"/>
      <c r="G21" s="104" t="n"/>
      <c r="H21" s="89" t="n"/>
      <c r="I21" s="89" t="n"/>
      <c r="J21" s="89" t="n"/>
      <c r="K21" s="89" t="n"/>
      <c r="L21" s="89" t="n"/>
      <c r="M21" s="89" t="n"/>
      <c r="N21" s="89" t="n"/>
      <c r="O21" s="89" t="n"/>
      <c r="P21" s="89" t="n"/>
      <c r="Q21" s="89" t="n"/>
      <c r="R21" s="89" t="n"/>
      <c r="S21" s="89" t="n"/>
      <c r="T21" s="89" t="n"/>
      <c r="U21" s="89" t="n"/>
      <c r="V21" s="89" t="n"/>
      <c r="W21" s="89" t="n"/>
      <c r="X21" s="89" t="n"/>
      <c r="Y21" s="89" t="n"/>
      <c r="Z21" s="89" t="n"/>
    </row>
    <row r="22">
      <c r="A22" s="104" t="inlineStr">
        <is>
          <t>Microplanning_20</t>
        </is>
      </c>
      <c r="B22" s="104" t="inlineStr">
        <is>
          <t>Verify user is able to assign multiple work areas to a worker in one action</t>
        </is>
      </c>
      <c r="C22" s="104" t="inlineStr">
        <is>
          <t>1. Login to CCC web UI
2. On Opp dashboard, click on "View progress map" button
3. Click Enter assignment mode
4. Select multiple work areas &gt;&gt; FLW &gt;&gt; save and confirm</t>
        </is>
      </c>
      <c r="D22" s="104" t="inlineStr">
        <is>
          <t>- User should be able to assign multiple work areas successfully</t>
        </is>
      </c>
      <c r="E22" s="105" t="n"/>
      <c r="F22" s="104" t="n"/>
      <c r="G22" s="104" t="n"/>
      <c r="H22" s="89" t="n"/>
      <c r="I22" s="89" t="n"/>
      <c r="J22" s="89" t="n"/>
      <c r="K22" s="89" t="n"/>
      <c r="L22" s="89" t="n"/>
      <c r="M22" s="89" t="n"/>
      <c r="N22" s="89" t="n"/>
      <c r="O22" s="89" t="n"/>
      <c r="P22" s="89" t="n"/>
      <c r="Q22" s="89" t="n"/>
      <c r="R22" s="89" t="n"/>
      <c r="S22" s="89" t="n"/>
      <c r="T22" s="89" t="n"/>
      <c r="U22" s="89" t="n"/>
      <c r="V22" s="89" t="n"/>
      <c r="W22" s="89" t="n"/>
      <c r="X22" s="89" t="n"/>
      <c r="Y22" s="89" t="n"/>
      <c r="Z22" s="89" t="n"/>
    </row>
    <row r="23">
      <c r="A23" s="104" t="inlineStr">
        <is>
          <t>Microplanning_21</t>
        </is>
      </c>
      <c r="B23" s="104" t="inlineStr">
        <is>
          <t>Verify "Show only unassigned Work Areas" toggle button</t>
        </is>
      </c>
      <c r="C23" s="104" t="inlineStr">
        <is>
          <t>1. Login to CCC web UI
2. On Opp dashboard, click on "View progress map" button
3. Click Enter assignment mode
4. Click on the "Show only unassigned work areas" toggle button</t>
        </is>
      </c>
      <c r="D23" s="104" t="inlineStr">
        <is>
          <t>- If shown only unassigned work area is on, Only unassigned work areas are visible on map
- If Off, All work areas are visible</t>
        </is>
      </c>
      <c r="E23" s="105" t="n"/>
      <c r="F23" s="104" t="n"/>
      <c r="G23" s="104" t="n"/>
      <c r="H23" s="89" t="n"/>
      <c r="I23" s="89" t="n"/>
      <c r="J23" s="89" t="n"/>
      <c r="K23" s="89" t="n"/>
      <c r="L23" s="89" t="n"/>
      <c r="M23" s="89" t="n"/>
      <c r="N23" s="89" t="n"/>
      <c r="O23" s="89" t="n"/>
      <c r="P23" s="89" t="n"/>
      <c r="Q23" s="89" t="n"/>
      <c r="R23" s="89" t="n"/>
      <c r="S23" s="89" t="n"/>
      <c r="T23" s="89" t="n"/>
      <c r="U23" s="89" t="n"/>
      <c r="V23" s="89" t="n"/>
      <c r="W23" s="89" t="n"/>
      <c r="X23" s="89" t="n"/>
      <c r="Y23" s="89" t="n"/>
      <c r="Z23" s="89" t="n"/>
    </row>
    <row r="24">
      <c r="A24" s="104" t="inlineStr">
        <is>
          <t>Microplanning_22</t>
        </is>
      </c>
      <c r="B24" s="104" t="inlineStr">
        <is>
          <t>Verify "Select Work Areas to Assign" dropdown contains list of work area groups</t>
        </is>
      </c>
      <c r="C24" s="104" t="inlineStr">
        <is>
          <t>1. Login to CCC web UI
2. On Opp dashboard, click on "View progress map" button
3. Click on create work area groups
4. Click on enter assignment mode
5. Select the group field under select work area section</t>
        </is>
      </c>
      <c r="D24" s="104" t="inlineStr">
        <is>
          <t>- Work area groups field should contain list of work areas</t>
        </is>
      </c>
      <c r="E24" s="105" t="n"/>
      <c r="F24" s="104" t="n"/>
      <c r="G24" s="104" t="n"/>
      <c r="H24" s="89" t="n"/>
      <c r="I24" s="89" t="n"/>
      <c r="J24" s="89" t="n"/>
      <c r="K24" s="89" t="n"/>
      <c r="L24" s="89" t="n"/>
      <c r="M24" s="89" t="n"/>
      <c r="N24" s="89" t="n"/>
      <c r="O24" s="89" t="n"/>
      <c r="P24" s="89" t="n"/>
      <c r="Q24" s="89" t="n"/>
      <c r="R24" s="89" t="n"/>
      <c r="S24" s="89" t="n"/>
      <c r="T24" s="89" t="n"/>
      <c r="U24" s="89" t="n"/>
      <c r="V24" s="89" t="n"/>
      <c r="W24" s="89" t="n"/>
      <c r="X24" s="89" t="n"/>
      <c r="Y24" s="89" t="n"/>
      <c r="Z24" s="89" t="n"/>
    </row>
    <row r="25">
      <c r="A25" s="104" t="inlineStr">
        <is>
          <t>Microplanning_23</t>
        </is>
      </c>
      <c r="B25" s="104" t="inlineStr">
        <is>
          <t>Verify user is able to exclude assigned work area from opportunity</t>
        </is>
      </c>
      <c r="C25" s="104" t="inlineStr">
        <is>
          <t>1. Login to CCC web UI
2. On Opp dashboard, click on "View progress map" button
3. Click on enter assignment mode
4. Select the group field under select work area section
5. Verify the "Exclude work area" button is enabled &gt;&gt; Click on the button
6. Enter reason &gt;&gt; EXclude</t>
        </is>
      </c>
      <c r="D25" s="104" t="inlineStr">
        <is>
          <t>- User should be able to exclude only (not visited) assigned work areas</t>
        </is>
      </c>
      <c r="E25" s="105" t="n"/>
      <c r="F25" s="104" t="n"/>
      <c r="G25" s="104" t="n"/>
      <c r="H25" s="89" t="n"/>
      <c r="I25" s="89" t="n"/>
      <c r="J25" s="89" t="n"/>
      <c r="K25" s="89" t="n"/>
      <c r="L25" s="89" t="n"/>
      <c r="M25" s="89" t="n"/>
      <c r="N25" s="89" t="n"/>
      <c r="O25" s="89" t="n"/>
      <c r="P25" s="89" t="n"/>
      <c r="Q25" s="89" t="n"/>
      <c r="R25" s="89" t="n"/>
      <c r="S25" s="89" t="n"/>
      <c r="T25" s="89" t="n"/>
      <c r="U25" s="89" t="n"/>
      <c r="V25" s="89" t="n"/>
      <c r="W25" s="89" t="n"/>
      <c r="X25" s="89" t="n"/>
      <c r="Y25" s="89" t="n"/>
      <c r="Z25" s="89" t="n"/>
    </row>
    <row r="26">
      <c r="A26" s="104" t="inlineStr">
        <is>
          <t>Microplanning_24</t>
        </is>
      </c>
      <c r="B26" s="104" t="inlineStr">
        <is>
          <t>Verify user is able unassign selected areas</t>
        </is>
      </c>
      <c r="C26" s="104" t="inlineStr">
        <is>
          <t xml:space="preserve">1. Login to CCC web UI
2. On Opp dashboard, click on "View progress map" button
3. Click on enter assignment mode
4. Select the group field under select work area section
5. Verify the "Unassign Selected Areas" button is enabled &gt;&gt; Click on the button
</t>
        </is>
      </c>
      <c r="D26" s="104" t="inlineStr">
        <is>
          <t>- User should be able to unassign selected areas successfully</t>
        </is>
      </c>
      <c r="E26" s="105" t="n"/>
      <c r="F26" s="106" t="n"/>
      <c r="G26" s="104" t="n"/>
      <c r="H26" s="89" t="n"/>
      <c r="I26" s="89" t="n"/>
      <c r="J26" s="89" t="n"/>
      <c r="K26" s="89" t="n"/>
      <c r="L26" s="89" t="n"/>
      <c r="M26" s="89" t="n"/>
      <c r="N26" s="89" t="n"/>
      <c r="O26" s="89" t="n"/>
      <c r="P26" s="89" t="n"/>
      <c r="Q26" s="89" t="n"/>
      <c r="R26" s="89" t="n"/>
      <c r="S26" s="89" t="n"/>
      <c r="T26" s="89" t="n"/>
      <c r="U26" s="89" t="n"/>
      <c r="V26" s="89" t="n"/>
      <c r="W26" s="89" t="n"/>
      <c r="X26" s="89" t="n"/>
      <c r="Y26" s="89" t="n"/>
      <c r="Z26" s="89" t="n"/>
    </row>
    <row r="27">
      <c r="A27" s="104" t="inlineStr">
        <is>
          <t>Microplanning_25</t>
        </is>
      </c>
      <c r="B27" s="104" t="inlineStr">
        <is>
          <t xml:space="preserve">Verify select new assignee dropdown contains all the connect workers </t>
        </is>
      </c>
      <c r="C27" s="104" t="inlineStr">
        <is>
          <t>1. Login to CCC web UI
2. On Opp dashboard, click on "View progress map" button
3. Click on enter assignment mode
4. Click on "select FLW" field, under 'Select new Assignee' section</t>
        </is>
      </c>
      <c r="D27" s="104" t="inlineStr">
        <is>
          <t>- User should see the list of connect workers under select new assignee field</t>
        </is>
      </c>
      <c r="E27" s="105" t="n"/>
      <c r="F27" s="104" t="n"/>
      <c r="G27" s="104" t="n"/>
      <c r="H27" s="89" t="n"/>
      <c r="I27" s="89" t="n"/>
      <c r="J27" s="89" t="n"/>
      <c r="K27" s="89" t="n"/>
      <c r="L27" s="89" t="n"/>
      <c r="M27" s="89" t="n"/>
      <c r="N27" s="89" t="n"/>
      <c r="O27" s="89" t="n"/>
      <c r="P27" s="89" t="n"/>
      <c r="Q27" s="89" t="n"/>
      <c r="R27" s="89" t="n"/>
      <c r="S27" s="89" t="n"/>
      <c r="T27" s="89" t="n"/>
      <c r="U27" s="89" t="n"/>
      <c r="V27" s="89" t="n"/>
      <c r="W27" s="89" t="n"/>
      <c r="X27" s="89" t="n"/>
      <c r="Y27" s="89" t="n"/>
      <c r="Z27" s="89" t="n"/>
    </row>
    <row r="28">
      <c r="A28" s="104" t="inlineStr">
        <is>
          <t>Microplanning_26</t>
        </is>
      </c>
      <c r="B28" s="104" t="inlineStr">
        <is>
          <t>Verify user is able to asssign multiple workers in signle action</t>
        </is>
      </c>
      <c r="C28" s="104" t="inlineStr">
        <is>
          <t>1. Login to CCC web UI
2. On Opp dashboard, click on "View progress map" button
3. Click on enter assignment mode
4. Select work area/areas to be assigned
5. Click on "select FLW" field, under 'Select new Assignee' section
6. Select one connect worker &gt;&gt; click save button
7.  Again select another worker &gt;&gt; click save button</t>
        </is>
      </c>
      <c r="D28" s="104" t="n"/>
      <c r="E28" s="105" t="n"/>
      <c r="F28" s="106" t="n"/>
      <c r="G28" s="104" t="n"/>
      <c r="H28" s="89" t="n"/>
      <c r="I28" s="89" t="n"/>
      <c r="J28" s="89" t="n"/>
      <c r="K28" s="89" t="n"/>
      <c r="L28" s="89" t="n"/>
      <c r="M28" s="89" t="n"/>
      <c r="N28" s="89" t="n"/>
      <c r="O28" s="89" t="n"/>
      <c r="P28" s="89" t="n"/>
      <c r="Q28" s="89" t="n"/>
      <c r="R28" s="89" t="n"/>
      <c r="S28" s="89" t="n"/>
      <c r="T28" s="89" t="n"/>
      <c r="U28" s="89" t="n"/>
      <c r="V28" s="89" t="n"/>
      <c r="W28" s="89" t="n"/>
      <c r="X28" s="89" t="n"/>
      <c r="Y28" s="89" t="n"/>
      <c r="Z28" s="89" t="n"/>
    </row>
    <row r="29">
      <c r="A29" s="104" t="inlineStr">
        <is>
          <t>Microplanning_27</t>
        </is>
      </c>
      <c r="B29" s="104" t="inlineStr">
        <is>
          <t>Verify FLW summary</t>
        </is>
      </c>
      <c r="C29" s="104" t="inlineStr">
        <is>
          <t>1. Login to CCC web UI
2. On Opp dashboard, click on "View progress map" button
3. Click on enter assignment mode
4. Select work area/areas to be assigned
5. Click on "select FLW" field, under 'Select new Assignee' section
6. Select one connect worker under FLW section
7. Observe FLW summary details are visible</t>
        </is>
      </c>
      <c r="D29" s="104" t="inlineStr">
        <is>
          <t xml:space="preserve">Following details are Shown under FLW summary when FLW is selected:
- Count of Assigned Buildings
- Count of Assigned Visits
- Count of Assigned Work Areas
- view summary by FLW button
- View Visits button
</t>
        </is>
      </c>
      <c r="E29" s="105" t="n"/>
      <c r="F29" s="104" t="n"/>
      <c r="G29" s="104" t="n"/>
      <c r="H29" s="89" t="n"/>
      <c r="I29" s="89" t="n"/>
      <c r="J29" s="89" t="n"/>
      <c r="K29" s="89" t="n"/>
      <c r="L29" s="89" t="n"/>
      <c r="M29" s="89" t="n"/>
      <c r="N29" s="89" t="n"/>
      <c r="O29" s="89" t="n"/>
      <c r="P29" s="89" t="n"/>
      <c r="Q29" s="89" t="n"/>
      <c r="R29" s="89" t="n"/>
      <c r="S29" s="89" t="n"/>
      <c r="T29" s="89" t="n"/>
      <c r="U29" s="89" t="n"/>
      <c r="V29" s="89" t="n"/>
      <c r="W29" s="89" t="n"/>
      <c r="X29" s="89" t="n"/>
      <c r="Y29" s="89" t="n"/>
      <c r="Z29" s="89" t="n"/>
    </row>
    <row r="30">
      <c r="A30" s="104" t="inlineStr">
        <is>
          <t>Microplanning_28</t>
        </is>
      </c>
      <c r="B30" s="104" t="inlineStr">
        <is>
          <t>Verify user lands on work area assignments page when clicking on view summary by FLW button</t>
        </is>
      </c>
      <c r="C30" s="104" t="inlineStr">
        <is>
          <t>1. Login to CCC web UI
2. On Opp dashboard, click on "View progress map" button
3. Click on enter assignment mode
4. Select work area/areas to be assigned
5. Click on "select FLW" field, under 'Select new Assignee' section
6. Select one connect worker under FLW section
7. Click 'View summary by FLW' button</t>
        </is>
      </c>
      <c r="D30" s="104" t="inlineStr">
        <is>
          <t>- User should land on the work area assignments page</t>
        </is>
      </c>
      <c r="E30" s="105" t="n"/>
      <c r="F30" s="104" t="n"/>
      <c r="G30" s="104" t="n"/>
      <c r="H30" s="89" t="n"/>
      <c r="I30" s="89" t="n"/>
      <c r="J30" s="89" t="n"/>
      <c r="K30" s="89" t="n"/>
      <c r="L30" s="89" t="n"/>
      <c r="M30" s="89" t="n"/>
      <c r="N30" s="89" t="n"/>
      <c r="O30" s="89" t="n"/>
      <c r="P30" s="89" t="n"/>
      <c r="Q30" s="89" t="n"/>
      <c r="R30" s="89" t="n"/>
      <c r="S30" s="89" t="n"/>
      <c r="T30" s="89" t="n"/>
      <c r="U30" s="89" t="n"/>
      <c r="V30" s="89" t="n"/>
      <c r="W30" s="89" t="n"/>
      <c r="X30" s="89" t="n"/>
      <c r="Y30" s="89" t="n"/>
      <c r="Z30" s="89" t="n"/>
    </row>
    <row r="31">
      <c r="A31" s="104" t="inlineStr">
        <is>
          <t>Microplanning_29</t>
        </is>
      </c>
      <c r="B31" s="104" t="inlineStr">
        <is>
          <t>Verify user lands on visits page when clicking on view visits button</t>
        </is>
      </c>
      <c r="C31" s="104" t="inlineStr">
        <is>
          <t>1. Login to CCC web UI
2. On Opp dashboard, click on "View progress map" button
3. Click on enter assignment mode
4. Select work area/areas to be assigned
5. Click on "select FLW" field, under 'Select new Assignee' section
6. Select one connect worker under FLW section
7. Click 'View Visits" button</t>
        </is>
      </c>
      <c r="D31" s="104" t="inlineStr">
        <is>
          <t>- User should land on the connect workers page</t>
        </is>
      </c>
      <c r="E31" s="105" t="n"/>
      <c r="F31" s="106" t="n"/>
      <c r="G31" s="104" t="n"/>
      <c r="H31" s="89" t="n"/>
      <c r="I31" s="89" t="n"/>
      <c r="J31" s="89" t="n"/>
      <c r="K31" s="89" t="n"/>
      <c r="L31" s="89" t="n"/>
      <c r="M31" s="89" t="n"/>
      <c r="N31" s="89" t="n"/>
      <c r="O31" s="89" t="n"/>
      <c r="P31" s="89" t="n"/>
      <c r="Q31" s="89" t="n"/>
      <c r="R31" s="89" t="n"/>
      <c r="S31" s="89" t="n"/>
      <c r="T31" s="89" t="n"/>
      <c r="U31" s="89" t="n"/>
      <c r="V31" s="89" t="n"/>
      <c r="W31" s="89" t="n"/>
      <c r="X31" s="89" t="n"/>
      <c r="Y31" s="89" t="n"/>
      <c r="Z31" s="89" t="n"/>
    </row>
    <row r="32">
      <c r="A32" s="104" t="inlineStr">
        <is>
          <t>Microplanning_30</t>
        </is>
      </c>
      <c r="B32" s="104" t="inlineStr">
        <is>
          <t>Verify details on opp card [microplanning page]</t>
        </is>
      </c>
      <c r="C32" s="104" t="inlineStr">
        <is>
          <t>1. Login to CCC web UI
2. On Opp dashboard, click on "View progress map" button
3.Verify work area details on top of the page</t>
        </is>
      </c>
      <c r="D32" s="104" t="inlineStr">
        <is>
          <t>Following details are shown:
- Days Remaining
- Unvisited Work Areas
- Visited Work Areas
- EVC Reached
- Inaccessible Work Areas
- Excluded Work Areas
- WA visited : Visits ratio
- Coverage see more button</t>
        </is>
      </c>
      <c r="E32" s="105" t="n"/>
      <c r="F32" s="104" t="n"/>
      <c r="G32" s="104" t="n"/>
      <c r="H32" s="89" t="n"/>
      <c r="I32" s="89" t="n"/>
      <c r="J32" s="89" t="n"/>
      <c r="K32" s="89" t="n"/>
      <c r="L32" s="89" t="n"/>
      <c r="M32" s="89" t="n"/>
      <c r="N32" s="89" t="n"/>
      <c r="O32" s="89" t="n"/>
      <c r="P32" s="89" t="n"/>
      <c r="Q32" s="89" t="n"/>
      <c r="R32" s="89" t="n"/>
      <c r="S32" s="89" t="n"/>
      <c r="T32" s="89" t="n"/>
      <c r="U32" s="89" t="n"/>
      <c r="V32" s="89" t="n"/>
      <c r="W32" s="89" t="n"/>
      <c r="X32" s="89" t="n"/>
      <c r="Y32" s="89" t="n"/>
      <c r="Z32" s="89" t="n"/>
    </row>
    <row r="33">
      <c r="A33" s="104" t="inlineStr">
        <is>
          <t>Microplanning_31</t>
        </is>
      </c>
      <c r="B33" s="73" t="inlineStr">
        <is>
          <t>Verify user is able to land on progress tracker page upon clicking on coverage(see more) button on microplanning page</t>
        </is>
      </c>
      <c r="C33" s="73" t="inlineStr">
        <is>
          <t xml:space="preserve">1. Navigate to Opp dashboard
2. Click on View progress map button
3. click on coverage see more button
</t>
        </is>
      </c>
      <c r="D33" s="73" t="inlineStr">
        <is>
          <t>- User should be able to land on progress tracker page</t>
        </is>
      </c>
      <c r="E33" s="73" t="n"/>
      <c r="F33" s="73" t="n"/>
      <c r="G33" s="73" t="n"/>
      <c r="H33" s="89" t="n"/>
      <c r="I33" s="89" t="n"/>
      <c r="J33" s="89" t="n"/>
      <c r="K33" s="89" t="n"/>
      <c r="L33" s="89" t="n"/>
      <c r="M33" s="89" t="n"/>
      <c r="N33" s="89" t="n"/>
      <c r="O33" s="89" t="n"/>
      <c r="P33" s="89" t="n"/>
      <c r="Q33" s="89" t="n"/>
      <c r="R33" s="89" t="n"/>
      <c r="S33" s="89" t="n"/>
      <c r="T33" s="89" t="n"/>
      <c r="U33" s="89" t="n"/>
      <c r="V33" s="89" t="n"/>
      <c r="W33" s="89" t="n"/>
      <c r="X33" s="89" t="n"/>
      <c r="Y33" s="89" t="n"/>
      <c r="Z33" s="89" t="n"/>
    </row>
    <row r="34">
      <c r="A34" s="104" t="inlineStr">
        <is>
          <t>Microplanning_32</t>
        </is>
      </c>
      <c r="B34" s="104" t="inlineStr">
        <is>
          <t>Verify metrics count on microplanning page matches the work areas</t>
        </is>
      </c>
      <c r="C34" s="104" t="inlineStr">
        <is>
          <t>1. Login to CCC web UI
2. On Opp dashboard, click on "View progress map" button
3.Verify work area details on top of the page
4. Apply filters and verify the count matches the work areas highlighted</t>
        </is>
      </c>
      <c r="D34" s="104" t="inlineStr">
        <is>
          <t>- Metrics count should match with the work areas highlighted</t>
        </is>
      </c>
      <c r="E34" s="105" t="n"/>
      <c r="F34" s="106" t="n"/>
      <c r="G34" s="104" t="n"/>
      <c r="H34" s="89" t="n"/>
      <c r="I34" s="89" t="n"/>
      <c r="J34" s="89" t="n"/>
      <c r="K34" s="89" t="n"/>
      <c r="L34" s="89" t="n"/>
      <c r="M34" s="89" t="n"/>
      <c r="N34" s="89" t="n"/>
      <c r="O34" s="89" t="n"/>
      <c r="P34" s="89" t="n"/>
      <c r="Q34" s="89" t="n"/>
      <c r="R34" s="89" t="n"/>
      <c r="S34" s="89" t="n"/>
      <c r="T34" s="89" t="n"/>
      <c r="U34" s="89" t="n"/>
      <c r="V34" s="89" t="n"/>
      <c r="W34" s="89" t="n"/>
      <c r="X34" s="89" t="n"/>
      <c r="Y34" s="89" t="n"/>
      <c r="Z34" s="89" t="n"/>
    </row>
    <row r="35">
      <c r="A35" s="104" t="inlineStr">
        <is>
          <t>Microplanning_33</t>
        </is>
      </c>
      <c r="B35" s="104" t="inlineStr">
        <is>
          <t>Verify assigned work areas are shown under work area assignments tab</t>
        </is>
      </c>
      <c r="C35" s="104" t="inlineStr">
        <is>
          <t>1. Navigate to Opp dashboard
2. Click on connect workers button 
3. Navigte to work area assignment tabs on connect workers page</t>
        </is>
      </c>
      <c r="D35" s="104" t="inlineStr">
        <is>
          <t>Follwoing details are shown on work area assignment tabs:
- Name
- Last active
- Assigned Buildings
- Assigned Visits
- Assigned work areas
- Assigned work area groups
- visits done</t>
        </is>
      </c>
      <c r="E35" s="104" t="n"/>
      <c r="F35" s="104" t="n"/>
      <c r="G35" s="104" t="n"/>
      <c r="H35" s="107" t="n"/>
      <c r="I35" s="107" t="n"/>
      <c r="J35" s="107" t="n"/>
      <c r="K35" s="107" t="n"/>
      <c r="L35" s="107" t="n"/>
      <c r="M35" s="107" t="n"/>
      <c r="N35" s="107" t="n"/>
      <c r="O35" s="107" t="n"/>
      <c r="P35" s="107" t="n"/>
      <c r="Q35" s="107" t="n"/>
      <c r="R35" s="107" t="n"/>
      <c r="S35" s="107" t="n"/>
      <c r="T35" s="107" t="n"/>
      <c r="U35" s="107" t="n"/>
      <c r="V35" s="107" t="n"/>
      <c r="W35" s="107" t="n"/>
      <c r="X35" s="107" t="n"/>
      <c r="Y35" s="107" t="n"/>
      <c r="Z35" s="107" t="n"/>
    </row>
    <row r="36">
      <c r="A36" s="104" t="inlineStr">
        <is>
          <t>Microplanning_34</t>
        </is>
      </c>
      <c r="B36" s="104" t="inlineStr">
        <is>
          <t>Verify user should sort using sort arrows at headers on work area assignment tab</t>
        </is>
      </c>
      <c r="C36" s="104" t="inlineStr">
        <is>
          <t>1. Navigate to Opp dashboard
2. Click on connect workers button 
3. Navigte to work area assignment tabs on connect workers page
4. Click on sort arrows at headers</t>
        </is>
      </c>
      <c r="D36" s="104" t="inlineStr">
        <is>
          <t>- user should be able to sort the details using sort arrows at headers</t>
        </is>
      </c>
      <c r="E36" s="104" t="n"/>
      <c r="F36" s="104" t="n"/>
      <c r="G36" s="104" t="n"/>
      <c r="H36" s="107" t="n"/>
      <c r="I36" s="107" t="n"/>
      <c r="J36" s="107" t="n"/>
      <c r="K36" s="107" t="n"/>
      <c r="L36" s="107" t="n"/>
      <c r="M36" s="107" t="n"/>
      <c r="N36" s="107" t="n"/>
      <c r="O36" s="107" t="n"/>
      <c r="P36" s="107" t="n"/>
      <c r="Q36" s="107" t="n"/>
      <c r="R36" s="107" t="n"/>
      <c r="S36" s="107" t="n"/>
      <c r="T36" s="107" t="n"/>
      <c r="U36" s="107" t="n"/>
      <c r="V36" s="107" t="n"/>
      <c r="W36" s="107" t="n"/>
      <c r="X36" s="107" t="n"/>
      <c r="Y36" s="107" t="n"/>
      <c r="Z36" s="107" t="n"/>
    </row>
    <row r="37">
      <c r="A37" s="104" t="inlineStr">
        <is>
          <t>Microplanning_35</t>
        </is>
      </c>
      <c r="B37" s="73" t="inlineStr">
        <is>
          <t>Verify details on progress Tracker page</t>
        </is>
      </c>
      <c r="C37" s="73" t="inlineStr">
        <is>
          <t xml:space="preserve">1. Navigate to Opp dashboard
2. Click on View progress map button
3. click on coverage see more button
</t>
        </is>
      </c>
      <c r="D37" s="73" t="inlineStr">
        <is>
          <t>Following details are shown on progress tracker page:
Ward saturation goal percentage
Date filter
Core metrics
Metrics by Work Area Group
Download buttons</t>
        </is>
      </c>
      <c r="E37" s="73" t="n"/>
      <c r="F37" s="73" t="n"/>
      <c r="G37" s="73" t="n"/>
      <c r="H37" s="89" t="n"/>
      <c r="I37" s="89" t="n"/>
      <c r="J37" s="89" t="n"/>
      <c r="K37" s="89" t="n"/>
      <c r="L37" s="89" t="n"/>
      <c r="M37" s="89" t="n"/>
      <c r="N37" s="89" t="n"/>
      <c r="O37" s="89" t="n"/>
      <c r="P37" s="89" t="n"/>
      <c r="Q37" s="89" t="n"/>
      <c r="R37" s="89" t="n"/>
      <c r="S37" s="89" t="n"/>
      <c r="T37" s="89" t="n"/>
      <c r="U37" s="89" t="n"/>
      <c r="V37" s="89" t="n"/>
      <c r="W37" s="89" t="n"/>
      <c r="X37" s="89" t="n"/>
      <c r="Y37" s="89" t="n"/>
      <c r="Z37" s="89" t="n"/>
    </row>
    <row r="38">
      <c r="A38" s="104" t="inlineStr">
        <is>
          <t>Microplanning_36</t>
        </is>
      </c>
      <c r="B38" s="73" t="inlineStr">
        <is>
          <t>Verify core metrics details</t>
        </is>
      </c>
      <c r="C38" s="73" t="inlineStr">
        <is>
          <t xml:space="preserve">1. Navigate to Opp dashboard
2. Click on View progress map button
3. click on coverage see more button
</t>
        </is>
      </c>
      <c r="D38" s="73" t="inlineStr">
        <is>
          <t>- user should be able to download the core metric details
- User should see the correct details of core metrics
- Following details are shown:
Ward name
Expected Visit count
Building count
Work areas
Approved visits
% Visits completed
WAs Visited
%WAs Visited
WAs Visited(Last Week)
%WAs Visited(Last week)
WAs EVC Reached
%WAs EVC Reached
WAs EVC Reached (Last Week)
%WAs EVC Reached (Last Week)
Buildings covered (WAs Visited)
%Buildings covered (WAs Visited)
Buildings covered (WAs Visited, Last week)
%Buildings covered (WAs Visited, Last week)
Buildings covered(WAs EVC Reached)
%Buildings covered(WAs EVC Reached)
Buildings covered(WAs EVC Reached, Last week)
%Buildings covered(WAs EVC Reached, Last week)
WA Visited : Visits Ratio
WA Visited : Visits Ratio(Last week)
WA EVC Reached : Visits Ratio
WA EVC Reached : Visits Ratio (Last Week)
Buildings EVC Reached : Visits Ratio
Buildings EVC Reached : Visits Ratio (Last Week)
Buildings Visited : Visits Ratio
Buildings Visited : Visits Ratio (Last Week)</t>
        </is>
      </c>
      <c r="E38" s="73" t="n"/>
      <c r="F38" s="73" t="n"/>
      <c r="G38" s="73" t="n"/>
      <c r="H38" s="89" t="n"/>
      <c r="I38" s="89" t="n"/>
      <c r="J38" s="89" t="n"/>
      <c r="K38" s="89" t="n"/>
      <c r="L38" s="89" t="n"/>
      <c r="M38" s="89" t="n"/>
      <c r="N38" s="89" t="n"/>
      <c r="O38" s="89" t="n"/>
      <c r="P38" s="89" t="n"/>
      <c r="Q38" s="89" t="n"/>
      <c r="R38" s="89" t="n"/>
      <c r="S38" s="89" t="n"/>
      <c r="T38" s="89" t="n"/>
      <c r="U38" s="89" t="n"/>
      <c r="V38" s="89" t="n"/>
      <c r="W38" s="89" t="n"/>
      <c r="X38" s="89" t="n"/>
      <c r="Y38" s="89" t="n"/>
      <c r="Z38" s="89" t="n"/>
    </row>
    <row r="39">
      <c r="A39" s="104" t="inlineStr">
        <is>
          <t>Microplanning_37</t>
        </is>
      </c>
      <c r="B39" s="73" t="inlineStr">
        <is>
          <t xml:space="preserve">Verify Metrics by work area group details </t>
        </is>
      </c>
      <c r="C39" s="73" t="inlineStr">
        <is>
          <t xml:space="preserve">1. Navigate to Opp dashboard
2. Click on View progress map button
3. click on coverage see more button
</t>
        </is>
      </c>
      <c r="D39" s="73" t="inlineStr">
        <is>
          <t>- user should be able to download the metrics by work area group details
- User should see the correct details based on the progress made
- Following details are shown
Work Area Group
Ward
Expected Visit Count
% Visits Completed
% Visits Completed (Last Week)
% WAs EVC Reached
% WAs EVC Reached (Last Week)
WA Visited : Visits Ratio
WA Visited : Visits Ratio (Last Week)</t>
        </is>
      </c>
      <c r="E39" s="73" t="n"/>
      <c r="F39" s="73" t="n"/>
      <c r="G39" s="73" t="n"/>
      <c r="H39" s="89" t="n"/>
      <c r="I39" s="89" t="n"/>
      <c r="J39" s="89" t="n"/>
      <c r="K39" s="89" t="n"/>
      <c r="L39" s="89" t="n"/>
      <c r="M39" s="89" t="n"/>
      <c r="N39" s="89" t="n"/>
      <c r="O39" s="89" t="n"/>
      <c r="P39" s="89" t="n"/>
      <c r="Q39" s="89" t="n"/>
      <c r="R39" s="89" t="n"/>
      <c r="S39" s="89" t="n"/>
      <c r="T39" s="89" t="n"/>
      <c r="U39" s="89" t="n"/>
      <c r="V39" s="89" t="n"/>
      <c r="W39" s="89" t="n"/>
      <c r="X39" s="89" t="n"/>
      <c r="Y39" s="89" t="n"/>
      <c r="Z39" s="89" t="n"/>
    </row>
    <row r="40">
      <c r="A40" s="104" t="inlineStr">
        <is>
          <t>Microplanning_38</t>
        </is>
      </c>
      <c r="B40" s="73" t="inlineStr">
        <is>
          <t>Verify date filter on progress tracker page</t>
        </is>
      </c>
      <c r="C40" s="73" t="inlineStr">
        <is>
          <t>1. Navigate to Opp dashboard
2. Click on View progress map button
3. Click on coverage see more button
4. Apply date filters</t>
        </is>
      </c>
      <c r="D40" s="73" t="inlineStr">
        <is>
          <t>- User should be able to select the from and to dates</t>
        </is>
      </c>
      <c r="E40" s="73" t="n"/>
      <c r="F40" s="73" t="n"/>
      <c r="G40" s="73" t="n"/>
      <c r="H40" s="89" t="n"/>
      <c r="I40" s="89" t="n"/>
      <c r="J40" s="89" t="n"/>
      <c r="K40" s="89" t="n"/>
      <c r="L40" s="89" t="n"/>
      <c r="M40" s="89" t="n"/>
      <c r="N40" s="89" t="n"/>
      <c r="O40" s="89" t="n"/>
      <c r="P40" s="89" t="n"/>
      <c r="Q40" s="89" t="n"/>
      <c r="R40" s="89" t="n"/>
      <c r="S40" s="89" t="n"/>
      <c r="T40" s="89" t="n"/>
      <c r="U40" s="89" t="n"/>
      <c r="V40" s="89" t="n"/>
      <c r="W40" s="89" t="n"/>
      <c r="X40" s="89" t="n"/>
      <c r="Y40" s="89" t="n"/>
      <c r="Z40" s="89" t="n"/>
    </row>
    <row r="41">
      <c r="A41" s="104" t="inlineStr">
        <is>
          <t>Microplanning_39</t>
        </is>
      </c>
      <c r="B41" s="73" t="inlineStr">
        <is>
          <t>Verify ward saturation goal percentage</t>
        </is>
      </c>
      <c r="C41" s="73" t="inlineStr">
        <is>
          <t>1. Navigate to Opp dashboard
2. Click on View progress map button
3. Click on coverage see more button
4. Verify the ward satuartion goal</t>
        </is>
      </c>
      <c r="D41" s="73" t="inlineStr">
        <is>
          <t>- User should see updated percentage according to progress</t>
        </is>
      </c>
      <c r="E41" s="73" t="n"/>
      <c r="F41" s="73" t="n"/>
      <c r="G41" s="73" t="n"/>
    </row>
    <row r="42">
      <c r="A42" s="104" t="inlineStr">
        <is>
          <t>Microplanning_40</t>
        </is>
      </c>
      <c r="B42" s="73" t="inlineStr">
        <is>
          <t>Verify that core metrics are updated based on the selected date range.</t>
        </is>
      </c>
      <c r="C42" s="73" t="inlineStr">
        <is>
          <t>1. Navigate to Opp dashboard
2. Click on View progress map button
3. Click on coverage see more button
4. Apply date filters</t>
        </is>
      </c>
      <c r="D42" s="73" t="inlineStr">
        <is>
          <t>Core metrics data should get updated as per applied date</t>
        </is>
      </c>
      <c r="E42" s="73" t="n"/>
      <c r="F42" s="73" t="n"/>
      <c r="G42" s="73" t="n"/>
    </row>
    <row r="43">
      <c r="A43" s="109" t="n"/>
      <c r="B43" s="109" t="inlineStr">
        <is>
          <t>Verify user is able to download the core metrics file</t>
        </is>
      </c>
      <c r="C43" s="109" t="n"/>
      <c r="D43" s="109" t="n"/>
    </row>
    <row r="44">
      <c r="A44" s="109" t="n"/>
      <c r="B44" s="109" t="n"/>
      <c r="C44" s="109" t="n"/>
      <c r="D44" s="109" t="n"/>
    </row>
    <row r="45">
      <c r="A45" s="109" t="n"/>
      <c r="B45" s="109" t="n"/>
      <c r="C45" s="109" t="n"/>
      <c r="D45" s="109" t="n"/>
    </row>
  </sheetData>
  <mergeCells count="1">
    <mergeCell ref="A1:G1"/>
  </mergeCells>
  <dataValidations count="1">
    <dataValidation sqref="E3:E32 E34:E36" showDropDown="0" showInputMessage="0" showErrorMessage="1" allowBlank="1" type="list">
      <formula1>"Pass,Fail,N/A,Blocking"</formula1>
    </dataValidation>
  </dataValidations>
  <pageMargins left="0.75" right="0.75" top="1" bottom="1" header="0.5" footer="0.5"/>
</worksheet>
</file>

<file path=xl/worksheets/sheet19.xml><?xml version="1.0" encoding="utf-8"?>
<worksheet xmlns="http://schemas.openxmlformats.org/spreadsheetml/2006/main">
  <sheetPr>
    <outlinePr summaryBelow="0" summaryRight="0"/>
    <pageSetUpPr/>
  </sheetPr>
  <dimension ref="A1:F529"/>
  <sheetViews>
    <sheetView workbookViewId="0">
      <selection activeCell="A1" sqref="A1"/>
    </sheetView>
  </sheetViews>
  <sheetFormatPr baseColWidth="8" defaultColWidth="12.63" defaultRowHeight="15.75" customHeight="1"/>
  <cols>
    <col width="36.38" customWidth="1" style="148" min="1" max="2"/>
    <col width="22.75" customWidth="1" style="148" min="3" max="3"/>
    <col width="15.63" customWidth="1" style="148" min="4" max="4"/>
    <col width="18.88" customWidth="1" style="148" min="5" max="5"/>
    <col width="25.25" customWidth="1" style="148" min="6" max="6"/>
  </cols>
  <sheetData>
    <row r="1">
      <c r="A1" s="168" t="n"/>
      <c r="B1" s="150" t="inlineStr">
        <is>
          <t>&lt;Feature_Name&gt; 
or
&lt;Ticket Title&gt;</t>
        </is>
      </c>
      <c r="C1" s="152" t="n"/>
      <c r="E1" s="111" t="inlineStr">
        <is>
          <t>Key</t>
        </is>
      </c>
      <c r="F1" s="112" t="n"/>
    </row>
    <row r="2" ht="20.25" customHeight="1" s="148">
      <c r="A2" s="155" t="n"/>
      <c r="B2" s="156" t="n"/>
      <c r="C2" s="158" t="n"/>
      <c r="E2" s="113" t="inlineStr">
        <is>
          <t>Pass</t>
        </is>
      </c>
      <c r="F2" s="122" t="inlineStr">
        <is>
          <t>Passed steps of Test Case</t>
        </is>
      </c>
    </row>
    <row r="3">
      <c r="A3" s="155" t="n"/>
      <c r="B3" s="160" t="inlineStr">
        <is>
          <t>- Feature Description
- Test Domain
- Feature Flag
- (For master test plans) Last executed
- &lt;Anything specific to be added&gt;</t>
        </is>
      </c>
      <c r="C3" s="152" t="n"/>
      <c r="E3" s="115" t="inlineStr">
        <is>
          <t>Fail</t>
        </is>
      </c>
      <c r="F3" s="122" t="inlineStr">
        <is>
          <t>Failed steps of Test Case</t>
        </is>
      </c>
    </row>
    <row r="4">
      <c r="A4" s="155" t="n"/>
      <c r="B4" s="161" t="n"/>
      <c r="C4" s="162" t="n"/>
      <c r="E4" s="116" t="inlineStr">
        <is>
          <t>N/A</t>
        </is>
      </c>
      <c r="F4" s="122" t="inlineStr">
        <is>
          <t>Not applicable to your testing</t>
        </is>
      </c>
    </row>
    <row r="5">
      <c r="A5" s="163" t="n"/>
      <c r="B5" s="156" t="n"/>
      <c r="C5" s="158" t="n"/>
      <c r="E5" s="117" t="inlineStr">
        <is>
          <t>Blocking</t>
        </is>
      </c>
      <c r="F5" s="118" t="inlineStr">
        <is>
          <t>Failed and is a critical feature or cannot proceed with testing</t>
        </is>
      </c>
    </row>
    <row r="6" ht="17.25" customHeight="1" s="148">
      <c r="A6" s="119" t="inlineStr">
        <is>
          <t>Name of Tester</t>
        </is>
      </c>
      <c r="B6" s="120" t="inlineStr">
        <is>
          <t>Start Date</t>
        </is>
      </c>
      <c r="C6" s="120" t="inlineStr">
        <is>
          <t>End Date</t>
        </is>
      </c>
      <c r="E6" s="121" t="inlineStr">
        <is>
          <t>Unanswered</t>
        </is>
      </c>
      <c r="F6" s="122" t="inlineStr">
        <is>
          <t>Unanswered/ blank test cases</t>
        </is>
      </c>
    </row>
    <row r="7">
      <c r="A7" s="123" t="n"/>
      <c r="B7" s="124" t="n"/>
      <c r="C7" s="125" t="n"/>
      <c r="E7" s="126" t="n"/>
      <c r="F7" s="127" t="n"/>
    </row>
    <row r="8">
      <c r="A8" s="128" t="n"/>
      <c r="B8" s="128" t="n"/>
      <c r="C8" s="127" t="n"/>
      <c r="D8" s="127" t="n"/>
    </row>
    <row r="9">
      <c r="A9" s="129" t="inlineStr">
        <is>
          <t>Tab</t>
        </is>
      </c>
      <c r="B9" s="129">
        <f>sheetName(2)</f>
        <v/>
      </c>
      <c r="C9" s="129">
        <f>sheetName(3)</f>
        <v/>
      </c>
      <c r="D9" s="129">
        <f>sheetName(4)</f>
        <v/>
      </c>
      <c r="E9" s="129">
        <f>sheetName(5)</f>
        <v/>
      </c>
      <c r="F9" s="129">
        <f>sheetName(6)</f>
        <v/>
      </c>
    </row>
    <row r="10">
      <c r="A10" s="129" t="inlineStr">
        <is>
          <t>&lt;optional&gt; Documentation Status</t>
        </is>
      </c>
      <c r="B10" s="130" t="n"/>
      <c r="C10" s="130" t="n"/>
      <c r="D10" s="130" t="n"/>
      <c r="E10" s="130" t="n"/>
      <c r="F10" s="130" t="n"/>
    </row>
    <row r="11">
      <c r="A11" s="129" t="inlineStr">
        <is>
          <t>Execution Status</t>
        </is>
      </c>
      <c r="B11" s="130" t="n"/>
      <c r="C11" s="130" t="n"/>
      <c r="D11" s="130" t="n"/>
      <c r="E11" s="130" t="n"/>
      <c r="F11" s="130" t="n"/>
    </row>
    <row r="12">
      <c r="A12" s="131" t="inlineStr">
        <is>
          <t>Duration</t>
        </is>
      </c>
      <c r="B12" s="125" t="n"/>
      <c r="C12" s="125" t="n"/>
      <c r="D12" s="125" t="n"/>
      <c r="E12" s="125" t="n"/>
      <c r="F12" s="125" t="n"/>
    </row>
    <row r="14">
      <c r="A14" s="169" t="inlineStr">
        <is>
          <t>Case Results
(if none, displays as 0)</t>
        </is>
      </c>
      <c r="B14" s="134">
        <f t="array" ref="B14">countif(INDIRECT("'"&amp;$B$9&amp;"'!"&amp;"D2:D100"), "Pass")</f>
        <v/>
      </c>
      <c r="C14" s="134">
        <f t="array" ref="C14">countif(INDIRECT("'"&amp;$C$9&amp;"'!"&amp;"D2:D100"), "Pass")</f>
        <v/>
      </c>
      <c r="D14" s="134">
        <f t="array" ref="D14">countif(INDIRECT("'"&amp;$D$9&amp;"'!"&amp;"D2:D100"), "Pass")</f>
        <v/>
      </c>
      <c r="E14" s="135">
        <f t="array" ref="E14">countif(INDIRECT("'"&amp;$E$9&amp;"'!"&amp;"D2:D100"), "Pass")</f>
        <v/>
      </c>
      <c r="F14" s="135">
        <f t="array" ref="F14">countif(INDIRECT("'"&amp;$F$9&amp;"'!"&amp;"D2:D100"), "Pass")</f>
        <v/>
      </c>
    </row>
    <row r="15">
      <c r="A15" s="155" t="n"/>
      <c r="B15" s="137">
        <f t="array" ref="B15">countif(INDIRECT("'"&amp;$B$9&amp;"'!"&amp;"D2:D100"), "Fail")</f>
        <v/>
      </c>
      <c r="C15" s="137">
        <f t="array" ref="C15">countif(INDIRECT("'"&amp;$C$9&amp;"'!"&amp;"D2:D100"), "Fail")</f>
        <v/>
      </c>
      <c r="D15" s="137">
        <f t="array" ref="D15">countif(INDIRECT("'"&amp;$D$9&amp;"'!"&amp;"D2:D100"), "Fail")</f>
        <v/>
      </c>
      <c r="E15" s="138">
        <f t="array" ref="E15">countif(INDIRECT("'"&amp;$E$9&amp;"'!"&amp;"D2:D100"), "Fail")</f>
        <v/>
      </c>
      <c r="F15" s="138">
        <f t="array" ref="F15">countif(INDIRECT("'"&amp;$F$9&amp;"'!"&amp;"D2:D100"), "Fail")</f>
        <v/>
      </c>
    </row>
    <row r="16">
      <c r="A16" s="155" t="n"/>
      <c r="B16" s="140">
        <f t="array" ref="B16">countif(INDIRECT("'"&amp;$B$9&amp;"'!"&amp;"D2:D100"), "N/A")</f>
        <v/>
      </c>
      <c r="C16" s="140">
        <f t="array" ref="C16">countif(INDIRECT("'"&amp;$C$9&amp;"'!"&amp;"D2:D100"), "N/A")</f>
        <v/>
      </c>
      <c r="D16" s="140">
        <f t="array" ref="D16">countif(INDIRECT("'"&amp;$D$9&amp;"'!"&amp;"D2:D100"), "N/A")</f>
        <v/>
      </c>
      <c r="E16" s="141">
        <f t="array" ref="E16">countif(INDIRECT("'"&amp;$E$9&amp;"'!"&amp;"D2:D100"), "N/A")</f>
        <v/>
      </c>
      <c r="F16" s="141">
        <f t="array" ref="F16">countif(INDIRECT("'"&amp;$F$9&amp;"'!"&amp;"D2:D100"), "N/A")</f>
        <v/>
      </c>
    </row>
    <row r="17">
      <c r="A17" s="155" t="n"/>
      <c r="B17" s="143">
        <f t="array" ref="B17">countif(INDIRECT("'"&amp;$B$9&amp;"'!"&amp;"D2:D100"), "Blocking")</f>
        <v/>
      </c>
      <c r="C17" s="143">
        <f t="array" ref="C17">countif(INDIRECT("'"&amp;$C$9&amp;"'!"&amp;"D2:D100"), "Blocking")</f>
        <v/>
      </c>
      <c r="D17" s="143">
        <f t="array" ref="D17">countif(INDIRECT("'"&amp;$D$9&amp;"'!"&amp;"D2:D100"), "Blocking")</f>
        <v/>
      </c>
      <c r="E17" s="144">
        <f t="array" ref="E17">countif(INDIRECT("'"&amp;$E$9&amp;"'!"&amp;"D2:D100"), "Blocking")</f>
        <v/>
      </c>
      <c r="F17" s="144">
        <f t="array" ref="F17">countif(INDIRECT("'"&amp;$F$9&amp;"'!"&amp;"D2:D100"), "Blocking")</f>
        <v/>
      </c>
    </row>
    <row r="18">
      <c r="A18" s="163" t="n"/>
      <c r="B18" s="121">
        <f t="array" ref="B18">countif(INDIRECT("'"&amp;$B$9&amp;"'!"&amp;"D2:D100"), "")</f>
        <v/>
      </c>
      <c r="C18" s="121">
        <f t="array" ref="C18">countif(INDIRECT("'"&amp;$C$9&amp;"'!"&amp;"D2:D100"), "")</f>
        <v/>
      </c>
      <c r="D18" s="121">
        <f t="array" ref="D18">countif(INDIRECT("'"&amp;$D$9&amp;"'!"&amp;"D2:D100"), "")</f>
        <v/>
      </c>
      <c r="E18" s="121">
        <f t="array" ref="E18">countif(INDIRECT("'"&amp;$E$9&amp;"'!"&amp;"D2:D100"), "")</f>
        <v/>
      </c>
      <c r="F18" s="121">
        <f t="array" ref="F18">countif(INDIRECT("'"&amp;$F$9&amp;"'!"&amp;"D2:D100"), "")</f>
        <v/>
      </c>
    </row>
    <row r="19">
      <c r="A19" s="129" t="inlineStr">
        <is>
          <t>Total</t>
        </is>
      </c>
      <c r="B19" s="123">
        <f>sum(B14:B18)</f>
        <v/>
      </c>
      <c r="C19" s="123">
        <f>sum(C14:C18)</f>
        <v/>
      </c>
      <c r="D19" s="123">
        <f>sum(D14:D18)</f>
        <v/>
      </c>
      <c r="E19" s="123">
        <f>sum(E14:E18)</f>
        <v/>
      </c>
      <c r="F19" s="123">
        <f>sum(F14:F18)</f>
        <v/>
      </c>
    </row>
    <row r="20">
      <c r="A20" s="145" t="n"/>
      <c r="B20" s="128" t="n"/>
      <c r="C20" s="127" t="n"/>
      <c r="D20" s="127" t="n"/>
      <c r="E20" s="47" t="n"/>
      <c r="F20" s="146" t="n"/>
    </row>
    <row r="21">
      <c r="A21" s="169" t="inlineStr">
        <is>
          <t>Ticket Summaries
(if none, displays as #N/A)</t>
        </is>
      </c>
      <c r="B21" s="123">
        <f>IFERROR(__xludf.DUMMYFUNCTION("UNIQUE( FILTER( INDIRECT(""'""&amp;$B$9&amp;""'!""&amp;""E2:E100"") , NOT(ISBLANK(INDIRECT(""'""&amp;$B$9&amp;""'!""&amp;""E2:E100""))) ) )"),"#N/A")</f>
        <v/>
      </c>
      <c r="C21" s="123">
        <f>IFERROR(__xludf.DUMMYFUNCTION("UNIQUE( FILTER( INDIRECT(""'""&amp;$C$9&amp;""'!""&amp;""E2:E100"") , NOT(ISBLANK(INDIRECT(""'""&amp;$C$9&amp;""'!""&amp;""E2:E100""))) ) )"),"#N/A")</f>
        <v/>
      </c>
      <c r="D21" s="123">
        <f>IFERROR(__xludf.DUMMYFUNCTION("UNIQUE( FILTER(INDIRECT(""'""&amp;$D$9&amp;""'!""&amp;""E2:E100"") , NOT(ISBLANK(INDIRECT(""'""&amp;$D$9&amp;""'!""&amp;""E2:E100""))) ) )"),"#N/A")</f>
        <v/>
      </c>
      <c r="E21" s="123">
        <f>IFERROR(__xludf.DUMMYFUNCTION("UNIQUE( FILTER(INDIRECT(""'""&amp;$E$9&amp;""'!""&amp;""E2:E100"") , NOT(ISBLANK(INDIRECT(""'""&amp;$E$9&amp;""'!""&amp;""E2:E100""))) ) )"),"#N/A")</f>
        <v/>
      </c>
      <c r="F21" s="123">
        <f>IFERROR(__xludf.DUMMYFUNCTION("UNIQUE( FILTER(INDIRECT(""'""&amp;$E$9&amp;""'!""&amp;""E2:E100"") , NOT(ISBLANK(INDIRECT(""'""&amp;$E$9&amp;""'!""&amp;""E2:E100""))) ) )"),"#N/A")</f>
        <v/>
      </c>
    </row>
    <row r="22">
      <c r="A22" s="155" t="n"/>
      <c r="B22" s="123" t="n"/>
      <c r="C22" s="123" t="n"/>
      <c r="D22" s="123" t="n"/>
      <c r="E22" s="123" t="n"/>
      <c r="F22" s="123" t="n"/>
    </row>
    <row r="23">
      <c r="A23" s="155" t="n"/>
      <c r="B23" s="123" t="n"/>
      <c r="C23" s="123" t="n"/>
      <c r="D23" s="123" t="n"/>
      <c r="E23" s="123" t="n"/>
      <c r="F23" s="123" t="n"/>
    </row>
    <row r="24">
      <c r="A24" s="155" t="n"/>
      <c r="B24" s="123" t="n"/>
      <c r="C24" s="123" t="n"/>
      <c r="D24" s="123" t="n"/>
      <c r="E24" s="123" t="n"/>
      <c r="F24" s="123" t="n"/>
    </row>
    <row r="25">
      <c r="A25" s="155" t="n"/>
      <c r="B25" s="123" t="n"/>
      <c r="C25" s="123" t="n"/>
      <c r="D25" s="123" t="n"/>
      <c r="E25" s="123" t="n"/>
      <c r="F25" s="123" t="n"/>
    </row>
    <row r="26">
      <c r="A26" s="155" t="n"/>
      <c r="B26" s="123" t="n"/>
      <c r="C26" s="123" t="n"/>
      <c r="D26" s="123" t="n"/>
      <c r="E26" s="123" t="n"/>
      <c r="F26" s="123" t="n"/>
    </row>
    <row r="27">
      <c r="A27" s="155" t="n"/>
      <c r="B27" s="123" t="n"/>
      <c r="C27" s="123" t="n"/>
      <c r="D27" s="123" t="n"/>
      <c r="E27" s="123" t="n"/>
      <c r="F27" s="123" t="n"/>
    </row>
    <row r="28">
      <c r="A28" s="163" t="n"/>
      <c r="B28" s="123" t="n"/>
      <c r="C28" s="123" t="n"/>
      <c r="D28" s="123" t="n"/>
      <c r="E28" s="123" t="n"/>
      <c r="F28" s="123" t="n"/>
    </row>
    <row r="29">
      <c r="A29" s="147" t="n"/>
      <c r="B29" s="127" t="n"/>
      <c r="C29" s="127" t="n"/>
      <c r="D29" s="127" t="n"/>
      <c r="E29" s="127" t="n"/>
      <c r="F29" s="127" t="n"/>
    </row>
    <row r="30">
      <c r="A30" s="147" t="n"/>
      <c r="B30" s="127" t="n"/>
      <c r="C30" s="127" t="n"/>
      <c r="D30" s="127" t="n"/>
      <c r="E30" s="127" t="n"/>
      <c r="F30" s="127" t="n"/>
    </row>
    <row r="31">
      <c r="A31" s="147" t="n"/>
      <c r="B31" s="127" t="n"/>
      <c r="C31" s="127" t="n"/>
      <c r="D31" s="127" t="n"/>
      <c r="E31" s="127" t="n"/>
      <c r="F31" s="127" t="n"/>
    </row>
    <row r="32">
      <c r="A32" s="147" t="n"/>
      <c r="B32" s="127" t="n"/>
      <c r="C32" s="127" t="n"/>
      <c r="D32" s="127" t="n"/>
      <c r="E32" s="127" t="n"/>
      <c r="F32" s="127" t="n"/>
    </row>
    <row r="33">
      <c r="A33" s="147" t="n"/>
      <c r="B33" s="127" t="n"/>
      <c r="C33" s="127" t="n"/>
      <c r="D33" s="127" t="n"/>
      <c r="E33" s="127" t="n"/>
      <c r="F33" s="127" t="n"/>
    </row>
    <row r="34">
      <c r="A34" s="147" t="n"/>
      <c r="B34" s="127" t="n"/>
      <c r="C34" s="127" t="n"/>
      <c r="D34" s="127" t="n"/>
      <c r="E34" s="127" t="n"/>
      <c r="F34" s="127" t="n"/>
    </row>
    <row r="35">
      <c r="A35" s="147" t="n"/>
      <c r="B35" s="127" t="n"/>
      <c r="C35" s="127" t="n"/>
      <c r="D35" s="127" t="n"/>
      <c r="E35" s="127" t="n"/>
      <c r="F35" s="127" t="n"/>
    </row>
    <row r="36">
      <c r="A36" s="147" t="n"/>
      <c r="B36" s="127" t="n"/>
      <c r="C36" s="127" t="n"/>
      <c r="D36" s="127" t="n"/>
      <c r="E36" s="127" t="n"/>
      <c r="F36" s="127" t="n"/>
    </row>
    <row r="37">
      <c r="A37" s="147" t="n"/>
      <c r="B37" s="127" t="n"/>
      <c r="C37" s="127" t="n"/>
      <c r="D37" s="127" t="n"/>
      <c r="E37" s="127" t="n"/>
      <c r="F37" s="127" t="n"/>
    </row>
    <row r="38">
      <c r="A38" s="147" t="n"/>
      <c r="B38" s="127" t="n"/>
      <c r="C38" s="127" t="n"/>
      <c r="D38" s="127" t="n"/>
      <c r="E38" s="127" t="n"/>
      <c r="F38" s="127" t="n"/>
    </row>
    <row r="39">
      <c r="A39" s="147" t="n"/>
      <c r="B39" s="127" t="n"/>
      <c r="C39" s="127" t="n"/>
      <c r="D39" s="127" t="n"/>
      <c r="E39" s="127" t="n"/>
      <c r="F39" s="127" t="n"/>
    </row>
    <row r="40">
      <c r="A40" s="147" t="n"/>
      <c r="B40" s="127" t="n"/>
      <c r="C40" s="127" t="n"/>
      <c r="D40" s="127" t="n"/>
      <c r="E40" s="127" t="n"/>
      <c r="F40" s="127" t="n"/>
    </row>
    <row r="41">
      <c r="A41" s="147" t="n"/>
      <c r="B41" s="127" t="n"/>
      <c r="C41" s="127" t="n"/>
      <c r="D41" s="127" t="n"/>
      <c r="E41" s="127" t="n"/>
      <c r="F41" s="127" t="n"/>
    </row>
    <row r="42">
      <c r="A42" s="147" t="n"/>
      <c r="B42" s="127" t="n"/>
      <c r="C42" s="127" t="n"/>
      <c r="D42" s="127" t="n"/>
      <c r="E42" s="127" t="n"/>
      <c r="F42" s="127" t="n"/>
    </row>
    <row r="43">
      <c r="A43" s="147" t="n"/>
      <c r="B43" s="127" t="n"/>
      <c r="C43" s="127" t="n"/>
      <c r="D43" s="127" t="n"/>
      <c r="E43" s="127" t="n"/>
      <c r="F43" s="127" t="n"/>
    </row>
    <row r="44">
      <c r="A44" s="147" t="n"/>
      <c r="B44" s="127" t="n"/>
      <c r="C44" s="127" t="n"/>
      <c r="D44" s="127" t="n"/>
      <c r="E44" s="127" t="n"/>
      <c r="F44" s="127" t="n"/>
    </row>
    <row r="45">
      <c r="A45" s="147" t="n"/>
      <c r="B45" s="127" t="n"/>
      <c r="C45" s="127" t="n"/>
      <c r="D45" s="127" t="n"/>
      <c r="E45" s="127" t="n"/>
      <c r="F45" s="127" t="n"/>
    </row>
    <row r="46">
      <c r="A46" s="147" t="n"/>
      <c r="B46" s="127" t="n"/>
      <c r="C46" s="127" t="n"/>
      <c r="D46" s="127" t="n"/>
      <c r="E46" s="127" t="n"/>
      <c r="F46" s="127" t="n"/>
    </row>
    <row r="47">
      <c r="A47" s="147" t="n"/>
      <c r="B47" s="127" t="n"/>
      <c r="C47" s="127" t="n"/>
      <c r="D47" s="127" t="n"/>
      <c r="E47" s="127" t="n"/>
      <c r="F47" s="127" t="n"/>
    </row>
    <row r="48">
      <c r="A48" s="147" t="n"/>
      <c r="B48" s="127" t="n"/>
      <c r="C48" s="127" t="n"/>
      <c r="D48" s="127" t="n"/>
      <c r="E48" s="127" t="n"/>
      <c r="F48" s="127" t="n"/>
    </row>
    <row r="49">
      <c r="A49" s="147" t="n"/>
      <c r="B49" s="127" t="n"/>
      <c r="C49" s="127" t="n"/>
      <c r="D49" s="127" t="n"/>
      <c r="E49" s="127" t="n"/>
      <c r="F49" s="127" t="n"/>
    </row>
    <row r="50">
      <c r="A50" s="147" t="n"/>
      <c r="B50" s="127" t="n"/>
      <c r="C50" s="127" t="n"/>
      <c r="D50" s="127" t="n"/>
      <c r="E50" s="127" t="n"/>
      <c r="F50" s="127" t="n"/>
    </row>
    <row r="51">
      <c r="A51" s="147" t="n"/>
      <c r="B51" s="127" t="n"/>
      <c r="C51" s="127" t="n"/>
      <c r="D51" s="127" t="n"/>
      <c r="E51" s="127" t="n"/>
      <c r="F51" s="127" t="n"/>
    </row>
    <row r="52">
      <c r="A52" s="147" t="n"/>
      <c r="B52" s="127" t="n"/>
      <c r="C52" s="127" t="n"/>
      <c r="D52" s="127" t="n"/>
      <c r="E52" s="127" t="n"/>
      <c r="F52" s="127" t="n"/>
    </row>
    <row r="53">
      <c r="A53" s="147" t="n"/>
      <c r="B53" s="127" t="n"/>
      <c r="C53" s="127" t="n"/>
      <c r="D53" s="127" t="n"/>
      <c r="E53" s="127" t="n"/>
      <c r="F53" s="127" t="n"/>
    </row>
    <row r="54">
      <c r="A54" s="147" t="n"/>
      <c r="B54" s="127" t="n"/>
      <c r="C54" s="127" t="n"/>
      <c r="D54" s="127" t="n"/>
      <c r="E54" s="127" t="n"/>
      <c r="F54" s="127" t="n"/>
    </row>
    <row r="55">
      <c r="A55" s="147" t="n"/>
      <c r="B55" s="127" t="n"/>
      <c r="C55" s="127" t="n"/>
      <c r="D55" s="127" t="n"/>
      <c r="E55" s="127" t="n"/>
      <c r="F55" s="127" t="n"/>
    </row>
    <row r="56">
      <c r="A56" s="147" t="n"/>
      <c r="B56" s="127" t="n"/>
      <c r="C56" s="127" t="n"/>
      <c r="D56" s="127" t="n"/>
      <c r="E56" s="127" t="n"/>
      <c r="F56" s="127" t="n"/>
    </row>
    <row r="57">
      <c r="A57" s="147" t="n"/>
      <c r="B57" s="127" t="n"/>
      <c r="C57" s="127" t="n"/>
      <c r="D57" s="127" t="n"/>
      <c r="E57" s="127" t="n"/>
      <c r="F57" s="127" t="n"/>
    </row>
    <row r="58">
      <c r="A58" s="147" t="n"/>
      <c r="B58" s="127" t="n"/>
      <c r="C58" s="127" t="n"/>
      <c r="D58" s="127" t="n"/>
      <c r="E58" s="127" t="n"/>
      <c r="F58" s="127" t="n"/>
    </row>
    <row r="59">
      <c r="A59" s="147" t="n"/>
      <c r="B59" s="127" t="n"/>
      <c r="C59" s="127" t="n"/>
      <c r="D59" s="127" t="n"/>
      <c r="E59" s="127" t="n"/>
      <c r="F59" s="127" t="n"/>
    </row>
    <row r="60">
      <c r="A60" s="147" t="n"/>
      <c r="B60" s="127" t="n"/>
      <c r="C60" s="127" t="n"/>
      <c r="D60" s="127" t="n"/>
      <c r="E60" s="127" t="n"/>
      <c r="F60" s="127" t="n"/>
    </row>
    <row r="61">
      <c r="A61" s="147" t="n"/>
      <c r="B61" s="127" t="n"/>
      <c r="C61" s="127" t="n"/>
      <c r="D61" s="127" t="n"/>
      <c r="E61" s="127" t="n"/>
      <c r="F61" s="127" t="n"/>
    </row>
    <row r="62">
      <c r="A62" s="147" t="n"/>
      <c r="B62" s="127" t="n"/>
      <c r="C62" s="127" t="n"/>
      <c r="D62" s="127" t="n"/>
      <c r="E62" s="127" t="n"/>
      <c r="F62" s="127" t="n"/>
    </row>
    <row r="63">
      <c r="A63" s="147" t="n"/>
      <c r="B63" s="127" t="n"/>
      <c r="C63" s="127" t="n"/>
      <c r="D63" s="127" t="n"/>
      <c r="E63" s="127" t="n"/>
      <c r="F63" s="127" t="n"/>
    </row>
    <row r="64">
      <c r="A64" s="147" t="n"/>
      <c r="B64" s="127" t="n"/>
      <c r="C64" s="127" t="n"/>
      <c r="D64" s="127" t="n"/>
      <c r="E64" s="127" t="n"/>
      <c r="F64" s="127" t="n"/>
    </row>
    <row r="65">
      <c r="A65" s="147" t="n"/>
      <c r="B65" s="127" t="n"/>
      <c r="C65" s="127" t="n"/>
      <c r="D65" s="127" t="n"/>
      <c r="E65" s="127" t="n"/>
      <c r="F65" s="127" t="n"/>
    </row>
    <row r="66">
      <c r="A66" s="147" t="n"/>
      <c r="B66" s="127" t="n"/>
      <c r="C66" s="127" t="n"/>
      <c r="D66" s="127" t="n"/>
      <c r="E66" s="127" t="n"/>
      <c r="F66" s="127" t="n"/>
    </row>
    <row r="67">
      <c r="A67" s="147" t="n"/>
      <c r="B67" s="127" t="n"/>
      <c r="C67" s="127" t="n"/>
      <c r="D67" s="127" t="n"/>
      <c r="E67" s="127" t="n"/>
      <c r="F67" s="127" t="n"/>
    </row>
    <row r="68">
      <c r="A68" s="147" t="n"/>
      <c r="B68" s="127" t="n"/>
      <c r="C68" s="127" t="n"/>
      <c r="D68" s="127" t="n"/>
      <c r="E68" s="127" t="n"/>
      <c r="F68" s="127" t="n"/>
    </row>
    <row r="69">
      <c r="A69" s="147" t="n"/>
      <c r="B69" s="127" t="n"/>
      <c r="C69" s="127" t="n"/>
      <c r="D69" s="127" t="n"/>
      <c r="E69" s="127" t="n"/>
      <c r="F69" s="127" t="n"/>
    </row>
    <row r="70">
      <c r="A70" s="147" t="n"/>
      <c r="B70" s="127" t="n"/>
      <c r="C70" s="127" t="n"/>
      <c r="D70" s="127" t="n"/>
      <c r="E70" s="127" t="n"/>
      <c r="F70" s="127" t="n"/>
    </row>
    <row r="71">
      <c r="A71" s="147" t="n"/>
      <c r="B71" s="127" t="n"/>
      <c r="C71" s="127" t="n"/>
      <c r="D71" s="127" t="n"/>
      <c r="E71" s="127" t="n"/>
      <c r="F71" s="127" t="n"/>
    </row>
    <row r="72">
      <c r="A72" s="147" t="n"/>
      <c r="B72" s="127" t="n"/>
      <c r="C72" s="127" t="n"/>
      <c r="D72" s="127" t="n"/>
      <c r="E72" s="127" t="n"/>
      <c r="F72" s="127" t="n"/>
    </row>
    <row r="73">
      <c r="A73" s="147" t="n"/>
      <c r="B73" s="127" t="n"/>
      <c r="C73" s="127" t="n"/>
      <c r="D73" s="127" t="n"/>
      <c r="E73" s="127" t="n"/>
      <c r="F73" s="127" t="n"/>
    </row>
    <row r="74">
      <c r="A74" s="147" t="n"/>
      <c r="B74" s="127" t="n"/>
      <c r="C74" s="127" t="n"/>
      <c r="D74" s="127" t="n"/>
      <c r="E74" s="127" t="n"/>
      <c r="F74" s="127" t="n"/>
    </row>
    <row r="75">
      <c r="A75" s="147" t="n"/>
      <c r="B75" s="127" t="n"/>
      <c r="C75" s="127" t="n"/>
      <c r="D75" s="127" t="n"/>
      <c r="E75" s="127" t="n"/>
      <c r="F75" s="127" t="n"/>
    </row>
    <row r="76">
      <c r="A76" s="147" t="n"/>
      <c r="B76" s="127" t="n"/>
      <c r="C76" s="127" t="n"/>
      <c r="D76" s="127" t="n"/>
      <c r="E76" s="127" t="n"/>
      <c r="F76" s="127" t="n"/>
    </row>
    <row r="77">
      <c r="A77" s="147" t="n"/>
      <c r="B77" s="127" t="n"/>
      <c r="C77" s="127" t="n"/>
      <c r="D77" s="127" t="n"/>
      <c r="E77" s="127" t="n"/>
      <c r="F77" s="127" t="n"/>
    </row>
    <row r="78">
      <c r="A78" s="147" t="n"/>
      <c r="B78" s="127" t="n"/>
      <c r="C78" s="127" t="n"/>
      <c r="D78" s="127" t="n"/>
      <c r="E78" s="127" t="n"/>
      <c r="F78" s="127" t="n"/>
    </row>
    <row r="79">
      <c r="A79" s="147" t="n"/>
      <c r="B79" s="127" t="n"/>
      <c r="C79" s="127" t="n"/>
      <c r="D79" s="127" t="n"/>
      <c r="E79" s="127" t="n"/>
      <c r="F79" s="127" t="n"/>
    </row>
    <row r="80">
      <c r="A80" s="147" t="n"/>
      <c r="B80" s="127" t="n"/>
      <c r="C80" s="127" t="n"/>
      <c r="D80" s="127" t="n"/>
      <c r="E80" s="127" t="n"/>
      <c r="F80" s="127" t="n"/>
    </row>
    <row r="81">
      <c r="A81" s="147" t="n"/>
      <c r="B81" s="127" t="n"/>
      <c r="C81" s="127" t="n"/>
      <c r="D81" s="127" t="n"/>
      <c r="E81" s="127" t="n"/>
      <c r="F81" s="127" t="n"/>
    </row>
    <row r="82">
      <c r="A82" s="147" t="n"/>
      <c r="B82" s="127" t="n"/>
      <c r="C82" s="127" t="n"/>
      <c r="D82" s="127" t="n"/>
      <c r="E82" s="127" t="n"/>
      <c r="F82" s="127" t="n"/>
    </row>
    <row r="83">
      <c r="A83" s="147" t="n"/>
      <c r="B83" s="127" t="n"/>
      <c r="C83" s="127" t="n"/>
      <c r="D83" s="127" t="n"/>
      <c r="E83" s="127" t="n"/>
      <c r="F83" s="127" t="n"/>
    </row>
    <row r="84">
      <c r="A84" s="147" t="n"/>
      <c r="B84" s="127" t="n"/>
      <c r="C84" s="127" t="n"/>
      <c r="D84" s="127" t="n"/>
      <c r="E84" s="127" t="n"/>
      <c r="F84" s="127" t="n"/>
    </row>
    <row r="85">
      <c r="A85" s="147" t="n"/>
      <c r="B85" s="127" t="n"/>
      <c r="C85" s="127" t="n"/>
      <c r="D85" s="127" t="n"/>
      <c r="E85" s="127" t="n"/>
      <c r="F85" s="127" t="n"/>
    </row>
    <row r="86">
      <c r="A86" s="147" t="n"/>
      <c r="B86" s="127" t="n"/>
      <c r="C86" s="127" t="n"/>
      <c r="D86" s="127" t="n"/>
      <c r="E86" s="127" t="n"/>
      <c r="F86" s="127" t="n"/>
    </row>
    <row r="87">
      <c r="A87" s="147" t="n"/>
      <c r="B87" s="127" t="n"/>
      <c r="C87" s="127" t="n"/>
      <c r="D87" s="127" t="n"/>
      <c r="E87" s="127" t="n"/>
      <c r="F87" s="127" t="n"/>
    </row>
    <row r="88">
      <c r="A88" s="147" t="n"/>
      <c r="B88" s="127" t="n"/>
      <c r="C88" s="127" t="n"/>
      <c r="D88" s="127" t="n"/>
      <c r="E88" s="127" t="n"/>
      <c r="F88" s="127" t="n"/>
    </row>
    <row r="89">
      <c r="A89" s="147" t="n"/>
      <c r="B89" s="127" t="n"/>
      <c r="C89" s="127" t="n"/>
      <c r="D89" s="127" t="n"/>
      <c r="E89" s="127" t="n"/>
      <c r="F89" s="127" t="n"/>
    </row>
    <row r="90">
      <c r="A90" s="147" t="n"/>
      <c r="B90" s="127" t="n"/>
      <c r="C90" s="127" t="n"/>
      <c r="D90" s="127" t="n"/>
      <c r="E90" s="127" t="n"/>
      <c r="F90" s="127" t="n"/>
    </row>
    <row r="91">
      <c r="A91" s="147" t="n"/>
      <c r="B91" s="127" t="n"/>
      <c r="C91" s="127" t="n"/>
      <c r="D91" s="127" t="n"/>
      <c r="E91" s="127" t="n"/>
      <c r="F91" s="127" t="n"/>
    </row>
    <row r="92">
      <c r="A92" s="147" t="n"/>
      <c r="B92" s="127" t="n"/>
      <c r="C92" s="127" t="n"/>
      <c r="D92" s="127" t="n"/>
      <c r="E92" s="127" t="n"/>
      <c r="F92" s="127" t="n"/>
    </row>
    <row r="93">
      <c r="A93" s="147" t="n"/>
      <c r="B93" s="127" t="n"/>
      <c r="C93" s="127" t="n"/>
      <c r="D93" s="127" t="n"/>
      <c r="E93" s="127" t="n"/>
      <c r="F93" s="127" t="n"/>
    </row>
    <row r="94">
      <c r="A94" s="147" t="n"/>
      <c r="B94" s="127" t="n"/>
      <c r="C94" s="127" t="n"/>
      <c r="D94" s="127" t="n"/>
      <c r="E94" s="127" t="n"/>
      <c r="F94" s="127" t="n"/>
    </row>
    <row r="95">
      <c r="A95" s="147" t="n"/>
      <c r="B95" s="127" t="n"/>
      <c r="C95" s="127" t="n"/>
      <c r="D95" s="127" t="n"/>
      <c r="E95" s="127" t="n"/>
      <c r="F95" s="127" t="n"/>
    </row>
    <row r="96">
      <c r="A96" s="147" t="n"/>
      <c r="B96" s="127" t="n"/>
      <c r="C96" s="127" t="n"/>
      <c r="D96" s="127" t="n"/>
      <c r="E96" s="127" t="n"/>
      <c r="F96" s="127" t="n"/>
    </row>
    <row r="97">
      <c r="A97" s="147" t="n"/>
      <c r="B97" s="127" t="n"/>
      <c r="C97" s="127" t="n"/>
      <c r="D97" s="127" t="n"/>
      <c r="E97" s="127" t="n"/>
      <c r="F97" s="127" t="n"/>
    </row>
    <row r="98">
      <c r="A98" s="147" t="n"/>
      <c r="B98" s="127" t="n"/>
      <c r="C98" s="127" t="n"/>
      <c r="D98" s="127" t="n"/>
      <c r="E98" s="127" t="n"/>
      <c r="F98" s="127" t="n"/>
    </row>
    <row r="99">
      <c r="A99" s="147" t="n"/>
      <c r="B99" s="127" t="n"/>
      <c r="C99" s="127" t="n"/>
      <c r="D99" s="127" t="n"/>
      <c r="E99" s="127" t="n"/>
      <c r="F99" s="127" t="n"/>
    </row>
    <row r="100">
      <c r="A100" s="147" t="n"/>
      <c r="B100" s="127" t="n"/>
      <c r="C100" s="127" t="n"/>
      <c r="D100" s="127" t="n"/>
      <c r="E100" s="127" t="n"/>
      <c r="F100" s="127" t="n"/>
    </row>
    <row r="101">
      <c r="A101" s="147" t="n"/>
      <c r="B101" s="127" t="n"/>
      <c r="C101" s="127" t="n"/>
      <c r="D101" s="127" t="n"/>
      <c r="E101" s="127" t="n"/>
      <c r="F101" s="127" t="n"/>
    </row>
    <row r="102">
      <c r="A102" s="147" t="n"/>
      <c r="B102" s="127" t="n"/>
      <c r="C102" s="127" t="n"/>
      <c r="D102" s="127" t="n"/>
      <c r="E102" s="127" t="n"/>
      <c r="F102" s="127" t="n"/>
    </row>
    <row r="103">
      <c r="A103" s="147" t="n"/>
      <c r="B103" s="127" t="n"/>
      <c r="C103" s="127" t="n"/>
      <c r="D103" s="127" t="n"/>
      <c r="E103" s="127" t="n"/>
      <c r="F103" s="127" t="n"/>
    </row>
    <row r="104">
      <c r="A104" s="147" t="n"/>
      <c r="B104" s="127" t="n"/>
      <c r="C104" s="127" t="n"/>
      <c r="D104" s="127" t="n"/>
      <c r="E104" s="127" t="n"/>
      <c r="F104" s="127" t="n"/>
    </row>
    <row r="105">
      <c r="A105" s="147" t="n"/>
      <c r="B105" s="127" t="n"/>
      <c r="C105" s="127" t="n"/>
      <c r="D105" s="127" t="n"/>
      <c r="E105" s="127" t="n"/>
      <c r="F105" s="127" t="n"/>
    </row>
    <row r="106">
      <c r="A106" s="147" t="n"/>
      <c r="B106" s="127" t="n"/>
      <c r="C106" s="127" t="n"/>
      <c r="D106" s="127" t="n"/>
      <c r="E106" s="127" t="n"/>
      <c r="F106" s="127" t="n"/>
    </row>
    <row r="107">
      <c r="A107" s="147" t="n"/>
      <c r="B107" s="127" t="n"/>
      <c r="C107" s="127" t="n"/>
      <c r="D107" s="127" t="n"/>
      <c r="E107" s="127" t="n"/>
      <c r="F107" s="127" t="n"/>
    </row>
    <row r="108">
      <c r="A108" s="147" t="n"/>
      <c r="B108" s="127" t="n"/>
      <c r="C108" s="127" t="n"/>
      <c r="D108" s="127" t="n"/>
      <c r="E108" s="127" t="n"/>
      <c r="F108" s="127" t="n"/>
    </row>
    <row r="109">
      <c r="A109" s="147" t="n"/>
      <c r="B109" s="127" t="n"/>
      <c r="C109" s="127" t="n"/>
      <c r="D109" s="127" t="n"/>
      <c r="E109" s="127" t="n"/>
      <c r="F109" s="127" t="n"/>
    </row>
    <row r="110">
      <c r="A110" s="147" t="n"/>
      <c r="B110" s="127" t="n"/>
      <c r="C110" s="127" t="n"/>
      <c r="D110" s="127" t="n"/>
      <c r="E110" s="127" t="n"/>
      <c r="F110" s="127" t="n"/>
    </row>
    <row r="111">
      <c r="A111" s="147" t="n"/>
      <c r="B111" s="127" t="n"/>
      <c r="C111" s="127" t="n"/>
      <c r="D111" s="127" t="n"/>
      <c r="E111" s="127" t="n"/>
      <c r="F111" s="127" t="n"/>
    </row>
    <row r="112">
      <c r="A112" s="147" t="n"/>
      <c r="B112" s="127" t="n"/>
      <c r="C112" s="127" t="n"/>
      <c r="D112" s="127" t="n"/>
      <c r="E112" s="127" t="n"/>
      <c r="F112" s="127" t="n"/>
    </row>
    <row r="113">
      <c r="A113" s="147" t="n"/>
      <c r="B113" s="127" t="n"/>
      <c r="C113" s="127" t="n"/>
      <c r="D113" s="127" t="n"/>
      <c r="E113" s="127" t="n"/>
      <c r="F113" s="127" t="n"/>
    </row>
    <row r="114">
      <c r="A114" s="147" t="n"/>
      <c r="B114" s="127" t="n"/>
      <c r="C114" s="127" t="n"/>
      <c r="D114" s="127" t="n"/>
      <c r="E114" s="127" t="n"/>
      <c r="F114" s="127" t="n"/>
    </row>
    <row r="115">
      <c r="A115" s="147" t="n"/>
      <c r="B115" s="127" t="n"/>
      <c r="C115" s="127" t="n"/>
      <c r="D115" s="127" t="n"/>
      <c r="E115" s="127" t="n"/>
      <c r="F115" s="127" t="n"/>
    </row>
    <row r="116">
      <c r="A116" s="147" t="n"/>
      <c r="B116" s="127" t="n"/>
      <c r="C116" s="127" t="n"/>
      <c r="D116" s="127" t="n"/>
      <c r="E116" s="127" t="n"/>
      <c r="F116" s="127" t="n"/>
    </row>
    <row r="117">
      <c r="A117" s="147" t="n"/>
      <c r="B117" s="127" t="n"/>
      <c r="C117" s="127" t="n"/>
      <c r="D117" s="127" t="n"/>
      <c r="E117" s="127" t="n"/>
      <c r="F117" s="127" t="n"/>
    </row>
    <row r="118">
      <c r="A118" s="147" t="n"/>
      <c r="B118" s="127" t="n"/>
      <c r="C118" s="127" t="n"/>
      <c r="D118" s="127" t="n"/>
      <c r="E118" s="127" t="n"/>
      <c r="F118" s="127" t="n"/>
    </row>
    <row r="119">
      <c r="A119" s="147" t="n"/>
      <c r="B119" s="127" t="n"/>
      <c r="C119" s="127" t="n"/>
      <c r="D119" s="127" t="n"/>
      <c r="E119" s="127" t="n"/>
      <c r="F119" s="127" t="n"/>
    </row>
    <row r="120">
      <c r="A120" s="147" t="n"/>
      <c r="B120" s="127" t="n"/>
      <c r="C120" s="127" t="n"/>
      <c r="D120" s="127" t="n"/>
      <c r="E120" s="127" t="n"/>
      <c r="F120" s="127" t="n"/>
    </row>
    <row r="121">
      <c r="A121" s="147" t="n"/>
      <c r="B121" s="127" t="n"/>
      <c r="C121" s="127" t="n"/>
      <c r="D121" s="127" t="n"/>
      <c r="E121" s="127" t="n"/>
      <c r="F121" s="127" t="n"/>
    </row>
    <row r="122">
      <c r="A122" s="147" t="n"/>
      <c r="B122" s="127" t="n"/>
      <c r="C122" s="127" t="n"/>
      <c r="D122" s="127" t="n"/>
      <c r="E122" s="127" t="n"/>
      <c r="F122" s="127" t="n"/>
    </row>
    <row r="123">
      <c r="A123" s="147" t="n"/>
      <c r="B123" s="127" t="n"/>
      <c r="C123" s="127" t="n"/>
      <c r="D123" s="127" t="n"/>
      <c r="E123" s="127" t="n"/>
      <c r="F123" s="127" t="n"/>
    </row>
    <row r="124">
      <c r="A124" s="147" t="n"/>
      <c r="B124" s="127" t="n"/>
      <c r="C124" s="127" t="n"/>
      <c r="D124" s="127" t="n"/>
      <c r="E124" s="127" t="n"/>
      <c r="F124" s="127" t="n"/>
    </row>
    <row r="125">
      <c r="A125" s="147" t="n"/>
      <c r="B125" s="127" t="n"/>
      <c r="C125" s="127" t="n"/>
      <c r="D125" s="127" t="n"/>
      <c r="E125" s="127" t="n"/>
      <c r="F125" s="127" t="n"/>
    </row>
    <row r="126">
      <c r="A126" s="147" t="n"/>
      <c r="B126" s="127" t="n"/>
      <c r="C126" s="127" t="n"/>
      <c r="D126" s="127" t="n"/>
      <c r="E126" s="127" t="n"/>
      <c r="F126" s="127" t="n"/>
    </row>
    <row r="127">
      <c r="A127" s="147" t="n"/>
      <c r="B127" s="127" t="n"/>
      <c r="C127" s="127" t="n"/>
      <c r="D127" s="127" t="n"/>
      <c r="E127" s="127" t="n"/>
      <c r="F127" s="127" t="n"/>
    </row>
    <row r="128">
      <c r="A128" s="147" t="n"/>
      <c r="B128" s="127" t="n"/>
      <c r="C128" s="127" t="n"/>
      <c r="D128" s="127" t="n"/>
      <c r="E128" s="127" t="n"/>
      <c r="F128" s="127" t="n"/>
    </row>
    <row r="129">
      <c r="A129" s="147" t="n"/>
      <c r="B129" s="127" t="n"/>
      <c r="C129" s="127" t="n"/>
      <c r="D129" s="127" t="n"/>
      <c r="E129" s="127" t="n"/>
      <c r="F129" s="127" t="n"/>
    </row>
    <row r="130">
      <c r="A130" s="147" t="n"/>
      <c r="B130" s="127" t="n"/>
      <c r="C130" s="127" t="n"/>
      <c r="D130" s="127" t="n"/>
      <c r="E130" s="127" t="n"/>
      <c r="F130" s="127" t="n"/>
    </row>
    <row r="131">
      <c r="A131" s="147" t="n"/>
      <c r="B131" s="127" t="n"/>
      <c r="C131" s="127" t="n"/>
      <c r="D131" s="127" t="n"/>
      <c r="E131" s="127" t="n"/>
      <c r="F131" s="127" t="n"/>
    </row>
    <row r="132">
      <c r="A132" s="147" t="n"/>
      <c r="B132" s="127" t="n"/>
      <c r="C132" s="127" t="n"/>
      <c r="D132" s="127" t="n"/>
      <c r="E132" s="127" t="n"/>
      <c r="F132" s="127" t="n"/>
    </row>
    <row r="133">
      <c r="A133" s="147" t="n"/>
      <c r="B133" s="127" t="n"/>
      <c r="C133" s="127" t="n"/>
      <c r="D133" s="127" t="n"/>
      <c r="E133" s="127" t="n"/>
      <c r="F133" s="127" t="n"/>
    </row>
    <row r="134">
      <c r="A134" s="147" t="n"/>
      <c r="B134" s="127" t="n"/>
      <c r="C134" s="127" t="n"/>
      <c r="D134" s="127" t="n"/>
      <c r="E134" s="127" t="n"/>
      <c r="F134" s="127" t="n"/>
    </row>
    <row r="135">
      <c r="A135" s="147" t="n"/>
      <c r="B135" s="127" t="n"/>
      <c r="C135" s="127" t="n"/>
      <c r="D135" s="127" t="n"/>
      <c r="E135" s="127" t="n"/>
      <c r="F135" s="127" t="n"/>
    </row>
    <row r="136">
      <c r="A136" s="147" t="n"/>
      <c r="B136" s="127" t="n"/>
      <c r="C136" s="127" t="n"/>
      <c r="D136" s="127" t="n"/>
      <c r="E136" s="127" t="n"/>
      <c r="F136" s="127" t="n"/>
    </row>
    <row r="137">
      <c r="A137" s="147" t="n"/>
      <c r="B137" s="127" t="n"/>
      <c r="C137" s="127" t="n"/>
      <c r="D137" s="127" t="n"/>
      <c r="E137" s="127" t="n"/>
      <c r="F137" s="127" t="n"/>
    </row>
    <row r="138">
      <c r="A138" s="147" t="n"/>
      <c r="B138" s="127" t="n"/>
      <c r="C138" s="127" t="n"/>
      <c r="D138" s="127" t="n"/>
      <c r="E138" s="127" t="n"/>
      <c r="F138" s="127" t="n"/>
    </row>
    <row r="139">
      <c r="A139" s="147" t="n"/>
      <c r="B139" s="127" t="n"/>
      <c r="C139" s="127" t="n"/>
      <c r="D139" s="127" t="n"/>
      <c r="E139" s="127" t="n"/>
      <c r="F139" s="127" t="n"/>
    </row>
    <row r="140">
      <c r="A140" s="147" t="n"/>
      <c r="B140" s="127" t="n"/>
      <c r="C140" s="127" t="n"/>
      <c r="D140" s="127" t="n"/>
      <c r="E140" s="127" t="n"/>
      <c r="F140" s="127" t="n"/>
    </row>
    <row r="141">
      <c r="A141" s="147" t="n"/>
      <c r="B141" s="127" t="n"/>
      <c r="C141" s="127" t="n"/>
      <c r="D141" s="127" t="n"/>
      <c r="E141" s="127" t="n"/>
      <c r="F141" s="127" t="n"/>
    </row>
    <row r="142">
      <c r="A142" s="147" t="n"/>
      <c r="B142" s="127" t="n"/>
      <c r="C142" s="127" t="n"/>
      <c r="D142" s="127" t="n"/>
      <c r="E142" s="127" t="n"/>
      <c r="F142" s="127" t="n"/>
    </row>
    <row r="143">
      <c r="A143" s="147" t="n"/>
      <c r="B143" s="127" t="n"/>
      <c r="C143" s="127" t="n"/>
      <c r="D143" s="127" t="n"/>
      <c r="E143" s="127" t="n"/>
      <c r="F143" s="127" t="n"/>
    </row>
    <row r="144">
      <c r="A144" s="147" t="n"/>
      <c r="B144" s="127" t="n"/>
      <c r="C144" s="127" t="n"/>
      <c r="D144" s="127" t="n"/>
      <c r="E144" s="127" t="n"/>
      <c r="F144" s="127" t="n"/>
    </row>
    <row r="145">
      <c r="A145" s="147" t="n"/>
      <c r="B145" s="127" t="n"/>
      <c r="C145" s="127" t="n"/>
      <c r="D145" s="127" t="n"/>
      <c r="E145" s="127" t="n"/>
      <c r="F145" s="127" t="n"/>
    </row>
    <row r="146">
      <c r="A146" s="147" t="n"/>
      <c r="B146" s="127" t="n"/>
      <c r="C146" s="127" t="n"/>
      <c r="D146" s="127" t="n"/>
      <c r="E146" s="127" t="n"/>
      <c r="F146" s="127" t="n"/>
    </row>
    <row r="147">
      <c r="A147" s="147" t="n"/>
      <c r="B147" s="127" t="n"/>
      <c r="C147" s="127" t="n"/>
      <c r="D147" s="127" t="n"/>
      <c r="E147" s="127" t="n"/>
      <c r="F147" s="127" t="n"/>
    </row>
    <row r="148">
      <c r="A148" s="147" t="n"/>
      <c r="B148" s="127" t="n"/>
      <c r="C148" s="127" t="n"/>
      <c r="D148" s="127" t="n"/>
      <c r="E148" s="127" t="n"/>
      <c r="F148" s="127" t="n"/>
    </row>
    <row r="149">
      <c r="A149" s="147" t="n"/>
      <c r="B149" s="127" t="n"/>
      <c r="C149" s="127" t="n"/>
      <c r="D149" s="127" t="n"/>
      <c r="E149" s="127" t="n"/>
      <c r="F149" s="127" t="n"/>
    </row>
    <row r="150">
      <c r="A150" s="147" t="n"/>
      <c r="B150" s="127" t="n"/>
      <c r="C150" s="127" t="n"/>
      <c r="D150" s="127" t="n"/>
      <c r="E150" s="127" t="n"/>
      <c r="F150" s="127" t="n"/>
    </row>
    <row r="151">
      <c r="A151" s="147" t="n"/>
      <c r="B151" s="127" t="n"/>
      <c r="C151" s="127" t="n"/>
      <c r="D151" s="127" t="n"/>
      <c r="E151" s="127" t="n"/>
      <c r="F151" s="127" t="n"/>
    </row>
    <row r="152">
      <c r="A152" s="147" t="n"/>
      <c r="B152" s="127" t="n"/>
      <c r="C152" s="127" t="n"/>
      <c r="D152" s="127" t="n"/>
      <c r="E152" s="127" t="n"/>
      <c r="F152" s="127" t="n"/>
    </row>
    <row r="153">
      <c r="A153" s="147" t="n"/>
      <c r="B153" s="127" t="n"/>
      <c r="C153" s="127" t="n"/>
      <c r="D153" s="127" t="n"/>
      <c r="E153" s="127" t="n"/>
      <c r="F153" s="127" t="n"/>
    </row>
    <row r="154">
      <c r="A154" s="147" t="n"/>
      <c r="B154" s="127" t="n"/>
      <c r="C154" s="127" t="n"/>
      <c r="D154" s="127" t="n"/>
      <c r="E154" s="127" t="n"/>
      <c r="F154" s="127" t="n"/>
    </row>
    <row r="155">
      <c r="A155" s="147" t="n"/>
      <c r="B155" s="127" t="n"/>
      <c r="C155" s="127" t="n"/>
      <c r="D155" s="127" t="n"/>
      <c r="E155" s="127" t="n"/>
      <c r="F155" s="127" t="n"/>
    </row>
    <row r="156">
      <c r="A156" s="147" t="n"/>
      <c r="B156" s="127" t="n"/>
      <c r="C156" s="127" t="n"/>
      <c r="D156" s="127" t="n"/>
      <c r="E156" s="127" t="n"/>
      <c r="F156" s="127" t="n"/>
    </row>
    <row r="157">
      <c r="A157" s="147" t="n"/>
      <c r="B157" s="127" t="n"/>
      <c r="C157" s="127" t="n"/>
      <c r="D157" s="127" t="n"/>
      <c r="E157" s="127" t="n"/>
      <c r="F157" s="127" t="n"/>
    </row>
    <row r="158">
      <c r="A158" s="147" t="n"/>
      <c r="B158" s="127" t="n"/>
      <c r="C158" s="127" t="n"/>
      <c r="D158" s="127" t="n"/>
      <c r="E158" s="127" t="n"/>
      <c r="F158" s="127" t="n"/>
    </row>
    <row r="159">
      <c r="A159" s="147" t="n"/>
      <c r="B159" s="127" t="n"/>
      <c r="C159" s="127" t="n"/>
      <c r="D159" s="127" t="n"/>
      <c r="E159" s="127" t="n"/>
      <c r="F159" s="127" t="n"/>
    </row>
    <row r="160">
      <c r="A160" s="147" t="n"/>
      <c r="B160" s="127" t="n"/>
      <c r="C160" s="127" t="n"/>
      <c r="D160" s="127" t="n"/>
      <c r="E160" s="127" t="n"/>
      <c r="F160" s="127" t="n"/>
    </row>
    <row r="161">
      <c r="A161" s="147" t="n"/>
      <c r="B161" s="127" t="n"/>
      <c r="C161" s="127" t="n"/>
      <c r="D161" s="127" t="n"/>
      <c r="E161" s="127" t="n"/>
      <c r="F161" s="127" t="n"/>
    </row>
    <row r="162">
      <c r="A162" s="147" t="n"/>
      <c r="B162" s="127" t="n"/>
      <c r="C162" s="127" t="n"/>
      <c r="D162" s="127" t="n"/>
      <c r="E162" s="127" t="n"/>
      <c r="F162" s="127" t="n"/>
    </row>
    <row r="163">
      <c r="A163" s="147" t="n"/>
      <c r="B163" s="127" t="n"/>
      <c r="C163" s="127" t="n"/>
      <c r="D163" s="127" t="n"/>
      <c r="E163" s="127" t="n"/>
      <c r="F163" s="127" t="n"/>
    </row>
    <row r="164">
      <c r="A164" s="147" t="n"/>
      <c r="B164" s="127" t="n"/>
      <c r="C164" s="127" t="n"/>
      <c r="D164" s="127" t="n"/>
      <c r="E164" s="127" t="n"/>
      <c r="F164" s="127" t="n"/>
    </row>
    <row r="165">
      <c r="A165" s="147" t="n"/>
      <c r="B165" s="127" t="n"/>
      <c r="C165" s="127" t="n"/>
      <c r="D165" s="127" t="n"/>
      <c r="E165" s="127" t="n"/>
      <c r="F165" s="127" t="n"/>
    </row>
    <row r="166">
      <c r="A166" s="147" t="n"/>
      <c r="B166" s="127" t="n"/>
      <c r="C166" s="127" t="n"/>
      <c r="D166" s="127" t="n"/>
      <c r="E166" s="127" t="n"/>
      <c r="F166" s="127" t="n"/>
    </row>
    <row r="167">
      <c r="A167" s="147" t="n"/>
      <c r="B167" s="127" t="n"/>
      <c r="C167" s="127" t="n"/>
      <c r="D167" s="127" t="n"/>
      <c r="E167" s="127" t="n"/>
      <c r="F167" s="127" t="n"/>
    </row>
    <row r="168">
      <c r="A168" s="147" t="n"/>
      <c r="B168" s="127" t="n"/>
      <c r="C168" s="127" t="n"/>
      <c r="D168" s="127" t="n"/>
      <c r="E168" s="127" t="n"/>
      <c r="F168" s="127" t="n"/>
    </row>
    <row r="169">
      <c r="A169" s="147" t="n"/>
      <c r="B169" s="127" t="n"/>
      <c r="C169" s="127" t="n"/>
      <c r="D169" s="127" t="n"/>
      <c r="E169" s="127" t="n"/>
      <c r="F169" s="127" t="n"/>
    </row>
    <row r="170">
      <c r="A170" s="147" t="n"/>
      <c r="B170" s="127" t="n"/>
      <c r="C170" s="127" t="n"/>
      <c r="D170" s="127" t="n"/>
      <c r="E170" s="127" t="n"/>
      <c r="F170" s="127" t="n"/>
    </row>
    <row r="171">
      <c r="A171" s="147" t="n"/>
      <c r="B171" s="127" t="n"/>
      <c r="C171" s="127" t="n"/>
      <c r="D171" s="127" t="n"/>
      <c r="E171" s="127" t="n"/>
      <c r="F171" s="127" t="n"/>
    </row>
    <row r="172">
      <c r="A172" s="147" t="n"/>
      <c r="B172" s="127" t="n"/>
      <c r="C172" s="127" t="n"/>
      <c r="D172" s="127" t="n"/>
      <c r="E172" s="127" t="n"/>
      <c r="F172" s="127" t="n"/>
    </row>
    <row r="173">
      <c r="A173" s="147" t="n"/>
      <c r="B173" s="127" t="n"/>
      <c r="C173" s="127" t="n"/>
      <c r="D173" s="127" t="n"/>
      <c r="E173" s="127" t="n"/>
      <c r="F173" s="127" t="n"/>
    </row>
    <row r="174">
      <c r="A174" s="147" t="n"/>
      <c r="B174" s="127" t="n"/>
      <c r="C174" s="127" t="n"/>
      <c r="D174" s="127" t="n"/>
      <c r="E174" s="127" t="n"/>
      <c r="F174" s="127" t="n"/>
    </row>
    <row r="175">
      <c r="A175" s="147" t="n"/>
      <c r="B175" s="127" t="n"/>
      <c r="C175" s="127" t="n"/>
      <c r="D175" s="127" t="n"/>
      <c r="E175" s="127" t="n"/>
      <c r="F175" s="127" t="n"/>
    </row>
    <row r="176">
      <c r="A176" s="147" t="n"/>
      <c r="B176" s="127" t="n"/>
      <c r="C176" s="127" t="n"/>
      <c r="D176" s="127" t="n"/>
      <c r="E176" s="127" t="n"/>
      <c r="F176" s="127" t="n"/>
    </row>
    <row r="177">
      <c r="A177" s="147" t="n"/>
      <c r="B177" s="127" t="n"/>
      <c r="C177" s="127" t="n"/>
      <c r="D177" s="127" t="n"/>
      <c r="E177" s="127" t="n"/>
      <c r="F177" s="127" t="n"/>
    </row>
    <row r="178">
      <c r="A178" s="147" t="n"/>
      <c r="B178" s="127" t="n"/>
      <c r="C178" s="127" t="n"/>
      <c r="D178" s="127" t="n"/>
      <c r="E178" s="127" t="n"/>
      <c r="F178" s="127" t="n"/>
    </row>
    <row r="179">
      <c r="A179" s="147" t="n"/>
      <c r="B179" s="127" t="n"/>
      <c r="C179" s="127" t="n"/>
      <c r="D179" s="127" t="n"/>
      <c r="E179" s="127" t="n"/>
      <c r="F179" s="127" t="n"/>
    </row>
    <row r="180">
      <c r="A180" s="147" t="n"/>
      <c r="B180" s="127" t="n"/>
      <c r="C180" s="127" t="n"/>
      <c r="D180" s="127" t="n"/>
      <c r="E180" s="127" t="n"/>
      <c r="F180" s="127" t="n"/>
    </row>
    <row r="181">
      <c r="A181" s="147" t="n"/>
      <c r="B181" s="127" t="n"/>
      <c r="C181" s="127" t="n"/>
      <c r="D181" s="127" t="n"/>
      <c r="E181" s="127" t="n"/>
      <c r="F181" s="127" t="n"/>
    </row>
    <row r="182">
      <c r="A182" s="147" t="n"/>
      <c r="B182" s="127" t="n"/>
      <c r="C182" s="127" t="n"/>
      <c r="D182" s="127" t="n"/>
      <c r="E182" s="127" t="n"/>
      <c r="F182" s="127" t="n"/>
    </row>
    <row r="183">
      <c r="A183" s="147" t="n"/>
      <c r="B183" s="127" t="n"/>
      <c r="C183" s="127" t="n"/>
      <c r="D183" s="127" t="n"/>
      <c r="E183" s="127" t="n"/>
      <c r="F183" s="127" t="n"/>
    </row>
    <row r="184">
      <c r="A184" s="147" t="n"/>
      <c r="B184" s="127" t="n"/>
      <c r="C184" s="127" t="n"/>
      <c r="D184" s="127" t="n"/>
      <c r="E184" s="127" t="n"/>
      <c r="F184" s="127" t="n"/>
    </row>
    <row r="185">
      <c r="A185" s="147" t="n"/>
      <c r="B185" s="127" t="n"/>
      <c r="C185" s="127" t="n"/>
      <c r="D185" s="127" t="n"/>
      <c r="E185" s="127" t="n"/>
      <c r="F185" s="127" t="n"/>
    </row>
    <row r="186">
      <c r="A186" s="147" t="n"/>
      <c r="B186" s="127" t="n"/>
      <c r="C186" s="127" t="n"/>
      <c r="D186" s="127" t="n"/>
      <c r="E186" s="127" t="n"/>
      <c r="F186" s="127" t="n"/>
    </row>
    <row r="187">
      <c r="A187" s="147" t="n"/>
      <c r="B187" s="127" t="n"/>
      <c r="C187" s="127" t="n"/>
      <c r="D187" s="127" t="n"/>
      <c r="E187" s="127" t="n"/>
      <c r="F187" s="127" t="n"/>
    </row>
    <row r="188">
      <c r="A188" s="147" t="n"/>
      <c r="B188" s="127" t="n"/>
      <c r="C188" s="127" t="n"/>
      <c r="D188" s="127" t="n"/>
      <c r="E188" s="127" t="n"/>
      <c r="F188" s="127" t="n"/>
    </row>
    <row r="189">
      <c r="A189" s="147" t="n"/>
      <c r="B189" s="127" t="n"/>
      <c r="C189" s="127" t="n"/>
      <c r="D189" s="127" t="n"/>
      <c r="E189" s="127" t="n"/>
      <c r="F189" s="127" t="n"/>
    </row>
    <row r="190">
      <c r="A190" s="147" t="n"/>
      <c r="B190" s="127" t="n"/>
      <c r="C190" s="127" t="n"/>
      <c r="D190" s="127" t="n"/>
      <c r="E190" s="127" t="n"/>
      <c r="F190" s="127" t="n"/>
    </row>
    <row r="191">
      <c r="A191" s="147" t="n"/>
      <c r="B191" s="127" t="n"/>
      <c r="C191" s="127" t="n"/>
      <c r="D191" s="127" t="n"/>
      <c r="E191" s="127" t="n"/>
      <c r="F191" s="127" t="n"/>
    </row>
    <row r="192">
      <c r="A192" s="147" t="n"/>
      <c r="B192" s="127" t="n"/>
      <c r="C192" s="127" t="n"/>
      <c r="D192" s="127" t="n"/>
      <c r="E192" s="127" t="n"/>
      <c r="F192" s="127" t="n"/>
    </row>
    <row r="193">
      <c r="A193" s="147" t="n"/>
      <c r="B193" s="127" t="n"/>
      <c r="C193" s="127" t="n"/>
      <c r="D193" s="127" t="n"/>
      <c r="E193" s="127" t="n"/>
      <c r="F193" s="127" t="n"/>
    </row>
    <row r="194">
      <c r="A194" s="147" t="n"/>
      <c r="B194" s="127" t="n"/>
      <c r="C194" s="127" t="n"/>
      <c r="D194" s="127" t="n"/>
      <c r="E194" s="127" t="n"/>
      <c r="F194" s="127" t="n"/>
    </row>
    <row r="195">
      <c r="A195" s="147" t="n"/>
      <c r="B195" s="127" t="n"/>
      <c r="C195" s="127" t="n"/>
      <c r="D195" s="127" t="n"/>
      <c r="E195" s="127" t="n"/>
      <c r="F195" s="127" t="n"/>
    </row>
    <row r="196">
      <c r="A196" s="147" t="n"/>
      <c r="B196" s="127" t="n"/>
      <c r="C196" s="127" t="n"/>
      <c r="D196" s="127" t="n"/>
      <c r="E196" s="127" t="n"/>
      <c r="F196" s="127" t="n"/>
    </row>
    <row r="197">
      <c r="A197" s="147" t="n"/>
      <c r="B197" s="127" t="n"/>
      <c r="C197" s="127" t="n"/>
      <c r="D197" s="127" t="n"/>
      <c r="E197" s="127" t="n"/>
      <c r="F197" s="127" t="n"/>
    </row>
    <row r="198">
      <c r="A198" s="147" t="n"/>
      <c r="B198" s="127" t="n"/>
      <c r="C198" s="127" t="n"/>
      <c r="D198" s="127" t="n"/>
      <c r="E198" s="127" t="n"/>
      <c r="F198" s="127" t="n"/>
    </row>
    <row r="199">
      <c r="A199" s="147" t="n"/>
      <c r="B199" s="127" t="n"/>
      <c r="C199" s="127" t="n"/>
      <c r="D199" s="127" t="n"/>
      <c r="E199" s="127" t="n"/>
      <c r="F199" s="127" t="n"/>
    </row>
    <row r="200">
      <c r="A200" s="147" t="n"/>
      <c r="B200" s="127" t="n"/>
      <c r="C200" s="127" t="n"/>
      <c r="D200" s="127" t="n"/>
      <c r="E200" s="127" t="n"/>
      <c r="F200" s="127" t="n"/>
    </row>
    <row r="201">
      <c r="A201" s="147" t="n"/>
      <c r="B201" s="127" t="n"/>
      <c r="C201" s="127" t="n"/>
      <c r="D201" s="127" t="n"/>
      <c r="E201" s="127" t="n"/>
      <c r="F201" s="127" t="n"/>
    </row>
    <row r="202">
      <c r="A202" s="147" t="n"/>
      <c r="B202" s="127" t="n"/>
      <c r="C202" s="127" t="n"/>
      <c r="D202" s="127" t="n"/>
      <c r="E202" s="127" t="n"/>
      <c r="F202" s="127" t="n"/>
    </row>
    <row r="203">
      <c r="A203" s="147" t="n"/>
      <c r="B203" s="127" t="n"/>
      <c r="C203" s="127" t="n"/>
      <c r="D203" s="127" t="n"/>
      <c r="E203" s="127" t="n"/>
      <c r="F203" s="127" t="n"/>
    </row>
    <row r="204">
      <c r="A204" s="147" t="n"/>
      <c r="B204" s="127" t="n"/>
      <c r="C204" s="127" t="n"/>
      <c r="D204" s="127" t="n"/>
      <c r="E204" s="127" t="n"/>
      <c r="F204" s="127" t="n"/>
    </row>
    <row r="205">
      <c r="A205" s="147" t="n"/>
      <c r="B205" s="127" t="n"/>
      <c r="C205" s="127" t="n"/>
      <c r="D205" s="127" t="n"/>
      <c r="E205" s="127" t="n"/>
      <c r="F205" s="127" t="n"/>
    </row>
    <row r="206">
      <c r="A206" s="147" t="n"/>
      <c r="B206" s="127" t="n"/>
      <c r="C206" s="127" t="n"/>
      <c r="D206" s="127" t="n"/>
      <c r="E206" s="127" t="n"/>
      <c r="F206" s="127" t="n"/>
    </row>
    <row r="207">
      <c r="A207" s="147" t="n"/>
      <c r="B207" s="127" t="n"/>
      <c r="C207" s="127" t="n"/>
      <c r="D207" s="127" t="n"/>
      <c r="E207" s="127" t="n"/>
      <c r="F207" s="127" t="n"/>
    </row>
    <row r="208">
      <c r="A208" s="147" t="n"/>
      <c r="B208" s="127" t="n"/>
      <c r="C208" s="127" t="n"/>
      <c r="D208" s="127" t="n"/>
      <c r="E208" s="127" t="n"/>
      <c r="F208" s="127" t="n"/>
    </row>
    <row r="209">
      <c r="A209" s="147" t="n"/>
      <c r="B209" s="127" t="n"/>
      <c r="C209" s="127" t="n"/>
      <c r="D209" s="127" t="n"/>
      <c r="E209" s="127" t="n"/>
      <c r="F209" s="127" t="n"/>
    </row>
    <row r="210">
      <c r="A210" s="147" t="n"/>
      <c r="B210" s="127" t="n"/>
      <c r="C210" s="127" t="n"/>
      <c r="D210" s="127" t="n"/>
      <c r="E210" s="127" t="n"/>
      <c r="F210" s="127" t="n"/>
    </row>
    <row r="211">
      <c r="A211" s="147" t="n"/>
      <c r="B211" s="127" t="n"/>
      <c r="C211" s="127" t="n"/>
      <c r="D211" s="127" t="n"/>
      <c r="E211" s="127" t="n"/>
      <c r="F211" s="127" t="n"/>
    </row>
    <row r="212">
      <c r="A212" s="147" t="n"/>
      <c r="B212" s="127" t="n"/>
      <c r="C212" s="127" t="n"/>
      <c r="D212" s="127" t="n"/>
      <c r="E212" s="127" t="n"/>
      <c r="F212" s="127" t="n"/>
    </row>
    <row r="213">
      <c r="A213" s="147" t="n"/>
      <c r="B213" s="127" t="n"/>
      <c r="C213" s="127" t="n"/>
      <c r="D213" s="127" t="n"/>
      <c r="E213" s="127" t="n"/>
      <c r="F213" s="127" t="n"/>
    </row>
    <row r="214">
      <c r="A214" s="147" t="n"/>
      <c r="B214" s="127" t="n"/>
      <c r="C214" s="127" t="n"/>
      <c r="D214" s="127" t="n"/>
      <c r="E214" s="127" t="n"/>
      <c r="F214" s="127" t="n"/>
    </row>
    <row r="215">
      <c r="A215" s="147" t="n"/>
      <c r="B215" s="127" t="n"/>
      <c r="C215" s="127" t="n"/>
      <c r="D215" s="127" t="n"/>
      <c r="E215" s="127" t="n"/>
      <c r="F215" s="127" t="n"/>
    </row>
    <row r="216">
      <c r="A216" s="147" t="n"/>
      <c r="B216" s="127" t="n"/>
      <c r="C216" s="127" t="n"/>
      <c r="D216" s="127" t="n"/>
      <c r="E216" s="127" t="n"/>
      <c r="F216" s="127" t="n"/>
    </row>
    <row r="217">
      <c r="A217" s="147" t="n"/>
      <c r="B217" s="127" t="n"/>
      <c r="C217" s="127" t="n"/>
      <c r="D217" s="127" t="n"/>
      <c r="E217" s="127" t="n"/>
      <c r="F217" s="127" t="n"/>
    </row>
    <row r="218">
      <c r="A218" s="147" t="n"/>
      <c r="B218" s="127" t="n"/>
      <c r="C218" s="127" t="n"/>
      <c r="D218" s="127" t="n"/>
      <c r="E218" s="127" t="n"/>
      <c r="F218" s="127" t="n"/>
    </row>
    <row r="219">
      <c r="A219" s="147" t="n"/>
      <c r="B219" s="127" t="n"/>
      <c r="C219" s="127" t="n"/>
      <c r="D219" s="127" t="n"/>
      <c r="E219" s="127" t="n"/>
      <c r="F219" s="127" t="n"/>
    </row>
    <row r="220">
      <c r="A220" s="147" t="n"/>
      <c r="B220" s="127" t="n"/>
      <c r="C220" s="127" t="n"/>
      <c r="D220" s="127" t="n"/>
      <c r="E220" s="127" t="n"/>
      <c r="F220" s="127" t="n"/>
    </row>
    <row r="221">
      <c r="A221" s="147" t="n"/>
      <c r="B221" s="127" t="n"/>
      <c r="C221" s="127" t="n"/>
      <c r="D221" s="127" t="n"/>
      <c r="E221" s="127" t="n"/>
      <c r="F221" s="127" t="n"/>
    </row>
    <row r="222">
      <c r="A222" s="147" t="n"/>
      <c r="B222" s="127" t="n"/>
      <c r="C222" s="127" t="n"/>
      <c r="D222" s="127" t="n"/>
      <c r="E222" s="127" t="n"/>
      <c r="F222" s="127" t="n"/>
    </row>
    <row r="223">
      <c r="A223" s="147" t="n"/>
      <c r="B223" s="127" t="n"/>
      <c r="C223" s="127" t="n"/>
      <c r="D223" s="127" t="n"/>
      <c r="E223" s="127" t="n"/>
      <c r="F223" s="127" t="n"/>
    </row>
    <row r="224">
      <c r="A224" s="147" t="n"/>
      <c r="B224" s="127" t="n"/>
      <c r="C224" s="127" t="n"/>
      <c r="D224" s="127" t="n"/>
      <c r="E224" s="127" t="n"/>
      <c r="F224" s="127" t="n"/>
    </row>
    <row r="225">
      <c r="A225" s="147" t="n"/>
      <c r="B225" s="127" t="n"/>
      <c r="C225" s="127" t="n"/>
      <c r="D225" s="127" t="n"/>
      <c r="E225" s="127" t="n"/>
      <c r="F225" s="127" t="n"/>
    </row>
    <row r="226">
      <c r="A226" s="147" t="n"/>
      <c r="B226" s="127" t="n"/>
      <c r="C226" s="127" t="n"/>
      <c r="D226" s="127" t="n"/>
      <c r="E226" s="127" t="n"/>
      <c r="F226" s="127" t="n"/>
    </row>
    <row r="227">
      <c r="A227" s="147" t="n"/>
      <c r="B227" s="127" t="n"/>
      <c r="C227" s="127" t="n"/>
      <c r="D227" s="127" t="n"/>
      <c r="E227" s="127" t="n"/>
      <c r="F227" s="127" t="n"/>
    </row>
    <row r="228">
      <c r="A228" s="147" t="n"/>
      <c r="B228" s="127" t="n"/>
      <c r="C228" s="127" t="n"/>
      <c r="D228" s="127" t="n"/>
      <c r="E228" s="127" t="n"/>
      <c r="F228" s="127" t="n"/>
    </row>
    <row r="229">
      <c r="A229" s="147" t="n"/>
      <c r="B229" s="127" t="n"/>
      <c r="C229" s="127" t="n"/>
      <c r="D229" s="127" t="n"/>
      <c r="E229" s="127" t="n"/>
      <c r="F229" s="127" t="n"/>
    </row>
    <row r="230">
      <c r="A230" s="147" t="n"/>
      <c r="B230" s="127" t="n"/>
      <c r="C230" s="127" t="n"/>
      <c r="D230" s="127" t="n"/>
      <c r="E230" s="127" t="n"/>
      <c r="F230" s="127" t="n"/>
    </row>
    <row r="231">
      <c r="A231" s="147" t="n"/>
      <c r="B231" s="127" t="n"/>
      <c r="C231" s="127" t="n"/>
      <c r="D231" s="127" t="n"/>
      <c r="E231" s="127" t="n"/>
      <c r="F231" s="127" t="n"/>
    </row>
    <row r="232">
      <c r="A232" s="147" t="n"/>
      <c r="B232" s="127" t="n"/>
      <c r="C232" s="127" t="n"/>
      <c r="D232" s="127" t="n"/>
      <c r="E232" s="127" t="n"/>
      <c r="F232" s="127" t="n"/>
    </row>
    <row r="233">
      <c r="A233" s="147" t="n"/>
      <c r="B233" s="127" t="n"/>
      <c r="C233" s="127" t="n"/>
      <c r="D233" s="127" t="n"/>
      <c r="E233" s="127" t="n"/>
      <c r="F233" s="127" t="n"/>
    </row>
    <row r="234">
      <c r="A234" s="147" t="n"/>
      <c r="B234" s="127" t="n"/>
      <c r="C234" s="127" t="n"/>
      <c r="D234" s="127" t="n"/>
      <c r="E234" s="127" t="n"/>
      <c r="F234" s="127" t="n"/>
    </row>
    <row r="235">
      <c r="A235" s="147" t="n"/>
      <c r="B235" s="127" t="n"/>
      <c r="C235" s="127" t="n"/>
      <c r="D235" s="127" t="n"/>
      <c r="E235" s="127" t="n"/>
      <c r="F235" s="127" t="n"/>
    </row>
    <row r="236">
      <c r="A236" s="147" t="n"/>
      <c r="B236" s="127" t="n"/>
      <c r="C236" s="127" t="n"/>
      <c r="D236" s="127" t="n"/>
      <c r="E236" s="127" t="n"/>
      <c r="F236" s="127" t="n"/>
    </row>
    <row r="237">
      <c r="A237" s="147" t="n"/>
      <c r="B237" s="127" t="n"/>
      <c r="C237" s="127" t="n"/>
      <c r="D237" s="127" t="n"/>
      <c r="E237" s="127" t="n"/>
      <c r="F237" s="127" t="n"/>
    </row>
    <row r="238">
      <c r="A238" s="147" t="n"/>
      <c r="B238" s="127" t="n"/>
      <c r="C238" s="127" t="n"/>
      <c r="D238" s="127" t="n"/>
      <c r="E238" s="127" t="n"/>
      <c r="F238" s="127" t="n"/>
    </row>
    <row r="239">
      <c r="A239" s="147" t="n"/>
      <c r="B239" s="127" t="n"/>
      <c r="C239" s="127" t="n"/>
      <c r="D239" s="127" t="n"/>
      <c r="E239" s="127" t="n"/>
      <c r="F239" s="127" t="n"/>
    </row>
    <row r="240">
      <c r="A240" s="147" t="n"/>
      <c r="B240" s="127" t="n"/>
      <c r="C240" s="127" t="n"/>
      <c r="D240" s="127" t="n"/>
      <c r="E240" s="127" t="n"/>
      <c r="F240" s="127" t="n"/>
    </row>
    <row r="241">
      <c r="A241" s="147" t="n"/>
      <c r="B241" s="127" t="n"/>
      <c r="C241" s="127" t="n"/>
      <c r="D241" s="127" t="n"/>
      <c r="E241" s="127" t="n"/>
      <c r="F241" s="127" t="n"/>
    </row>
    <row r="242">
      <c r="A242" s="147" t="n"/>
      <c r="B242" s="127" t="n"/>
      <c r="C242" s="127" t="n"/>
      <c r="D242" s="127" t="n"/>
      <c r="E242" s="127" t="n"/>
      <c r="F242" s="127" t="n"/>
    </row>
    <row r="243">
      <c r="A243" s="147" t="n"/>
      <c r="B243" s="127" t="n"/>
      <c r="C243" s="127" t="n"/>
      <c r="D243" s="127" t="n"/>
      <c r="E243" s="127" t="n"/>
      <c r="F243" s="127" t="n"/>
    </row>
    <row r="244">
      <c r="A244" s="147" t="n"/>
      <c r="B244" s="127" t="n"/>
      <c r="C244" s="127" t="n"/>
      <c r="D244" s="127" t="n"/>
      <c r="E244" s="127" t="n"/>
      <c r="F244" s="127" t="n"/>
    </row>
    <row r="245">
      <c r="A245" s="147" t="n"/>
      <c r="B245" s="127" t="n"/>
      <c r="C245" s="127" t="n"/>
      <c r="D245" s="127" t="n"/>
      <c r="E245" s="127" t="n"/>
      <c r="F245" s="127" t="n"/>
    </row>
    <row r="246">
      <c r="A246" s="147" t="n"/>
      <c r="B246" s="127" t="n"/>
      <c r="C246" s="127" t="n"/>
      <c r="D246" s="127" t="n"/>
      <c r="E246" s="127" t="n"/>
      <c r="F246" s="127" t="n"/>
    </row>
    <row r="247">
      <c r="A247" s="147" t="n"/>
      <c r="B247" s="127" t="n"/>
      <c r="C247" s="127" t="n"/>
      <c r="D247" s="127" t="n"/>
      <c r="E247" s="127" t="n"/>
      <c r="F247" s="127" t="n"/>
    </row>
    <row r="248">
      <c r="A248" s="147" t="n"/>
      <c r="B248" s="127" t="n"/>
      <c r="C248" s="127" t="n"/>
      <c r="D248" s="127" t="n"/>
      <c r="E248" s="127" t="n"/>
      <c r="F248" s="127" t="n"/>
    </row>
    <row r="249">
      <c r="A249" s="147" t="n"/>
      <c r="B249" s="127" t="n"/>
      <c r="C249" s="127" t="n"/>
      <c r="D249" s="127" t="n"/>
      <c r="E249" s="127" t="n"/>
      <c r="F249" s="127" t="n"/>
    </row>
    <row r="250">
      <c r="A250" s="147" t="n"/>
      <c r="B250" s="127" t="n"/>
      <c r="C250" s="127" t="n"/>
      <c r="D250" s="127" t="n"/>
      <c r="E250" s="127" t="n"/>
      <c r="F250" s="127" t="n"/>
    </row>
    <row r="251">
      <c r="A251" s="147" t="n"/>
      <c r="B251" s="127" t="n"/>
      <c r="C251" s="127" t="n"/>
      <c r="D251" s="127" t="n"/>
      <c r="E251" s="127" t="n"/>
      <c r="F251" s="127" t="n"/>
    </row>
    <row r="252">
      <c r="A252" s="147" t="n"/>
      <c r="B252" s="127" t="n"/>
      <c r="C252" s="127" t="n"/>
      <c r="D252" s="127" t="n"/>
      <c r="E252" s="127" t="n"/>
      <c r="F252" s="127" t="n"/>
    </row>
    <row r="253">
      <c r="A253" s="147" t="n"/>
      <c r="B253" s="127" t="n"/>
      <c r="C253" s="127" t="n"/>
      <c r="D253" s="127" t="n"/>
      <c r="E253" s="127" t="n"/>
      <c r="F253" s="127" t="n"/>
    </row>
    <row r="254">
      <c r="A254" s="147" t="n"/>
      <c r="B254" s="127" t="n"/>
      <c r="C254" s="127" t="n"/>
      <c r="D254" s="127" t="n"/>
      <c r="E254" s="127" t="n"/>
      <c r="F254" s="127" t="n"/>
    </row>
    <row r="255">
      <c r="A255" s="147" t="n"/>
      <c r="B255" s="127" t="n"/>
      <c r="C255" s="127" t="n"/>
      <c r="D255" s="127" t="n"/>
      <c r="E255" s="127" t="n"/>
      <c r="F255" s="127" t="n"/>
    </row>
    <row r="256">
      <c r="A256" s="147" t="n"/>
      <c r="B256" s="127" t="n"/>
      <c r="C256" s="127" t="n"/>
      <c r="D256" s="127" t="n"/>
      <c r="E256" s="127" t="n"/>
      <c r="F256" s="127" t="n"/>
    </row>
    <row r="257">
      <c r="A257" s="147" t="n"/>
      <c r="B257" s="127" t="n"/>
      <c r="C257" s="127" t="n"/>
      <c r="D257" s="127" t="n"/>
      <c r="E257" s="127" t="n"/>
      <c r="F257" s="127" t="n"/>
    </row>
    <row r="258">
      <c r="A258" s="147" t="n"/>
      <c r="B258" s="127" t="n"/>
      <c r="C258" s="127" t="n"/>
      <c r="D258" s="127" t="n"/>
      <c r="E258" s="127" t="n"/>
      <c r="F258" s="127" t="n"/>
    </row>
    <row r="259">
      <c r="A259" s="147" t="n"/>
      <c r="B259" s="127" t="n"/>
      <c r="C259" s="127" t="n"/>
      <c r="D259" s="127" t="n"/>
      <c r="E259" s="127" t="n"/>
      <c r="F259" s="127" t="n"/>
    </row>
    <row r="260">
      <c r="A260" s="147" t="n"/>
      <c r="B260" s="127" t="n"/>
      <c r="C260" s="127" t="n"/>
      <c r="D260" s="127" t="n"/>
      <c r="E260" s="127" t="n"/>
      <c r="F260" s="127" t="n"/>
    </row>
    <row r="261">
      <c r="A261" s="147" t="n"/>
      <c r="B261" s="127" t="n"/>
      <c r="C261" s="127" t="n"/>
      <c r="D261" s="127" t="n"/>
      <c r="E261" s="127" t="n"/>
      <c r="F261" s="127" t="n"/>
    </row>
    <row r="262">
      <c r="A262" s="147" t="n"/>
      <c r="B262" s="127" t="n"/>
      <c r="C262" s="127" t="n"/>
      <c r="D262" s="127" t="n"/>
      <c r="E262" s="127" t="n"/>
      <c r="F262" s="127" t="n"/>
    </row>
    <row r="263">
      <c r="A263" s="147" t="n"/>
      <c r="B263" s="127" t="n"/>
      <c r="C263" s="127" t="n"/>
      <c r="D263" s="127" t="n"/>
      <c r="E263" s="127" t="n"/>
      <c r="F263" s="127" t="n"/>
    </row>
    <row r="264">
      <c r="A264" s="147" t="n"/>
      <c r="B264" s="127" t="n"/>
      <c r="C264" s="127" t="n"/>
      <c r="D264" s="127" t="n"/>
      <c r="E264" s="127" t="n"/>
      <c r="F264" s="127" t="n"/>
    </row>
    <row r="265">
      <c r="A265" s="147" t="n"/>
      <c r="B265" s="127" t="n"/>
      <c r="C265" s="127" t="n"/>
      <c r="D265" s="127" t="n"/>
      <c r="E265" s="127" t="n"/>
      <c r="F265" s="127" t="n"/>
    </row>
    <row r="266">
      <c r="A266" s="147" t="n"/>
      <c r="B266" s="127" t="n"/>
      <c r="C266" s="127" t="n"/>
      <c r="D266" s="127" t="n"/>
      <c r="E266" s="127" t="n"/>
      <c r="F266" s="127" t="n"/>
    </row>
    <row r="267">
      <c r="A267" s="147" t="n"/>
      <c r="B267" s="127" t="n"/>
      <c r="C267" s="127" t="n"/>
      <c r="D267" s="127" t="n"/>
      <c r="E267" s="127" t="n"/>
      <c r="F267" s="127" t="n"/>
    </row>
    <row r="268">
      <c r="A268" s="147" t="n"/>
      <c r="B268" s="127" t="n"/>
      <c r="C268" s="127" t="n"/>
      <c r="D268" s="127" t="n"/>
      <c r="E268" s="127" t="n"/>
      <c r="F268" s="127" t="n"/>
    </row>
    <row r="269">
      <c r="A269" s="147" t="n"/>
      <c r="B269" s="127" t="n"/>
      <c r="C269" s="127" t="n"/>
      <c r="D269" s="127" t="n"/>
      <c r="E269" s="127" t="n"/>
      <c r="F269" s="127" t="n"/>
    </row>
    <row r="270">
      <c r="A270" s="147" t="n"/>
      <c r="B270" s="127" t="n"/>
      <c r="C270" s="127" t="n"/>
      <c r="D270" s="127" t="n"/>
      <c r="E270" s="127" t="n"/>
      <c r="F270" s="127" t="n"/>
    </row>
    <row r="271">
      <c r="A271" s="147" t="n"/>
      <c r="B271" s="127" t="n"/>
      <c r="C271" s="127" t="n"/>
      <c r="D271" s="127" t="n"/>
      <c r="E271" s="127" t="n"/>
      <c r="F271" s="127" t="n"/>
    </row>
    <row r="272">
      <c r="A272" s="147" t="n"/>
      <c r="B272" s="127" t="n"/>
      <c r="C272" s="127" t="n"/>
      <c r="D272" s="127" t="n"/>
      <c r="E272" s="127" t="n"/>
      <c r="F272" s="127" t="n"/>
    </row>
    <row r="273">
      <c r="A273" s="147" t="n"/>
      <c r="B273" s="127" t="n"/>
      <c r="C273" s="127" t="n"/>
      <c r="D273" s="127" t="n"/>
      <c r="E273" s="127" t="n"/>
      <c r="F273" s="127" t="n"/>
    </row>
    <row r="274">
      <c r="A274" s="147" t="n"/>
      <c r="B274" s="127" t="n"/>
      <c r="C274" s="127" t="n"/>
      <c r="D274" s="127" t="n"/>
      <c r="E274" s="127" t="n"/>
      <c r="F274" s="127" t="n"/>
    </row>
    <row r="275">
      <c r="A275" s="147" t="n"/>
      <c r="B275" s="127" t="n"/>
      <c r="C275" s="127" t="n"/>
      <c r="D275" s="127" t="n"/>
      <c r="E275" s="127" t="n"/>
      <c r="F275" s="127" t="n"/>
    </row>
    <row r="276">
      <c r="A276" s="147" t="n"/>
      <c r="B276" s="127" t="n"/>
      <c r="C276" s="127" t="n"/>
      <c r="D276" s="127" t="n"/>
      <c r="E276" s="127" t="n"/>
      <c r="F276" s="127" t="n"/>
    </row>
    <row r="277">
      <c r="A277" s="147" t="n"/>
      <c r="B277" s="127" t="n"/>
      <c r="C277" s="127" t="n"/>
      <c r="D277" s="127" t="n"/>
      <c r="E277" s="127" t="n"/>
      <c r="F277" s="127" t="n"/>
    </row>
    <row r="278">
      <c r="A278" s="147" t="n"/>
      <c r="B278" s="127" t="n"/>
      <c r="C278" s="127" t="n"/>
      <c r="D278" s="127" t="n"/>
      <c r="E278" s="127" t="n"/>
      <c r="F278" s="127" t="n"/>
    </row>
    <row r="279">
      <c r="A279" s="147" t="n"/>
      <c r="B279" s="127" t="n"/>
      <c r="C279" s="127" t="n"/>
      <c r="D279" s="127" t="n"/>
      <c r="E279" s="127" t="n"/>
      <c r="F279" s="127" t="n"/>
    </row>
    <row r="280">
      <c r="A280" s="147" t="n"/>
      <c r="B280" s="127" t="n"/>
      <c r="C280" s="127" t="n"/>
      <c r="D280" s="127" t="n"/>
      <c r="E280" s="127" t="n"/>
      <c r="F280" s="127" t="n"/>
    </row>
    <row r="281">
      <c r="A281" s="147" t="n"/>
      <c r="B281" s="127" t="n"/>
      <c r="C281" s="127" t="n"/>
      <c r="D281" s="127" t="n"/>
      <c r="E281" s="127" t="n"/>
      <c r="F281" s="127" t="n"/>
    </row>
    <row r="282">
      <c r="A282" s="147" t="n"/>
      <c r="B282" s="127" t="n"/>
      <c r="C282" s="127" t="n"/>
      <c r="D282" s="127" t="n"/>
      <c r="E282" s="127" t="n"/>
      <c r="F282" s="127" t="n"/>
    </row>
    <row r="283">
      <c r="A283" s="147" t="n"/>
      <c r="B283" s="127" t="n"/>
      <c r="C283" s="127" t="n"/>
      <c r="D283" s="127" t="n"/>
      <c r="E283" s="127" t="n"/>
      <c r="F283" s="127" t="n"/>
    </row>
    <row r="284">
      <c r="A284" s="147" t="n"/>
      <c r="B284" s="127" t="n"/>
      <c r="C284" s="127" t="n"/>
      <c r="D284" s="127" t="n"/>
      <c r="E284" s="127" t="n"/>
      <c r="F284" s="127" t="n"/>
    </row>
    <row r="285">
      <c r="A285" s="147" t="n"/>
      <c r="B285" s="127" t="n"/>
      <c r="C285" s="127" t="n"/>
      <c r="D285" s="127" t="n"/>
      <c r="E285" s="127" t="n"/>
      <c r="F285" s="127" t="n"/>
    </row>
    <row r="286">
      <c r="A286" s="147" t="n"/>
      <c r="B286" s="127" t="n"/>
      <c r="C286" s="127" t="n"/>
      <c r="D286" s="127" t="n"/>
      <c r="E286" s="127" t="n"/>
      <c r="F286" s="127" t="n"/>
    </row>
    <row r="287">
      <c r="A287" s="147" t="n"/>
      <c r="B287" s="127" t="n"/>
      <c r="C287" s="127" t="n"/>
      <c r="D287" s="127" t="n"/>
      <c r="E287" s="127" t="n"/>
      <c r="F287" s="127" t="n"/>
    </row>
    <row r="288">
      <c r="A288" s="147" t="n"/>
      <c r="B288" s="127" t="n"/>
      <c r="C288" s="127" t="n"/>
      <c r="D288" s="127" t="n"/>
      <c r="E288" s="127" t="n"/>
      <c r="F288" s="127" t="n"/>
    </row>
    <row r="289">
      <c r="A289" s="147" t="n"/>
      <c r="B289" s="127" t="n"/>
      <c r="C289" s="127" t="n"/>
      <c r="D289" s="127" t="n"/>
      <c r="E289" s="127" t="n"/>
      <c r="F289" s="127" t="n"/>
    </row>
    <row r="290">
      <c r="A290" s="147" t="n"/>
      <c r="B290" s="127" t="n"/>
      <c r="C290" s="127" t="n"/>
      <c r="D290" s="127" t="n"/>
      <c r="E290" s="127" t="n"/>
      <c r="F290" s="127" t="n"/>
    </row>
    <row r="291">
      <c r="A291" s="147" t="n"/>
      <c r="B291" s="127" t="n"/>
      <c r="C291" s="127" t="n"/>
      <c r="D291" s="127" t="n"/>
      <c r="E291" s="127" t="n"/>
      <c r="F291" s="127" t="n"/>
    </row>
    <row r="292">
      <c r="A292" s="147" t="n"/>
      <c r="B292" s="127" t="n"/>
      <c r="C292" s="127" t="n"/>
      <c r="D292" s="127" t="n"/>
      <c r="E292" s="127" t="n"/>
      <c r="F292" s="127" t="n"/>
    </row>
    <row r="293">
      <c r="A293" s="147" t="n"/>
      <c r="B293" s="127" t="n"/>
      <c r="C293" s="127" t="n"/>
      <c r="D293" s="127" t="n"/>
      <c r="E293" s="127" t="n"/>
      <c r="F293" s="127" t="n"/>
    </row>
    <row r="294">
      <c r="A294" s="147" t="n"/>
      <c r="B294" s="127" t="n"/>
      <c r="C294" s="127" t="n"/>
      <c r="D294" s="127" t="n"/>
      <c r="E294" s="127" t="n"/>
      <c r="F294" s="127" t="n"/>
    </row>
    <row r="295">
      <c r="A295" s="147" t="n"/>
      <c r="B295" s="127" t="n"/>
      <c r="C295" s="127" t="n"/>
      <c r="D295" s="127" t="n"/>
      <c r="E295" s="127" t="n"/>
      <c r="F295" s="127" t="n"/>
    </row>
    <row r="296">
      <c r="A296" s="147" t="n"/>
      <c r="B296" s="127" t="n"/>
      <c r="C296" s="127" t="n"/>
      <c r="D296" s="127" t="n"/>
      <c r="E296" s="127" t="n"/>
      <c r="F296" s="127" t="n"/>
    </row>
    <row r="297">
      <c r="A297" s="147" t="n"/>
      <c r="B297" s="127" t="n"/>
      <c r="C297" s="127" t="n"/>
      <c r="D297" s="127" t="n"/>
      <c r="E297" s="127" t="n"/>
      <c r="F297" s="127" t="n"/>
    </row>
    <row r="298">
      <c r="A298" s="147" t="n"/>
      <c r="B298" s="127" t="n"/>
      <c r="C298" s="127" t="n"/>
      <c r="D298" s="127" t="n"/>
      <c r="E298" s="127" t="n"/>
      <c r="F298" s="127" t="n"/>
    </row>
    <row r="299">
      <c r="A299" s="147" t="n"/>
      <c r="B299" s="127" t="n"/>
      <c r="C299" s="127" t="n"/>
      <c r="D299" s="127" t="n"/>
      <c r="E299" s="127" t="n"/>
      <c r="F299" s="127" t="n"/>
    </row>
    <row r="300">
      <c r="A300" s="147" t="n"/>
      <c r="B300" s="127" t="n"/>
      <c r="C300" s="127" t="n"/>
      <c r="D300" s="127" t="n"/>
      <c r="E300" s="127" t="n"/>
      <c r="F300" s="127" t="n"/>
    </row>
    <row r="301">
      <c r="A301" s="147" t="n"/>
      <c r="B301" s="127" t="n"/>
      <c r="C301" s="127" t="n"/>
      <c r="D301" s="127" t="n"/>
      <c r="E301" s="127" t="n"/>
      <c r="F301" s="127" t="n"/>
    </row>
    <row r="302">
      <c r="A302" s="147" t="n"/>
      <c r="B302" s="127" t="n"/>
      <c r="C302" s="127" t="n"/>
      <c r="D302" s="127" t="n"/>
      <c r="E302" s="127" t="n"/>
      <c r="F302" s="127" t="n"/>
    </row>
    <row r="303">
      <c r="A303" s="147" t="n"/>
      <c r="B303" s="127" t="n"/>
      <c r="C303" s="127" t="n"/>
      <c r="D303" s="127" t="n"/>
      <c r="E303" s="127" t="n"/>
      <c r="F303" s="127" t="n"/>
    </row>
    <row r="304">
      <c r="A304" s="147" t="n"/>
      <c r="B304" s="127" t="n"/>
      <c r="C304" s="127" t="n"/>
      <c r="D304" s="127" t="n"/>
      <c r="E304" s="127" t="n"/>
      <c r="F304" s="127" t="n"/>
    </row>
    <row r="305">
      <c r="A305" s="147" t="n"/>
      <c r="B305" s="127" t="n"/>
      <c r="C305" s="127" t="n"/>
      <c r="D305" s="127" t="n"/>
      <c r="E305" s="127" t="n"/>
      <c r="F305" s="127" t="n"/>
    </row>
    <row r="306">
      <c r="A306" s="147" t="n"/>
      <c r="B306" s="127" t="n"/>
      <c r="C306" s="127" t="n"/>
      <c r="D306" s="127" t="n"/>
      <c r="E306" s="127" t="n"/>
      <c r="F306" s="127" t="n"/>
    </row>
    <row r="307">
      <c r="A307" s="147" t="n"/>
      <c r="B307" s="127" t="n"/>
      <c r="C307" s="127" t="n"/>
      <c r="D307" s="127" t="n"/>
      <c r="E307" s="127" t="n"/>
      <c r="F307" s="127" t="n"/>
    </row>
    <row r="308">
      <c r="A308" s="147" t="n"/>
      <c r="B308" s="127" t="n"/>
      <c r="C308" s="127" t="n"/>
      <c r="D308" s="127" t="n"/>
      <c r="E308" s="127" t="n"/>
      <c r="F308" s="127" t="n"/>
    </row>
    <row r="309">
      <c r="A309" s="147" t="n"/>
      <c r="B309" s="127" t="n"/>
      <c r="C309" s="127" t="n"/>
      <c r="D309" s="127" t="n"/>
      <c r="E309" s="127" t="n"/>
      <c r="F309" s="127" t="n"/>
    </row>
    <row r="310">
      <c r="A310" s="147" t="n"/>
      <c r="B310" s="127" t="n"/>
      <c r="C310" s="127" t="n"/>
      <c r="D310" s="127" t="n"/>
      <c r="E310" s="127" t="n"/>
      <c r="F310" s="127" t="n"/>
    </row>
    <row r="311">
      <c r="A311" s="147" t="n"/>
      <c r="B311" s="127" t="n"/>
      <c r="C311" s="127" t="n"/>
      <c r="D311" s="127" t="n"/>
      <c r="E311" s="127" t="n"/>
      <c r="F311" s="127" t="n"/>
    </row>
    <row r="312">
      <c r="A312" s="147" t="n"/>
      <c r="B312" s="127" t="n"/>
      <c r="C312" s="127" t="n"/>
      <c r="D312" s="127" t="n"/>
      <c r="E312" s="127" t="n"/>
      <c r="F312" s="127" t="n"/>
    </row>
    <row r="313">
      <c r="A313" s="147" t="n"/>
      <c r="B313" s="127" t="n"/>
      <c r="C313" s="127" t="n"/>
      <c r="D313" s="127" t="n"/>
      <c r="E313" s="127" t="n"/>
      <c r="F313" s="127" t="n"/>
    </row>
    <row r="314">
      <c r="A314" s="147" t="n"/>
      <c r="B314" s="127" t="n"/>
      <c r="C314" s="127" t="n"/>
      <c r="D314" s="127" t="n"/>
      <c r="E314" s="127" t="n"/>
      <c r="F314" s="127" t="n"/>
    </row>
    <row r="315">
      <c r="A315" s="147" t="n"/>
      <c r="B315" s="127" t="n"/>
      <c r="C315" s="127" t="n"/>
      <c r="D315" s="127" t="n"/>
      <c r="E315" s="127" t="n"/>
      <c r="F315" s="127" t="n"/>
    </row>
    <row r="316">
      <c r="A316" s="147" t="n"/>
      <c r="B316" s="127" t="n"/>
      <c r="C316" s="127" t="n"/>
      <c r="D316" s="127" t="n"/>
      <c r="E316" s="127" t="n"/>
      <c r="F316" s="127" t="n"/>
    </row>
    <row r="317">
      <c r="A317" s="147" t="n"/>
      <c r="B317" s="127" t="n"/>
      <c r="C317" s="127" t="n"/>
      <c r="D317" s="127" t="n"/>
      <c r="E317" s="127" t="n"/>
      <c r="F317" s="127" t="n"/>
    </row>
    <row r="318">
      <c r="A318" s="147" t="n"/>
      <c r="B318" s="127" t="n"/>
      <c r="C318" s="127" t="n"/>
      <c r="D318" s="127" t="n"/>
      <c r="E318" s="127" t="n"/>
      <c r="F318" s="127" t="n"/>
    </row>
    <row r="319">
      <c r="A319" s="147" t="n"/>
      <c r="B319" s="127" t="n"/>
      <c r="C319" s="127" t="n"/>
      <c r="D319" s="127" t="n"/>
      <c r="E319" s="127" t="n"/>
      <c r="F319" s="127" t="n"/>
    </row>
    <row r="320">
      <c r="A320" s="147" t="n"/>
      <c r="B320" s="127" t="n"/>
      <c r="C320" s="127" t="n"/>
      <c r="D320" s="127" t="n"/>
      <c r="E320" s="127" t="n"/>
      <c r="F320" s="127" t="n"/>
    </row>
    <row r="321">
      <c r="A321" s="147" t="n"/>
      <c r="B321" s="127" t="n"/>
      <c r="C321" s="127" t="n"/>
      <c r="D321" s="127" t="n"/>
      <c r="E321" s="127" t="n"/>
      <c r="F321" s="127" t="n"/>
    </row>
    <row r="322">
      <c r="A322" s="147" t="n"/>
      <c r="B322" s="127" t="n"/>
      <c r="C322" s="127" t="n"/>
      <c r="D322" s="127" t="n"/>
      <c r="E322" s="127" t="n"/>
      <c r="F322" s="127" t="n"/>
    </row>
    <row r="323">
      <c r="A323" s="147" t="n"/>
      <c r="B323" s="127" t="n"/>
      <c r="C323" s="127" t="n"/>
      <c r="D323" s="127" t="n"/>
      <c r="E323" s="127" t="n"/>
      <c r="F323" s="127" t="n"/>
    </row>
    <row r="324">
      <c r="A324" s="147" t="n"/>
      <c r="B324" s="127" t="n"/>
      <c r="C324" s="127" t="n"/>
      <c r="D324" s="127" t="n"/>
      <c r="E324" s="127" t="n"/>
      <c r="F324" s="127" t="n"/>
    </row>
    <row r="325">
      <c r="A325" s="147" t="n"/>
      <c r="B325" s="127" t="n"/>
      <c r="C325" s="127" t="n"/>
      <c r="D325" s="127" t="n"/>
      <c r="E325" s="127" t="n"/>
      <c r="F325" s="127" t="n"/>
    </row>
    <row r="326">
      <c r="A326" s="147" t="n"/>
      <c r="B326" s="127" t="n"/>
      <c r="C326" s="127" t="n"/>
      <c r="D326" s="127" t="n"/>
      <c r="E326" s="127" t="n"/>
      <c r="F326" s="127" t="n"/>
    </row>
    <row r="327">
      <c r="A327" s="147" t="n"/>
      <c r="B327" s="127" t="n"/>
      <c r="C327" s="127" t="n"/>
      <c r="D327" s="127" t="n"/>
      <c r="E327" s="127" t="n"/>
      <c r="F327" s="127" t="n"/>
    </row>
    <row r="328">
      <c r="A328" s="147" t="n"/>
      <c r="B328" s="127" t="n"/>
      <c r="C328" s="127" t="n"/>
      <c r="D328" s="127" t="n"/>
      <c r="E328" s="127" t="n"/>
      <c r="F328" s="127" t="n"/>
    </row>
    <row r="329">
      <c r="A329" s="147" t="n"/>
      <c r="B329" s="127" t="n"/>
      <c r="C329" s="127" t="n"/>
      <c r="D329" s="127" t="n"/>
      <c r="E329" s="127" t="n"/>
      <c r="F329" s="127" t="n"/>
    </row>
    <row r="330">
      <c r="A330" s="147" t="n"/>
      <c r="B330" s="127" t="n"/>
      <c r="C330" s="127" t="n"/>
      <c r="D330" s="127" t="n"/>
      <c r="E330" s="127" t="n"/>
      <c r="F330" s="127" t="n"/>
    </row>
    <row r="331">
      <c r="A331" s="147" t="n"/>
      <c r="B331" s="127" t="n"/>
      <c r="C331" s="127" t="n"/>
      <c r="D331" s="127" t="n"/>
      <c r="E331" s="127" t="n"/>
      <c r="F331" s="127" t="n"/>
    </row>
    <row r="332">
      <c r="A332" s="147" t="n"/>
      <c r="B332" s="127" t="n"/>
      <c r="C332" s="127" t="n"/>
      <c r="D332" s="127" t="n"/>
      <c r="E332" s="127" t="n"/>
      <c r="F332" s="127" t="n"/>
    </row>
    <row r="333">
      <c r="A333" s="147" t="n"/>
      <c r="B333" s="127" t="n"/>
      <c r="C333" s="127" t="n"/>
      <c r="D333" s="127" t="n"/>
      <c r="E333" s="127" t="n"/>
      <c r="F333" s="127" t="n"/>
    </row>
    <row r="334">
      <c r="A334" s="147" t="n"/>
      <c r="B334" s="127" t="n"/>
      <c r="C334" s="127" t="n"/>
      <c r="D334" s="127" t="n"/>
      <c r="E334" s="127" t="n"/>
      <c r="F334" s="127" t="n"/>
    </row>
    <row r="335">
      <c r="A335" s="147" t="n"/>
      <c r="B335" s="127" t="n"/>
      <c r="C335" s="127" t="n"/>
      <c r="D335" s="127" t="n"/>
      <c r="E335" s="127" t="n"/>
      <c r="F335" s="127" t="n"/>
    </row>
    <row r="336">
      <c r="A336" s="147" t="n"/>
      <c r="B336" s="127" t="n"/>
      <c r="C336" s="127" t="n"/>
      <c r="D336" s="127" t="n"/>
      <c r="E336" s="127" t="n"/>
      <c r="F336" s="127" t="n"/>
    </row>
    <row r="337">
      <c r="A337" s="147" t="n"/>
      <c r="B337" s="127" t="n"/>
      <c r="C337" s="127" t="n"/>
      <c r="D337" s="127" t="n"/>
      <c r="E337" s="127" t="n"/>
      <c r="F337" s="127" t="n"/>
    </row>
    <row r="338">
      <c r="A338" s="147" t="n"/>
      <c r="B338" s="127" t="n"/>
      <c r="C338" s="127" t="n"/>
      <c r="D338" s="127" t="n"/>
      <c r="E338" s="127" t="n"/>
      <c r="F338" s="127" t="n"/>
    </row>
    <row r="339">
      <c r="A339" s="147" t="n"/>
      <c r="B339" s="127" t="n"/>
      <c r="C339" s="127" t="n"/>
      <c r="D339" s="127" t="n"/>
      <c r="E339" s="127" t="n"/>
      <c r="F339" s="127" t="n"/>
    </row>
    <row r="340">
      <c r="A340" s="147" t="n"/>
      <c r="B340" s="127" t="n"/>
      <c r="C340" s="127" t="n"/>
      <c r="D340" s="127" t="n"/>
      <c r="E340" s="127" t="n"/>
      <c r="F340" s="127" t="n"/>
    </row>
    <row r="341">
      <c r="A341" s="147" t="n"/>
      <c r="B341" s="127" t="n"/>
      <c r="C341" s="127" t="n"/>
      <c r="D341" s="127" t="n"/>
      <c r="E341" s="127" t="n"/>
      <c r="F341" s="127" t="n"/>
    </row>
    <row r="342">
      <c r="A342" s="147" t="n"/>
      <c r="B342" s="127" t="n"/>
      <c r="C342" s="127" t="n"/>
      <c r="D342" s="127" t="n"/>
      <c r="E342" s="127" t="n"/>
      <c r="F342" s="127" t="n"/>
    </row>
    <row r="343">
      <c r="A343" s="147" t="n"/>
      <c r="B343" s="127" t="n"/>
      <c r="C343" s="127" t="n"/>
      <c r="D343" s="127" t="n"/>
      <c r="E343" s="127" t="n"/>
      <c r="F343" s="127" t="n"/>
    </row>
    <row r="344">
      <c r="A344" s="147" t="n"/>
      <c r="B344" s="127" t="n"/>
      <c r="C344" s="127" t="n"/>
      <c r="D344" s="127" t="n"/>
      <c r="E344" s="127" t="n"/>
      <c r="F344" s="127" t="n"/>
    </row>
    <row r="345">
      <c r="A345" s="147" t="n"/>
      <c r="B345" s="127" t="n"/>
      <c r="C345" s="127" t="n"/>
      <c r="D345" s="127" t="n"/>
      <c r="E345" s="127" t="n"/>
      <c r="F345" s="127" t="n"/>
    </row>
    <row r="346">
      <c r="A346" s="147" t="n"/>
      <c r="B346" s="127" t="n"/>
      <c r="C346" s="127" t="n"/>
      <c r="D346" s="127" t="n"/>
      <c r="E346" s="127" t="n"/>
      <c r="F346" s="127" t="n"/>
    </row>
    <row r="347">
      <c r="A347" s="147" t="n"/>
      <c r="B347" s="127" t="n"/>
      <c r="C347" s="127" t="n"/>
      <c r="D347" s="127" t="n"/>
      <c r="E347" s="127" t="n"/>
      <c r="F347" s="127" t="n"/>
    </row>
    <row r="348">
      <c r="A348" s="147" t="n"/>
      <c r="B348" s="127" t="n"/>
      <c r="C348" s="127" t="n"/>
      <c r="D348" s="127" t="n"/>
      <c r="E348" s="127" t="n"/>
      <c r="F348" s="127" t="n"/>
    </row>
    <row r="349">
      <c r="A349" s="147" t="n"/>
      <c r="B349" s="127" t="n"/>
      <c r="C349" s="127" t="n"/>
      <c r="D349" s="127" t="n"/>
      <c r="E349" s="127" t="n"/>
      <c r="F349" s="127" t="n"/>
    </row>
    <row r="350">
      <c r="A350" s="147" t="n"/>
      <c r="B350" s="127" t="n"/>
      <c r="C350" s="127" t="n"/>
      <c r="D350" s="127" t="n"/>
      <c r="E350" s="127" t="n"/>
      <c r="F350" s="127" t="n"/>
    </row>
    <row r="351">
      <c r="A351" s="147" t="n"/>
      <c r="B351" s="127" t="n"/>
      <c r="C351" s="127" t="n"/>
      <c r="D351" s="127" t="n"/>
      <c r="E351" s="127" t="n"/>
      <c r="F351" s="127" t="n"/>
    </row>
    <row r="352">
      <c r="A352" s="147" t="n"/>
      <c r="B352" s="127" t="n"/>
      <c r="C352" s="127" t="n"/>
      <c r="D352" s="127" t="n"/>
      <c r="E352" s="127" t="n"/>
      <c r="F352" s="127" t="n"/>
    </row>
    <row r="353">
      <c r="A353" s="147" t="n"/>
      <c r="B353" s="127" t="n"/>
      <c r="C353" s="127" t="n"/>
      <c r="D353" s="127" t="n"/>
      <c r="E353" s="127" t="n"/>
      <c r="F353" s="127" t="n"/>
    </row>
    <row r="354">
      <c r="A354" s="147" t="n"/>
      <c r="B354" s="127" t="n"/>
      <c r="C354" s="127" t="n"/>
      <c r="D354" s="127" t="n"/>
      <c r="E354" s="127" t="n"/>
      <c r="F354" s="127" t="n"/>
    </row>
    <row r="355">
      <c r="A355" s="147" t="n"/>
      <c r="B355" s="127" t="n"/>
      <c r="C355" s="127" t="n"/>
      <c r="D355" s="127" t="n"/>
      <c r="E355" s="127" t="n"/>
      <c r="F355" s="127" t="n"/>
    </row>
    <row r="356">
      <c r="A356" s="147" t="n"/>
      <c r="B356" s="127" t="n"/>
      <c r="C356" s="127" t="n"/>
      <c r="D356" s="127" t="n"/>
      <c r="E356" s="127" t="n"/>
      <c r="F356" s="127" t="n"/>
    </row>
    <row r="357">
      <c r="A357" s="147" t="n"/>
      <c r="B357" s="127" t="n"/>
      <c r="C357" s="127" t="n"/>
      <c r="D357" s="127" t="n"/>
      <c r="E357" s="127" t="n"/>
      <c r="F357" s="127" t="n"/>
    </row>
    <row r="358">
      <c r="A358" s="147" t="n"/>
      <c r="B358" s="127" t="n"/>
      <c r="C358" s="127" t="n"/>
      <c r="D358" s="127" t="n"/>
      <c r="E358" s="127" t="n"/>
      <c r="F358" s="127" t="n"/>
    </row>
    <row r="359">
      <c r="A359" s="147" t="n"/>
      <c r="B359" s="127" t="n"/>
      <c r="C359" s="127" t="n"/>
      <c r="D359" s="127" t="n"/>
      <c r="E359" s="127" t="n"/>
      <c r="F359" s="127" t="n"/>
    </row>
    <row r="360">
      <c r="A360" s="147" t="n"/>
      <c r="B360" s="127" t="n"/>
      <c r="C360" s="127" t="n"/>
      <c r="D360" s="127" t="n"/>
      <c r="E360" s="127" t="n"/>
      <c r="F360" s="127" t="n"/>
    </row>
    <row r="361">
      <c r="A361" s="147" t="n"/>
      <c r="B361" s="127" t="n"/>
      <c r="C361" s="127" t="n"/>
      <c r="D361" s="127" t="n"/>
      <c r="E361" s="127" t="n"/>
      <c r="F361" s="127" t="n"/>
    </row>
    <row r="362">
      <c r="A362" s="147" t="n"/>
      <c r="B362" s="127" t="n"/>
      <c r="C362" s="127" t="n"/>
      <c r="D362" s="127" t="n"/>
      <c r="E362" s="127" t="n"/>
      <c r="F362" s="127" t="n"/>
    </row>
    <row r="363">
      <c r="A363" s="147" t="n"/>
      <c r="B363" s="127" t="n"/>
      <c r="C363" s="127" t="n"/>
      <c r="D363" s="127" t="n"/>
      <c r="E363" s="127" t="n"/>
      <c r="F363" s="127" t="n"/>
    </row>
    <row r="364">
      <c r="A364" s="147" t="n"/>
      <c r="B364" s="127" t="n"/>
      <c r="C364" s="127" t="n"/>
      <c r="D364" s="127" t="n"/>
      <c r="E364" s="127" t="n"/>
      <c r="F364" s="127" t="n"/>
    </row>
    <row r="365">
      <c r="A365" s="147" t="n"/>
      <c r="B365" s="127" t="n"/>
      <c r="C365" s="127" t="n"/>
      <c r="D365" s="127" t="n"/>
      <c r="E365" s="127" t="n"/>
      <c r="F365" s="127" t="n"/>
    </row>
    <row r="366">
      <c r="A366" s="147" t="n"/>
      <c r="B366" s="127" t="n"/>
      <c r="C366" s="127" t="n"/>
      <c r="D366" s="127" t="n"/>
      <c r="E366" s="127" t="n"/>
      <c r="F366" s="127" t="n"/>
    </row>
    <row r="367">
      <c r="A367" s="147" t="n"/>
      <c r="B367" s="127" t="n"/>
      <c r="C367" s="127" t="n"/>
      <c r="D367" s="127" t="n"/>
      <c r="E367" s="127" t="n"/>
      <c r="F367" s="127" t="n"/>
    </row>
    <row r="368">
      <c r="A368" s="147" t="n"/>
      <c r="B368" s="127" t="n"/>
      <c r="C368" s="127" t="n"/>
      <c r="D368" s="127" t="n"/>
      <c r="E368" s="127" t="n"/>
      <c r="F368" s="127" t="n"/>
    </row>
    <row r="369">
      <c r="A369" s="147" t="n"/>
      <c r="B369" s="127" t="n"/>
      <c r="C369" s="127" t="n"/>
      <c r="D369" s="127" t="n"/>
      <c r="E369" s="127" t="n"/>
      <c r="F369" s="127" t="n"/>
    </row>
    <row r="370">
      <c r="A370" s="147" t="n"/>
      <c r="B370" s="127" t="n"/>
      <c r="C370" s="127" t="n"/>
      <c r="D370" s="127" t="n"/>
      <c r="E370" s="127" t="n"/>
      <c r="F370" s="127" t="n"/>
    </row>
    <row r="371">
      <c r="A371" s="147" t="n"/>
      <c r="B371" s="127" t="n"/>
      <c r="C371" s="127" t="n"/>
      <c r="D371" s="127" t="n"/>
      <c r="E371" s="127" t="n"/>
      <c r="F371" s="127" t="n"/>
    </row>
    <row r="372">
      <c r="A372" s="147" t="n"/>
      <c r="B372" s="127" t="n"/>
      <c r="C372" s="127" t="n"/>
      <c r="D372" s="127" t="n"/>
      <c r="E372" s="127" t="n"/>
      <c r="F372" s="127" t="n"/>
    </row>
    <row r="373">
      <c r="A373" s="147" t="n"/>
      <c r="B373" s="127" t="n"/>
      <c r="C373" s="127" t="n"/>
      <c r="D373" s="127" t="n"/>
      <c r="E373" s="127" t="n"/>
      <c r="F373" s="127" t="n"/>
    </row>
    <row r="374">
      <c r="A374" s="147" t="n"/>
      <c r="B374" s="127" t="n"/>
      <c r="C374" s="127" t="n"/>
      <c r="D374" s="127" t="n"/>
      <c r="E374" s="127" t="n"/>
      <c r="F374" s="127" t="n"/>
    </row>
    <row r="375">
      <c r="A375" s="147" t="n"/>
      <c r="B375" s="127" t="n"/>
      <c r="C375" s="127" t="n"/>
      <c r="D375" s="127" t="n"/>
      <c r="E375" s="127" t="n"/>
      <c r="F375" s="127" t="n"/>
    </row>
    <row r="376">
      <c r="A376" s="147" t="n"/>
      <c r="B376" s="127" t="n"/>
      <c r="C376" s="127" t="n"/>
      <c r="D376" s="127" t="n"/>
      <c r="E376" s="127" t="n"/>
      <c r="F376" s="127" t="n"/>
    </row>
    <row r="377">
      <c r="A377" s="147" t="n"/>
      <c r="B377" s="127" t="n"/>
      <c r="C377" s="127" t="n"/>
      <c r="D377" s="127" t="n"/>
      <c r="E377" s="127" t="n"/>
      <c r="F377" s="127" t="n"/>
    </row>
    <row r="378">
      <c r="A378" s="147" t="n"/>
      <c r="B378" s="127" t="n"/>
      <c r="C378" s="127" t="n"/>
      <c r="D378" s="127" t="n"/>
      <c r="E378" s="127" t="n"/>
      <c r="F378" s="127" t="n"/>
    </row>
    <row r="379">
      <c r="A379" s="147" t="n"/>
      <c r="B379" s="127" t="n"/>
      <c r="C379" s="127" t="n"/>
      <c r="D379" s="127" t="n"/>
      <c r="E379" s="127" t="n"/>
      <c r="F379" s="127" t="n"/>
    </row>
    <row r="380">
      <c r="A380" s="147" t="n"/>
      <c r="B380" s="127" t="n"/>
      <c r="C380" s="127" t="n"/>
      <c r="D380" s="127" t="n"/>
      <c r="E380" s="127" t="n"/>
      <c r="F380" s="127" t="n"/>
    </row>
    <row r="381">
      <c r="A381" s="147" t="n"/>
      <c r="B381" s="127" t="n"/>
      <c r="C381" s="127" t="n"/>
      <c r="D381" s="127" t="n"/>
      <c r="E381" s="127" t="n"/>
      <c r="F381" s="127" t="n"/>
    </row>
    <row r="382">
      <c r="A382" s="147" t="n"/>
      <c r="B382" s="127" t="n"/>
      <c r="C382" s="127" t="n"/>
      <c r="D382" s="127" t="n"/>
      <c r="E382" s="127" t="n"/>
      <c r="F382" s="127" t="n"/>
    </row>
    <row r="383">
      <c r="A383" s="147" t="n"/>
      <c r="B383" s="127" t="n"/>
      <c r="C383" s="127" t="n"/>
      <c r="D383" s="127" t="n"/>
      <c r="E383" s="127" t="n"/>
      <c r="F383" s="127" t="n"/>
    </row>
    <row r="384">
      <c r="A384" s="147" t="n"/>
      <c r="B384" s="127" t="n"/>
      <c r="C384" s="127" t="n"/>
      <c r="D384" s="127" t="n"/>
      <c r="E384" s="127" t="n"/>
      <c r="F384" s="127" t="n"/>
    </row>
    <row r="385">
      <c r="A385" s="147" t="n"/>
      <c r="B385" s="127" t="n"/>
      <c r="C385" s="127" t="n"/>
      <c r="D385" s="127" t="n"/>
      <c r="E385" s="127" t="n"/>
      <c r="F385" s="127" t="n"/>
    </row>
    <row r="386">
      <c r="A386" s="147" t="n"/>
      <c r="B386" s="127" t="n"/>
      <c r="C386" s="127" t="n"/>
      <c r="D386" s="127" t="n"/>
      <c r="E386" s="127" t="n"/>
      <c r="F386" s="127" t="n"/>
    </row>
    <row r="387">
      <c r="A387" s="147" t="n"/>
      <c r="B387" s="127" t="n"/>
      <c r="C387" s="127" t="n"/>
      <c r="D387" s="127" t="n"/>
      <c r="E387" s="127" t="n"/>
      <c r="F387" s="127" t="n"/>
    </row>
    <row r="388">
      <c r="A388" s="147" t="n"/>
      <c r="B388" s="127" t="n"/>
      <c r="C388" s="127" t="n"/>
      <c r="D388" s="127" t="n"/>
      <c r="E388" s="127" t="n"/>
      <c r="F388" s="127" t="n"/>
    </row>
    <row r="389">
      <c r="A389" s="147" t="n"/>
      <c r="B389" s="127" t="n"/>
      <c r="C389" s="127" t="n"/>
      <c r="D389" s="127" t="n"/>
      <c r="E389" s="127" t="n"/>
      <c r="F389" s="127" t="n"/>
    </row>
    <row r="390">
      <c r="A390" s="147" t="n"/>
      <c r="B390" s="127" t="n"/>
      <c r="C390" s="127" t="n"/>
      <c r="D390" s="127" t="n"/>
      <c r="E390" s="127" t="n"/>
      <c r="F390" s="127" t="n"/>
    </row>
    <row r="391">
      <c r="A391" s="147" t="n"/>
      <c r="B391" s="127" t="n"/>
      <c r="C391" s="127" t="n"/>
      <c r="D391" s="127" t="n"/>
      <c r="E391" s="127" t="n"/>
      <c r="F391" s="127" t="n"/>
    </row>
    <row r="392">
      <c r="A392" s="147" t="n"/>
      <c r="B392" s="127" t="n"/>
      <c r="C392" s="127" t="n"/>
      <c r="D392" s="127" t="n"/>
      <c r="E392" s="127" t="n"/>
      <c r="F392" s="127" t="n"/>
    </row>
    <row r="393">
      <c r="A393" s="147" t="n"/>
      <c r="B393" s="127" t="n"/>
      <c r="C393" s="127" t="n"/>
      <c r="D393" s="127" t="n"/>
      <c r="E393" s="127" t="n"/>
      <c r="F393" s="127" t="n"/>
    </row>
    <row r="394">
      <c r="A394" s="147" t="n"/>
      <c r="B394" s="127" t="n"/>
      <c r="C394" s="127" t="n"/>
      <c r="D394" s="127" t="n"/>
      <c r="E394" s="127" t="n"/>
      <c r="F394" s="127" t="n"/>
    </row>
    <row r="395">
      <c r="A395" s="147" t="n"/>
      <c r="B395" s="127" t="n"/>
      <c r="C395" s="127" t="n"/>
      <c r="D395" s="127" t="n"/>
      <c r="E395" s="127" t="n"/>
      <c r="F395" s="127" t="n"/>
    </row>
    <row r="396">
      <c r="A396" s="147" t="n"/>
      <c r="B396" s="127" t="n"/>
      <c r="C396" s="127" t="n"/>
      <c r="D396" s="127" t="n"/>
      <c r="E396" s="127" t="n"/>
      <c r="F396" s="127" t="n"/>
    </row>
    <row r="397">
      <c r="A397" s="147" t="n"/>
      <c r="B397" s="127" t="n"/>
      <c r="C397" s="127" t="n"/>
      <c r="D397" s="127" t="n"/>
      <c r="E397" s="127" t="n"/>
      <c r="F397" s="127" t="n"/>
    </row>
    <row r="398">
      <c r="A398" s="147" t="n"/>
      <c r="B398" s="127" t="n"/>
      <c r="C398" s="127" t="n"/>
      <c r="D398" s="127" t="n"/>
      <c r="E398" s="127" t="n"/>
      <c r="F398" s="127" t="n"/>
    </row>
    <row r="399">
      <c r="A399" s="147" t="n"/>
      <c r="B399" s="127" t="n"/>
      <c r="C399" s="127" t="n"/>
      <c r="D399" s="127" t="n"/>
      <c r="E399" s="127" t="n"/>
      <c r="F399" s="127" t="n"/>
    </row>
    <row r="400">
      <c r="A400" s="147" t="n"/>
      <c r="B400" s="127" t="n"/>
      <c r="C400" s="127" t="n"/>
      <c r="D400" s="127" t="n"/>
      <c r="E400" s="127" t="n"/>
      <c r="F400" s="127" t="n"/>
    </row>
    <row r="401">
      <c r="A401" s="147" t="n"/>
      <c r="B401" s="127" t="n"/>
      <c r="C401" s="127" t="n"/>
      <c r="D401" s="127" t="n"/>
      <c r="E401" s="127" t="n"/>
      <c r="F401" s="127" t="n"/>
    </row>
    <row r="402">
      <c r="A402" s="147" t="n"/>
      <c r="B402" s="127" t="n"/>
      <c r="C402" s="127" t="n"/>
      <c r="D402" s="127" t="n"/>
      <c r="E402" s="127" t="n"/>
      <c r="F402" s="127" t="n"/>
    </row>
    <row r="403">
      <c r="A403" s="147" t="n"/>
      <c r="B403" s="127" t="n"/>
      <c r="C403" s="127" t="n"/>
      <c r="D403" s="127" t="n"/>
      <c r="E403" s="127" t="n"/>
      <c r="F403" s="127" t="n"/>
    </row>
    <row r="404">
      <c r="A404" s="147" t="n"/>
      <c r="B404" s="127" t="n"/>
      <c r="C404" s="127" t="n"/>
      <c r="D404" s="127" t="n"/>
      <c r="E404" s="127" t="n"/>
      <c r="F404" s="127" t="n"/>
    </row>
    <row r="405">
      <c r="A405" s="147" t="n"/>
      <c r="B405" s="127" t="n"/>
      <c r="C405" s="127" t="n"/>
      <c r="D405" s="127" t="n"/>
      <c r="E405" s="127" t="n"/>
      <c r="F405" s="127" t="n"/>
    </row>
    <row r="406">
      <c r="A406" s="147" t="n"/>
      <c r="B406" s="127" t="n"/>
      <c r="C406" s="127" t="n"/>
      <c r="D406" s="127" t="n"/>
      <c r="E406" s="127" t="n"/>
      <c r="F406" s="127" t="n"/>
    </row>
    <row r="407">
      <c r="A407" s="147" t="n"/>
      <c r="B407" s="127" t="n"/>
      <c r="C407" s="127" t="n"/>
      <c r="D407" s="127" t="n"/>
      <c r="E407" s="127" t="n"/>
      <c r="F407" s="127" t="n"/>
    </row>
    <row r="408">
      <c r="A408" s="147" t="n"/>
      <c r="B408" s="127" t="n"/>
      <c r="C408" s="127" t="n"/>
      <c r="D408" s="127" t="n"/>
      <c r="E408" s="127" t="n"/>
      <c r="F408" s="127" t="n"/>
    </row>
    <row r="409">
      <c r="A409" s="147" t="n"/>
      <c r="B409" s="127" t="n"/>
      <c r="C409" s="127" t="n"/>
      <c r="D409" s="127" t="n"/>
      <c r="E409" s="127" t="n"/>
      <c r="F409" s="127" t="n"/>
    </row>
    <row r="410">
      <c r="A410" s="147" t="n"/>
      <c r="B410" s="127" t="n"/>
      <c r="C410" s="127" t="n"/>
      <c r="D410" s="127" t="n"/>
      <c r="E410" s="127" t="n"/>
      <c r="F410" s="127" t="n"/>
    </row>
    <row r="411">
      <c r="A411" s="147" t="n"/>
      <c r="B411" s="127" t="n"/>
      <c r="C411" s="127" t="n"/>
      <c r="D411" s="127" t="n"/>
      <c r="E411" s="127" t="n"/>
      <c r="F411" s="127" t="n"/>
    </row>
    <row r="412">
      <c r="A412" s="147" t="n"/>
      <c r="B412" s="127" t="n"/>
      <c r="C412" s="127" t="n"/>
      <c r="D412" s="127" t="n"/>
      <c r="E412" s="127" t="n"/>
      <c r="F412" s="127" t="n"/>
    </row>
    <row r="413">
      <c r="A413" s="147" t="n"/>
      <c r="B413" s="127" t="n"/>
      <c r="C413" s="127" t="n"/>
      <c r="D413" s="127" t="n"/>
      <c r="E413" s="127" t="n"/>
      <c r="F413" s="127" t="n"/>
    </row>
    <row r="414">
      <c r="A414" s="147" t="n"/>
      <c r="B414" s="127" t="n"/>
      <c r="C414" s="127" t="n"/>
      <c r="D414" s="127" t="n"/>
      <c r="E414" s="127" t="n"/>
      <c r="F414" s="127" t="n"/>
    </row>
    <row r="415">
      <c r="A415" s="147" t="n"/>
      <c r="B415" s="127" t="n"/>
      <c r="C415" s="127" t="n"/>
      <c r="D415" s="127" t="n"/>
      <c r="E415" s="127" t="n"/>
      <c r="F415" s="127" t="n"/>
    </row>
    <row r="416">
      <c r="A416" s="147" t="n"/>
      <c r="B416" s="127" t="n"/>
      <c r="C416" s="127" t="n"/>
      <c r="D416" s="127" t="n"/>
      <c r="E416" s="127" t="n"/>
      <c r="F416" s="127" t="n"/>
    </row>
    <row r="417">
      <c r="A417" s="147" t="n"/>
      <c r="B417" s="127" t="n"/>
      <c r="C417" s="127" t="n"/>
      <c r="D417" s="127" t="n"/>
      <c r="E417" s="127" t="n"/>
      <c r="F417" s="127" t="n"/>
    </row>
    <row r="418">
      <c r="A418" s="147" t="n"/>
      <c r="B418" s="127" t="n"/>
      <c r="C418" s="127" t="n"/>
      <c r="D418" s="127" t="n"/>
      <c r="E418" s="127" t="n"/>
      <c r="F418" s="127" t="n"/>
    </row>
    <row r="419">
      <c r="A419" s="147" t="n"/>
      <c r="B419" s="127" t="n"/>
      <c r="C419" s="127" t="n"/>
      <c r="D419" s="127" t="n"/>
      <c r="E419" s="127" t="n"/>
      <c r="F419" s="127" t="n"/>
    </row>
    <row r="420">
      <c r="A420" s="147" t="n"/>
      <c r="B420" s="127" t="n"/>
      <c r="C420" s="127" t="n"/>
      <c r="D420" s="127" t="n"/>
      <c r="E420" s="127" t="n"/>
      <c r="F420" s="127" t="n"/>
    </row>
    <row r="421">
      <c r="A421" s="147" t="n"/>
      <c r="B421" s="127" t="n"/>
      <c r="C421" s="127" t="n"/>
      <c r="D421" s="127" t="n"/>
      <c r="E421" s="127" t="n"/>
      <c r="F421" s="127" t="n"/>
    </row>
    <row r="422">
      <c r="A422" s="147" t="n"/>
      <c r="B422" s="127" t="n"/>
      <c r="C422" s="127" t="n"/>
      <c r="D422" s="127" t="n"/>
      <c r="E422" s="127" t="n"/>
      <c r="F422" s="127" t="n"/>
    </row>
    <row r="423">
      <c r="A423" s="147" t="n"/>
      <c r="B423" s="127" t="n"/>
      <c r="C423" s="127" t="n"/>
      <c r="D423" s="127" t="n"/>
      <c r="E423" s="127" t="n"/>
      <c r="F423" s="127" t="n"/>
    </row>
    <row r="424">
      <c r="A424" s="147" t="n"/>
      <c r="B424" s="127" t="n"/>
      <c r="C424" s="127" t="n"/>
      <c r="D424" s="127" t="n"/>
      <c r="E424" s="127" t="n"/>
      <c r="F424" s="127" t="n"/>
    </row>
    <row r="425">
      <c r="A425" s="147" t="n"/>
      <c r="B425" s="127" t="n"/>
      <c r="C425" s="127" t="n"/>
      <c r="D425" s="127" t="n"/>
      <c r="E425" s="127" t="n"/>
      <c r="F425" s="127" t="n"/>
    </row>
    <row r="426">
      <c r="A426" s="147" t="n"/>
      <c r="B426" s="127" t="n"/>
      <c r="C426" s="127" t="n"/>
      <c r="D426" s="127" t="n"/>
      <c r="E426" s="127" t="n"/>
      <c r="F426" s="127" t="n"/>
    </row>
    <row r="427">
      <c r="A427" s="147" t="n"/>
      <c r="B427" s="127" t="n"/>
      <c r="C427" s="127" t="n"/>
      <c r="D427" s="127" t="n"/>
      <c r="E427" s="127" t="n"/>
      <c r="F427" s="127" t="n"/>
    </row>
    <row r="428">
      <c r="A428" s="147" t="n"/>
      <c r="B428" s="127" t="n"/>
      <c r="C428" s="127" t="n"/>
      <c r="D428" s="127" t="n"/>
      <c r="E428" s="127" t="n"/>
      <c r="F428" s="127" t="n"/>
    </row>
    <row r="429">
      <c r="A429" s="147" t="n"/>
      <c r="B429" s="127" t="n"/>
      <c r="C429" s="127" t="n"/>
      <c r="D429" s="127" t="n"/>
      <c r="E429" s="127" t="n"/>
      <c r="F429" s="127" t="n"/>
    </row>
    <row r="430">
      <c r="A430" s="147" t="n"/>
      <c r="B430" s="127" t="n"/>
      <c r="C430" s="127" t="n"/>
      <c r="D430" s="127" t="n"/>
      <c r="E430" s="127" t="n"/>
      <c r="F430" s="127" t="n"/>
    </row>
    <row r="431">
      <c r="A431" s="147" t="n"/>
      <c r="B431" s="127" t="n"/>
      <c r="C431" s="127" t="n"/>
      <c r="D431" s="127" t="n"/>
      <c r="E431" s="127" t="n"/>
      <c r="F431" s="127" t="n"/>
    </row>
    <row r="432">
      <c r="A432" s="147" t="n"/>
      <c r="B432" s="127" t="n"/>
      <c r="C432" s="127" t="n"/>
      <c r="D432" s="127" t="n"/>
      <c r="E432" s="127" t="n"/>
      <c r="F432" s="127" t="n"/>
    </row>
    <row r="433">
      <c r="A433" s="147" t="n"/>
      <c r="B433" s="127" t="n"/>
      <c r="C433" s="127" t="n"/>
      <c r="D433" s="127" t="n"/>
      <c r="E433" s="127" t="n"/>
      <c r="F433" s="127" t="n"/>
    </row>
    <row r="434">
      <c r="A434" s="147" t="n"/>
      <c r="B434" s="127" t="n"/>
      <c r="C434" s="127" t="n"/>
      <c r="D434" s="127" t="n"/>
      <c r="E434" s="127" t="n"/>
      <c r="F434" s="127" t="n"/>
    </row>
    <row r="435">
      <c r="A435" s="147" t="n"/>
      <c r="B435" s="127" t="n"/>
      <c r="C435" s="127" t="n"/>
      <c r="D435" s="127" t="n"/>
      <c r="E435" s="127" t="n"/>
      <c r="F435" s="127" t="n"/>
    </row>
    <row r="436">
      <c r="A436" s="147" t="n"/>
      <c r="B436" s="127" t="n"/>
      <c r="C436" s="127" t="n"/>
      <c r="D436" s="127" t="n"/>
      <c r="E436" s="127" t="n"/>
      <c r="F436" s="127" t="n"/>
    </row>
    <row r="437">
      <c r="A437" s="147" t="n"/>
      <c r="B437" s="127" t="n"/>
      <c r="C437" s="127" t="n"/>
      <c r="D437" s="127" t="n"/>
      <c r="E437" s="127" t="n"/>
      <c r="F437" s="127" t="n"/>
    </row>
    <row r="438">
      <c r="A438" s="147" t="n"/>
      <c r="B438" s="127" t="n"/>
      <c r="C438" s="127" t="n"/>
      <c r="D438" s="127" t="n"/>
      <c r="E438" s="127" t="n"/>
      <c r="F438" s="127" t="n"/>
    </row>
    <row r="439">
      <c r="A439" s="147" t="n"/>
      <c r="B439" s="127" t="n"/>
      <c r="C439" s="127" t="n"/>
      <c r="D439" s="127" t="n"/>
      <c r="E439" s="127" t="n"/>
      <c r="F439" s="127" t="n"/>
    </row>
    <row r="440">
      <c r="A440" s="147" t="n"/>
      <c r="B440" s="127" t="n"/>
      <c r="C440" s="127" t="n"/>
      <c r="D440" s="127" t="n"/>
      <c r="E440" s="127" t="n"/>
      <c r="F440" s="127" t="n"/>
    </row>
    <row r="441">
      <c r="A441" s="147" t="n"/>
      <c r="B441" s="127" t="n"/>
      <c r="C441" s="127" t="n"/>
      <c r="D441" s="127" t="n"/>
      <c r="E441" s="127" t="n"/>
      <c r="F441" s="127" t="n"/>
    </row>
    <row r="442">
      <c r="A442" s="147" t="n"/>
      <c r="B442" s="127" t="n"/>
      <c r="C442" s="127" t="n"/>
      <c r="D442" s="127" t="n"/>
      <c r="E442" s="127" t="n"/>
      <c r="F442" s="127" t="n"/>
    </row>
    <row r="443">
      <c r="A443" s="147" t="n"/>
      <c r="B443" s="127" t="n"/>
      <c r="C443" s="127" t="n"/>
      <c r="D443" s="127" t="n"/>
      <c r="E443" s="127" t="n"/>
      <c r="F443" s="127" t="n"/>
    </row>
    <row r="444">
      <c r="A444" s="147" t="n"/>
      <c r="B444" s="127" t="n"/>
      <c r="C444" s="127" t="n"/>
      <c r="D444" s="127" t="n"/>
      <c r="E444" s="127" t="n"/>
      <c r="F444" s="127" t="n"/>
    </row>
    <row r="445">
      <c r="A445" s="147" t="n"/>
      <c r="B445" s="127" t="n"/>
      <c r="C445" s="127" t="n"/>
      <c r="D445" s="127" t="n"/>
      <c r="E445" s="127" t="n"/>
      <c r="F445" s="127" t="n"/>
    </row>
    <row r="446">
      <c r="A446" s="147" t="n"/>
      <c r="B446" s="127" t="n"/>
      <c r="C446" s="127" t="n"/>
      <c r="D446" s="127" t="n"/>
      <c r="E446" s="127" t="n"/>
      <c r="F446" s="127" t="n"/>
    </row>
    <row r="447">
      <c r="A447" s="147" t="n"/>
      <c r="B447" s="127" t="n"/>
      <c r="C447" s="127" t="n"/>
      <c r="D447" s="127" t="n"/>
      <c r="E447" s="127" t="n"/>
      <c r="F447" s="127" t="n"/>
    </row>
    <row r="448">
      <c r="A448" s="147" t="n"/>
      <c r="B448" s="127" t="n"/>
      <c r="C448" s="127" t="n"/>
      <c r="D448" s="127" t="n"/>
      <c r="E448" s="127" t="n"/>
      <c r="F448" s="127" t="n"/>
    </row>
    <row r="449">
      <c r="A449" s="147" t="n"/>
      <c r="B449" s="127" t="n"/>
      <c r="C449" s="127" t="n"/>
      <c r="D449" s="127" t="n"/>
      <c r="E449" s="127" t="n"/>
      <c r="F449" s="127" t="n"/>
    </row>
    <row r="450">
      <c r="A450" s="147" t="n"/>
      <c r="B450" s="127" t="n"/>
      <c r="C450" s="127" t="n"/>
      <c r="D450" s="127" t="n"/>
      <c r="E450" s="127" t="n"/>
      <c r="F450" s="127" t="n"/>
    </row>
    <row r="451">
      <c r="A451" s="147" t="n"/>
      <c r="B451" s="127" t="n"/>
      <c r="C451" s="127" t="n"/>
      <c r="D451" s="127" t="n"/>
      <c r="E451" s="127" t="n"/>
      <c r="F451" s="127" t="n"/>
    </row>
    <row r="452">
      <c r="A452" s="147" t="n"/>
      <c r="B452" s="127" t="n"/>
      <c r="C452" s="127" t="n"/>
      <c r="D452" s="127" t="n"/>
      <c r="E452" s="127" t="n"/>
      <c r="F452" s="127" t="n"/>
    </row>
    <row r="453">
      <c r="A453" s="147" t="n"/>
      <c r="B453" s="127" t="n"/>
      <c r="C453" s="127" t="n"/>
      <c r="D453" s="127" t="n"/>
      <c r="E453" s="127" t="n"/>
      <c r="F453" s="127" t="n"/>
    </row>
    <row r="454">
      <c r="A454" s="147" t="n"/>
      <c r="B454" s="127" t="n"/>
      <c r="C454" s="127" t="n"/>
      <c r="D454" s="127" t="n"/>
      <c r="E454" s="127" t="n"/>
      <c r="F454" s="127" t="n"/>
    </row>
    <row r="455">
      <c r="A455" s="147" t="n"/>
      <c r="B455" s="127" t="n"/>
      <c r="C455" s="127" t="n"/>
      <c r="D455" s="127" t="n"/>
      <c r="E455" s="127" t="n"/>
      <c r="F455" s="127" t="n"/>
    </row>
    <row r="456">
      <c r="A456" s="147" t="n"/>
      <c r="B456" s="127" t="n"/>
      <c r="C456" s="127" t="n"/>
      <c r="D456" s="127" t="n"/>
      <c r="E456" s="127" t="n"/>
      <c r="F456" s="127" t="n"/>
    </row>
    <row r="457">
      <c r="A457" s="147" t="n"/>
      <c r="B457" s="127" t="n"/>
      <c r="C457" s="127" t="n"/>
      <c r="D457" s="127" t="n"/>
      <c r="E457" s="127" t="n"/>
      <c r="F457" s="127" t="n"/>
    </row>
    <row r="458">
      <c r="A458" s="147" t="n"/>
      <c r="B458" s="127" t="n"/>
      <c r="C458" s="127" t="n"/>
      <c r="D458" s="127" t="n"/>
      <c r="E458" s="127" t="n"/>
      <c r="F458" s="127" t="n"/>
    </row>
    <row r="459">
      <c r="A459" s="147" t="n"/>
      <c r="B459" s="127" t="n"/>
      <c r="C459" s="127" t="n"/>
      <c r="D459" s="127" t="n"/>
      <c r="E459" s="127" t="n"/>
      <c r="F459" s="127" t="n"/>
    </row>
    <row r="460">
      <c r="A460" s="147" t="n"/>
      <c r="B460" s="127" t="n"/>
      <c r="C460" s="127" t="n"/>
      <c r="D460" s="127" t="n"/>
      <c r="E460" s="127" t="n"/>
      <c r="F460" s="127" t="n"/>
    </row>
    <row r="461">
      <c r="A461" s="147" t="n"/>
      <c r="B461" s="127" t="n"/>
      <c r="C461" s="127" t="n"/>
      <c r="D461" s="127" t="n"/>
      <c r="E461" s="127" t="n"/>
      <c r="F461" s="127" t="n"/>
    </row>
    <row r="462">
      <c r="A462" s="147" t="n"/>
      <c r="B462" s="127" t="n"/>
      <c r="C462" s="127" t="n"/>
      <c r="D462" s="127" t="n"/>
      <c r="E462" s="127" t="n"/>
      <c r="F462" s="127" t="n"/>
    </row>
    <row r="463">
      <c r="A463" s="147" t="n"/>
      <c r="B463" s="127" t="n"/>
      <c r="C463" s="127" t="n"/>
      <c r="D463" s="127" t="n"/>
      <c r="E463" s="127" t="n"/>
      <c r="F463" s="127" t="n"/>
    </row>
    <row r="464">
      <c r="A464" s="147" t="n"/>
      <c r="B464" s="127" t="n"/>
      <c r="C464" s="127" t="n"/>
      <c r="D464" s="127" t="n"/>
      <c r="E464" s="127" t="n"/>
      <c r="F464" s="127" t="n"/>
    </row>
    <row r="465">
      <c r="A465" s="147" t="n"/>
      <c r="B465" s="127" t="n"/>
      <c r="C465" s="127" t="n"/>
      <c r="D465" s="127" t="n"/>
      <c r="E465" s="127" t="n"/>
      <c r="F465" s="127" t="n"/>
    </row>
    <row r="466">
      <c r="A466" s="147" t="n"/>
      <c r="B466" s="127" t="n"/>
      <c r="C466" s="127" t="n"/>
      <c r="D466" s="127" t="n"/>
      <c r="E466" s="127" t="n"/>
      <c r="F466" s="127" t="n"/>
    </row>
    <row r="467">
      <c r="A467" s="147" t="n"/>
      <c r="B467" s="127" t="n"/>
      <c r="C467" s="127" t="n"/>
      <c r="D467" s="127" t="n"/>
      <c r="E467" s="127" t="n"/>
      <c r="F467" s="127" t="n"/>
    </row>
    <row r="468">
      <c r="A468" s="147" t="n"/>
      <c r="B468" s="127" t="n"/>
      <c r="C468" s="127" t="n"/>
      <c r="D468" s="127" t="n"/>
      <c r="E468" s="127" t="n"/>
      <c r="F468" s="127" t="n"/>
    </row>
    <row r="469">
      <c r="A469" s="147" t="n"/>
      <c r="B469" s="127" t="n"/>
      <c r="C469" s="127" t="n"/>
      <c r="D469" s="127" t="n"/>
      <c r="E469" s="127" t="n"/>
      <c r="F469" s="127" t="n"/>
    </row>
    <row r="470">
      <c r="A470" s="147" t="n"/>
      <c r="B470" s="127" t="n"/>
      <c r="C470" s="127" t="n"/>
      <c r="D470" s="127" t="n"/>
      <c r="E470" s="127" t="n"/>
      <c r="F470" s="127" t="n"/>
    </row>
    <row r="471">
      <c r="A471" s="147" t="n"/>
      <c r="B471" s="127" t="n"/>
      <c r="C471" s="127" t="n"/>
      <c r="D471" s="127" t="n"/>
      <c r="E471" s="127" t="n"/>
      <c r="F471" s="127" t="n"/>
    </row>
    <row r="472">
      <c r="A472" s="147" t="n"/>
      <c r="B472" s="127" t="n"/>
      <c r="C472" s="127" t="n"/>
      <c r="D472" s="127" t="n"/>
      <c r="E472" s="127" t="n"/>
      <c r="F472" s="127" t="n"/>
    </row>
    <row r="473">
      <c r="A473" s="147" t="n"/>
      <c r="B473" s="127" t="n"/>
      <c r="C473" s="127" t="n"/>
      <c r="D473" s="127" t="n"/>
      <c r="E473" s="127" t="n"/>
      <c r="F473" s="127" t="n"/>
    </row>
    <row r="474">
      <c r="A474" s="147" t="n"/>
      <c r="B474" s="127" t="n"/>
      <c r="C474" s="127" t="n"/>
      <c r="D474" s="127" t="n"/>
      <c r="E474" s="127" t="n"/>
      <c r="F474" s="127" t="n"/>
    </row>
    <row r="475">
      <c r="A475" s="147" t="n"/>
      <c r="B475" s="127" t="n"/>
      <c r="C475" s="127" t="n"/>
      <c r="D475" s="127" t="n"/>
      <c r="E475" s="127" t="n"/>
      <c r="F475" s="127" t="n"/>
    </row>
    <row r="476">
      <c r="A476" s="147" t="n"/>
      <c r="B476" s="127" t="n"/>
      <c r="C476" s="127" t="n"/>
      <c r="D476" s="127" t="n"/>
      <c r="E476" s="127" t="n"/>
      <c r="F476" s="127" t="n"/>
    </row>
    <row r="477">
      <c r="A477" s="147" t="n"/>
      <c r="B477" s="127" t="n"/>
      <c r="C477" s="127" t="n"/>
      <c r="D477" s="127" t="n"/>
      <c r="E477" s="127" t="n"/>
      <c r="F477" s="127" t="n"/>
    </row>
    <row r="478">
      <c r="A478" s="147" t="n"/>
      <c r="B478" s="127" t="n"/>
      <c r="C478" s="127" t="n"/>
      <c r="D478" s="127" t="n"/>
      <c r="E478" s="127" t="n"/>
      <c r="F478" s="127" t="n"/>
    </row>
    <row r="479">
      <c r="A479" s="147" t="n"/>
      <c r="B479" s="127" t="n"/>
      <c r="C479" s="127" t="n"/>
      <c r="D479" s="127" t="n"/>
      <c r="E479" s="127" t="n"/>
      <c r="F479" s="127" t="n"/>
    </row>
    <row r="480">
      <c r="A480" s="147" t="n"/>
      <c r="B480" s="127" t="n"/>
      <c r="C480" s="127" t="n"/>
      <c r="D480" s="127" t="n"/>
      <c r="E480" s="127" t="n"/>
      <c r="F480" s="127" t="n"/>
    </row>
    <row r="481">
      <c r="A481" s="147" t="n"/>
      <c r="B481" s="127" t="n"/>
      <c r="C481" s="127" t="n"/>
      <c r="D481" s="127" t="n"/>
      <c r="E481" s="127" t="n"/>
      <c r="F481" s="127" t="n"/>
    </row>
    <row r="482">
      <c r="A482" s="147" t="n"/>
      <c r="B482" s="127" t="n"/>
      <c r="C482" s="127" t="n"/>
      <c r="D482" s="127" t="n"/>
      <c r="E482" s="127" t="n"/>
      <c r="F482" s="127" t="n"/>
    </row>
    <row r="483">
      <c r="A483" s="147" t="n"/>
      <c r="B483" s="127" t="n"/>
      <c r="C483" s="127" t="n"/>
      <c r="D483" s="127" t="n"/>
      <c r="E483" s="127" t="n"/>
      <c r="F483" s="127" t="n"/>
    </row>
    <row r="484">
      <c r="A484" s="147" t="n"/>
      <c r="B484" s="127" t="n"/>
      <c r="C484" s="127" t="n"/>
      <c r="D484" s="127" t="n"/>
      <c r="E484" s="127" t="n"/>
      <c r="F484" s="127" t="n"/>
    </row>
    <row r="485">
      <c r="A485" s="147" t="n"/>
      <c r="B485" s="127" t="n"/>
      <c r="C485" s="127" t="n"/>
      <c r="D485" s="127" t="n"/>
      <c r="E485" s="127" t="n"/>
      <c r="F485" s="127" t="n"/>
    </row>
    <row r="486">
      <c r="A486" s="147" t="n"/>
      <c r="B486" s="127" t="n"/>
      <c r="C486" s="127" t="n"/>
      <c r="D486" s="127" t="n"/>
      <c r="E486" s="127" t="n"/>
      <c r="F486" s="127" t="n"/>
    </row>
    <row r="487">
      <c r="A487" s="147" t="n"/>
      <c r="B487" s="127" t="n"/>
      <c r="C487" s="127" t="n"/>
      <c r="D487" s="127" t="n"/>
      <c r="E487" s="127" t="n"/>
      <c r="F487" s="127" t="n"/>
    </row>
    <row r="488">
      <c r="A488" s="147" t="n"/>
      <c r="B488" s="127" t="n"/>
      <c r="C488" s="127" t="n"/>
      <c r="D488" s="127" t="n"/>
      <c r="E488" s="127" t="n"/>
      <c r="F488" s="127" t="n"/>
    </row>
    <row r="489">
      <c r="A489" s="147" t="n"/>
      <c r="B489" s="127" t="n"/>
      <c r="C489" s="127" t="n"/>
      <c r="D489" s="127" t="n"/>
      <c r="E489" s="127" t="n"/>
      <c r="F489" s="127" t="n"/>
    </row>
    <row r="490">
      <c r="A490" s="147" t="n"/>
      <c r="B490" s="127" t="n"/>
      <c r="C490" s="127" t="n"/>
      <c r="D490" s="127" t="n"/>
      <c r="E490" s="127" t="n"/>
      <c r="F490" s="127" t="n"/>
    </row>
    <row r="491">
      <c r="A491" s="147" t="n"/>
      <c r="B491" s="127" t="n"/>
      <c r="C491" s="127" t="n"/>
      <c r="D491" s="127" t="n"/>
      <c r="E491" s="127" t="n"/>
      <c r="F491" s="127" t="n"/>
    </row>
    <row r="492">
      <c r="A492" s="147" t="n"/>
      <c r="B492" s="127" t="n"/>
      <c r="C492" s="127" t="n"/>
      <c r="D492" s="127" t="n"/>
      <c r="E492" s="127" t="n"/>
      <c r="F492" s="127" t="n"/>
    </row>
    <row r="493">
      <c r="A493" s="147" t="n"/>
      <c r="B493" s="127" t="n"/>
      <c r="C493" s="127" t="n"/>
      <c r="D493" s="127" t="n"/>
      <c r="E493" s="127" t="n"/>
      <c r="F493" s="127" t="n"/>
    </row>
    <row r="494">
      <c r="A494" s="147" t="n"/>
      <c r="B494" s="127" t="n"/>
      <c r="C494" s="127" t="n"/>
      <c r="D494" s="127" t="n"/>
      <c r="E494" s="127" t="n"/>
      <c r="F494" s="127" t="n"/>
    </row>
    <row r="495">
      <c r="A495" s="147" t="n"/>
      <c r="B495" s="127" t="n"/>
      <c r="C495" s="127" t="n"/>
      <c r="D495" s="127" t="n"/>
      <c r="E495" s="127" t="n"/>
      <c r="F495" s="127" t="n"/>
    </row>
    <row r="496">
      <c r="A496" s="147" t="n"/>
      <c r="B496" s="127" t="n"/>
      <c r="C496" s="127" t="n"/>
      <c r="D496" s="127" t="n"/>
      <c r="E496" s="127" t="n"/>
      <c r="F496" s="127" t="n"/>
    </row>
    <row r="497">
      <c r="A497" s="147" t="n"/>
      <c r="B497" s="127" t="n"/>
      <c r="C497" s="127" t="n"/>
      <c r="D497" s="127" t="n"/>
      <c r="E497" s="127" t="n"/>
      <c r="F497" s="127" t="n"/>
    </row>
    <row r="498">
      <c r="A498" s="147" t="n"/>
      <c r="B498" s="127" t="n"/>
      <c r="C498" s="127" t="n"/>
      <c r="D498" s="127" t="n"/>
      <c r="E498" s="127" t="n"/>
      <c r="F498" s="127" t="n"/>
    </row>
    <row r="499">
      <c r="A499" s="147" t="n"/>
      <c r="B499" s="127" t="n"/>
      <c r="C499" s="127" t="n"/>
      <c r="D499" s="127" t="n"/>
      <c r="E499" s="127" t="n"/>
      <c r="F499" s="127" t="n"/>
    </row>
    <row r="500">
      <c r="A500" s="147" t="n"/>
      <c r="B500" s="127" t="n"/>
      <c r="C500" s="127" t="n"/>
      <c r="D500" s="127" t="n"/>
      <c r="E500" s="127" t="n"/>
      <c r="F500" s="127" t="n"/>
    </row>
    <row r="501">
      <c r="A501" s="147" t="n"/>
      <c r="B501" s="127" t="n"/>
      <c r="C501" s="127" t="n"/>
      <c r="D501" s="127" t="n"/>
      <c r="E501" s="127" t="n"/>
      <c r="F501" s="127" t="n"/>
    </row>
    <row r="502">
      <c r="A502" s="147" t="n"/>
      <c r="B502" s="127" t="n"/>
      <c r="C502" s="127" t="n"/>
      <c r="D502" s="127" t="n"/>
      <c r="E502" s="127" t="n"/>
      <c r="F502" s="127" t="n"/>
    </row>
    <row r="503">
      <c r="A503" s="147" t="n"/>
      <c r="B503" s="127" t="n"/>
      <c r="C503" s="127" t="n"/>
      <c r="D503" s="127" t="n"/>
      <c r="E503" s="127" t="n"/>
      <c r="F503" s="127" t="n"/>
    </row>
    <row r="504">
      <c r="A504" s="147" t="n"/>
      <c r="B504" s="127" t="n"/>
      <c r="C504" s="127" t="n"/>
      <c r="D504" s="127" t="n"/>
      <c r="E504" s="127" t="n"/>
      <c r="F504" s="127" t="n"/>
    </row>
    <row r="505">
      <c r="A505" s="147" t="n"/>
      <c r="B505" s="127" t="n"/>
      <c r="C505" s="127" t="n"/>
      <c r="D505" s="127" t="n"/>
      <c r="E505" s="127" t="n"/>
      <c r="F505" s="127" t="n"/>
    </row>
    <row r="506">
      <c r="A506" s="147" t="n"/>
      <c r="B506" s="127" t="n"/>
      <c r="C506" s="127" t="n"/>
      <c r="D506" s="127" t="n"/>
      <c r="E506" s="127" t="n"/>
      <c r="F506" s="127" t="n"/>
    </row>
    <row r="507">
      <c r="A507" s="147" t="n"/>
      <c r="B507" s="127" t="n"/>
      <c r="C507" s="127" t="n"/>
      <c r="D507" s="127" t="n"/>
      <c r="E507" s="127" t="n"/>
      <c r="F507" s="127" t="n"/>
    </row>
    <row r="508">
      <c r="A508" s="147" t="n"/>
      <c r="B508" s="127" t="n"/>
      <c r="C508" s="127" t="n"/>
      <c r="D508" s="127" t="n"/>
      <c r="E508" s="127" t="n"/>
      <c r="F508" s="127" t="n"/>
    </row>
    <row r="509">
      <c r="A509" s="147" t="n"/>
      <c r="B509" s="127" t="n"/>
      <c r="C509" s="127" t="n"/>
      <c r="D509" s="127" t="n"/>
      <c r="E509" s="127" t="n"/>
      <c r="F509" s="127" t="n"/>
    </row>
    <row r="510">
      <c r="A510" s="147" t="n"/>
      <c r="B510" s="127" t="n"/>
      <c r="C510" s="127" t="n"/>
      <c r="D510" s="127" t="n"/>
      <c r="E510" s="127" t="n"/>
      <c r="F510" s="127" t="n"/>
    </row>
    <row r="511">
      <c r="A511" s="147" t="n"/>
      <c r="B511" s="127" t="n"/>
      <c r="C511" s="127" t="n"/>
      <c r="D511" s="127" t="n"/>
      <c r="E511" s="127" t="n"/>
      <c r="F511" s="127" t="n"/>
    </row>
    <row r="512">
      <c r="A512" s="147" t="n"/>
      <c r="B512" s="127" t="n"/>
      <c r="C512" s="127" t="n"/>
      <c r="D512" s="127" t="n"/>
      <c r="E512" s="127" t="n"/>
      <c r="F512" s="127" t="n"/>
    </row>
    <row r="513">
      <c r="A513" s="147" t="n"/>
      <c r="B513" s="127" t="n"/>
      <c r="C513" s="127" t="n"/>
      <c r="D513" s="127" t="n"/>
      <c r="E513" s="127" t="n"/>
      <c r="F513" s="127" t="n"/>
    </row>
    <row r="514">
      <c r="A514" s="147" t="n"/>
      <c r="B514" s="127" t="n"/>
      <c r="C514" s="127" t="n"/>
      <c r="D514" s="127" t="n"/>
      <c r="E514" s="127" t="n"/>
      <c r="F514" s="127" t="n"/>
    </row>
    <row r="515">
      <c r="A515" s="147" t="n"/>
      <c r="B515" s="127" t="n"/>
      <c r="C515" s="127" t="n"/>
      <c r="D515" s="127" t="n"/>
      <c r="E515" s="127" t="n"/>
      <c r="F515" s="127" t="n"/>
    </row>
    <row r="516">
      <c r="A516" s="147" t="n"/>
      <c r="B516" s="127" t="n"/>
      <c r="C516" s="127" t="n"/>
      <c r="D516" s="127" t="n"/>
      <c r="E516" s="127" t="n"/>
      <c r="F516" s="127" t="n"/>
    </row>
    <row r="517">
      <c r="A517" s="147" t="n"/>
      <c r="B517" s="127" t="n"/>
      <c r="C517" s="127" t="n"/>
      <c r="D517" s="127" t="n"/>
      <c r="E517" s="127" t="n"/>
      <c r="F517" s="127" t="n"/>
    </row>
    <row r="518">
      <c r="A518" s="147" t="n"/>
      <c r="B518" s="127" t="n"/>
      <c r="C518" s="127" t="n"/>
      <c r="D518" s="127" t="n"/>
      <c r="E518" s="127" t="n"/>
      <c r="F518" s="127" t="n"/>
    </row>
    <row r="519">
      <c r="A519" s="147" t="n"/>
      <c r="B519" s="127" t="n"/>
      <c r="C519" s="127" t="n"/>
      <c r="D519" s="127" t="n"/>
      <c r="E519" s="127" t="n"/>
      <c r="F519" s="127" t="n"/>
    </row>
    <row r="520">
      <c r="A520" s="147" t="n"/>
      <c r="B520" s="127" t="n"/>
      <c r="C520" s="127" t="n"/>
      <c r="D520" s="127" t="n"/>
      <c r="E520" s="127" t="n"/>
      <c r="F520" s="127" t="n"/>
    </row>
    <row r="521">
      <c r="A521" s="147" t="n"/>
      <c r="B521" s="127" t="n"/>
      <c r="C521" s="127" t="n"/>
      <c r="D521" s="127" t="n"/>
      <c r="E521" s="127" t="n"/>
      <c r="F521" s="127" t="n"/>
    </row>
    <row r="522">
      <c r="A522" s="147" t="n"/>
      <c r="B522" s="127" t="n"/>
      <c r="C522" s="127" t="n"/>
      <c r="D522" s="127" t="n"/>
      <c r="E522" s="127" t="n"/>
      <c r="F522" s="127" t="n"/>
    </row>
    <row r="523">
      <c r="A523" s="147" t="n"/>
      <c r="B523" s="127" t="n"/>
      <c r="C523" s="127" t="n"/>
      <c r="D523" s="127" t="n"/>
      <c r="E523" s="127" t="n"/>
      <c r="F523" s="127" t="n"/>
    </row>
    <row r="524">
      <c r="A524" s="147" t="n"/>
      <c r="B524" s="127" t="n"/>
      <c r="C524" s="127" t="n"/>
      <c r="D524" s="127" t="n"/>
      <c r="E524" s="127" t="n"/>
      <c r="F524" s="127" t="n"/>
    </row>
    <row r="525">
      <c r="A525" s="147" t="n"/>
      <c r="B525" s="127" t="n"/>
      <c r="C525" s="127" t="n"/>
      <c r="D525" s="127" t="n"/>
      <c r="E525" s="127" t="n"/>
      <c r="F525" s="127" t="n"/>
    </row>
    <row r="526">
      <c r="A526" s="147" t="n"/>
      <c r="B526" s="127" t="n"/>
      <c r="C526" s="127" t="n"/>
      <c r="D526" s="127" t="n"/>
      <c r="E526" s="127" t="n"/>
      <c r="F526" s="127" t="n"/>
    </row>
    <row r="527">
      <c r="A527" s="147" t="n"/>
      <c r="B527" s="127" t="n"/>
      <c r="C527" s="127" t="n"/>
      <c r="D527" s="127" t="n"/>
      <c r="E527" s="127" t="n"/>
      <c r="F527" s="127" t="n"/>
    </row>
    <row r="528">
      <c r="A528" s="147" t="n"/>
      <c r="B528" s="127" t="n"/>
      <c r="C528" s="127" t="n"/>
      <c r="D528" s="127" t="n"/>
      <c r="E528" s="127" t="n"/>
      <c r="F528" s="127" t="n"/>
    </row>
    <row r="529">
      <c r="A529" s="147" t="n"/>
      <c r="B529" s="127" t="n"/>
      <c r="C529" s="127" t="n"/>
      <c r="D529" s="127" t="n"/>
      <c r="E529" s="127" t="n"/>
      <c r="F529" s="127" t="n"/>
    </row>
  </sheetData>
  <mergeCells count="5">
    <mergeCell ref="B1:C2"/>
    <mergeCell ref="A21:A28"/>
    <mergeCell ref="B3:C5"/>
    <mergeCell ref="A14:A18"/>
    <mergeCell ref="A1:A5"/>
  </mergeCells>
  <dataValidations count="1">
    <dataValidation sqref="B10:F11" showDropDown="0" showInputMessage="0" showErrorMessage="0" allowBlank="1" type="list">
      <formula1>"In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2026-07-07T12:37:04Z</dcterms:created>
  <dcterms:modified xsi:type="dcterms:W3CDTF">2026-10-15T04:52:08Z</dcterms:modified>
</cp:coreProperties>
</file>