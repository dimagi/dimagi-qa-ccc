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1">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s>
  <fills count="22">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85">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4" customWidth="1" style="148" min="1" max="1"/>
    <col width="20" customWidth="1" style="148" min="2" max="2"/>
    <col width="20" customWidth="1" style="148" min="3" max="3"/>
    <col width="20" customWidth="1" style="148" min="4" max="4"/>
    <col width="20" customWidth="1" style="148" min="5" max="5"/>
    <col width="20" customWidth="1" style="148" min="6" max="6"/>
    <col width="28" customWidth="1" style="148" min="7" max="7"/>
  </cols>
  <sheetData>
    <row r="1">
      <c r="A1" s="172" t="inlineStr">
        <is>
          <t>Dashboard — outputs &amp; coverage (live)</t>
        </is>
      </c>
      <c r="B1" s="171" t="n"/>
      <c r="C1" s="171" t="n"/>
      <c r="D1" s="171" t="n"/>
      <c r="E1" s="171" t="n"/>
      <c r="F1" s="171" t="n"/>
      <c r="G1" s="171" t="n"/>
    </row>
    <row r="2">
      <c r="A2" s="171" t="n"/>
      <c r="B2" s="171" t="n"/>
      <c r="C2" s="171" t="n"/>
      <c r="D2" s="171" t="n"/>
      <c r="E2" s="171" t="n"/>
      <c r="F2" s="171" t="n"/>
      <c r="G2" s="171" t="n"/>
    </row>
    <row r="3">
      <c r="A3" s="182" t="inlineStr">
        <is>
          <t>OUTPUTS (from Gap Analysis)</t>
        </is>
      </c>
      <c r="B3" s="171" t="inlineStr"/>
      <c r="C3" s="171" t="n"/>
      <c r="D3" s="171" t="n"/>
      <c r="E3" s="171" t="n"/>
      <c r="F3" s="171" t="n"/>
      <c r="G3" s="171" t="n"/>
    </row>
    <row r="4">
      <c r="A4" s="171" t="inlineStr">
        <is>
          <t>Output 1: functional gaps to ADD to MTP</t>
        </is>
      </c>
      <c r="B4" s="171">
        <f>COUNTIF('Gap Analysis'!$L:$L,"Add to MTP*")</f>
        <v/>
      </c>
      <c r="C4" s="171" t="n"/>
      <c r="D4" s="171" t="n"/>
      <c r="E4" s="171" t="n"/>
      <c r="F4" s="171" t="n"/>
      <c r="G4" s="171" t="n"/>
    </row>
    <row r="5">
      <c r="A5" s="171" t="inlineStr">
        <is>
          <t xml:space="preserve">   ...of which eng-covered (add to MTP only, do NOT automate)</t>
        </is>
      </c>
      <c r="B5" s="171">
        <f>COUNTIF('Gap Analysis'!$L:$L,"Add to MTP only*")</f>
        <v/>
      </c>
      <c r="C5" s="171" t="n"/>
      <c r="D5" s="171" t="n"/>
      <c r="E5" s="171" t="n"/>
      <c r="F5" s="171" t="n"/>
      <c r="G5" s="171" t="n"/>
    </row>
    <row r="6">
      <c r="A6" s="171" t="inlineStr">
        <is>
          <t>Output 2: functional gaps to AUTOMATE (QA backlog)</t>
        </is>
      </c>
      <c r="B6" s="171">
        <f>COUNTIF('Gap Analysis'!$L:$L,"*Automate*")</f>
        <v/>
      </c>
      <c r="C6" s="171" t="n"/>
      <c r="D6" s="171" t="n"/>
      <c r="E6" s="171" t="n"/>
      <c r="F6" s="171" t="n"/>
      <c r="G6" s="171" t="n"/>
    </row>
    <row r="7">
      <c r="A7" s="171" t="inlineStr">
        <is>
          <t xml:space="preserve">   ...of which QA-owned (eng cannot cover)</t>
        </is>
      </c>
      <c r="B7" s="171">
        <f>COUNTIF('Gap Analysis'!$L:$L,"*QA-owned*")</f>
        <v/>
      </c>
      <c r="C7" s="171" t="n"/>
      <c r="D7" s="171" t="n"/>
      <c r="E7" s="171" t="n"/>
      <c r="F7" s="171" t="n"/>
      <c r="G7" s="171" t="n"/>
    </row>
    <row r="8">
      <c r="A8" s="171" t="inlineStr">
        <is>
          <t>Dev: unit-test-coverage gaps</t>
        </is>
      </c>
      <c r="B8" s="171">
        <f>COUNTIF('Gap Analysis'!$L:$L,"Dev:*")</f>
        <v/>
      </c>
      <c r="C8" s="171" t="n"/>
      <c r="D8" s="171" t="n"/>
      <c r="E8" s="171" t="n"/>
      <c r="F8" s="171" t="n"/>
      <c r="G8" s="171" t="n"/>
    </row>
    <row r="9">
      <c r="A9" s="171" t="inlineStr">
        <is>
          <t>Cross-cutting: reconcile plan/code</t>
        </is>
      </c>
      <c r="B9" s="171">
        <f>COUNTIF('Gap Analysis'!$L:$L,"Reconcile*")</f>
        <v/>
      </c>
      <c r="C9" s="171" t="n"/>
      <c r="D9" s="171" t="n"/>
      <c r="E9" s="171" t="n"/>
      <c r="F9" s="171" t="n"/>
      <c r="G9" s="171" t="n"/>
    </row>
    <row r="10">
      <c r="A10" s="171" t="inlineStr">
        <is>
          <t>Total Gap Analysis rows</t>
        </is>
      </c>
      <c r="B10" s="171">
        <f>COUNTA('Gap Analysis'!$A$2:$A$1000)</f>
        <v/>
      </c>
      <c r="C10" s="171" t="n"/>
      <c r="D10" s="171" t="n"/>
      <c r="E10" s="171" t="n"/>
      <c r="F10" s="171" t="n"/>
      <c r="G10" s="171" t="n"/>
    </row>
    <row r="11">
      <c r="A11" s="171" t="n"/>
      <c r="B11" s="171" t="n"/>
      <c r="C11" s="171" t="n"/>
      <c r="D11" s="171" t="n"/>
      <c r="E11" s="171" t="n"/>
      <c r="F11" s="171" t="n"/>
      <c r="G11" s="171" t="n"/>
    </row>
    <row r="12">
      <c r="A12" s="171" t="inlineStr">
        <is>
          <t>COVERAGE TRACKER — automation of existing MTP cases</t>
        </is>
      </c>
      <c r="B12" s="171" t="inlineStr"/>
      <c r="C12" s="171" t="n"/>
      <c r="D12" s="171" t="n"/>
      <c r="E12" s="171" t="n"/>
      <c r="F12" s="171" t="n"/>
      <c r="G12" s="171" t="n"/>
    </row>
    <row r="13">
      <c r="A13" s="173" t="inlineStr">
        <is>
          <t>Surface</t>
        </is>
      </c>
      <c r="B13" s="173" t="inlineStr">
        <is>
          <t>Automated (built)</t>
        </is>
      </c>
      <c r="C13" s="173" t="inlineStr">
        <is>
          <t>Automatable (not built)</t>
        </is>
      </c>
      <c r="D13" s="173" t="inlineStr">
        <is>
          <t>Manual only</t>
        </is>
      </c>
      <c r="E13" s="173" t="inlineStr">
        <is>
          <t>Total</t>
        </is>
      </c>
      <c r="F13" s="173" t="inlineStr">
        <is>
          <t>% Automated</t>
        </is>
      </c>
      <c r="G13" s="173" t="inlineStr">
        <is>
          <t>Note</t>
        </is>
      </c>
    </row>
    <row r="14">
      <c r="A14" s="171" t="inlineStr">
        <is>
          <t>Login page</t>
        </is>
      </c>
      <c r="B14" s="171">
        <f>COUNTIFS('Automation (existing MTP)'!$B:$B,$A14,'Automation (existing MTP)'!$D:$D,"🟢*")</f>
        <v/>
      </c>
      <c r="C14" s="171">
        <f>COUNTIFS('Automation (existing MTP)'!$B:$B,$A14,'Automation (existing MTP)'!$D:$D,"🟡*")</f>
        <v/>
      </c>
      <c r="D14" s="171">
        <f>COUNTIFS('Automation (existing MTP)'!$B:$B,$A14,'Automation (existing MTP)'!$D:$D,"🔴*")</f>
        <v/>
      </c>
      <c r="E14" s="171">
        <f>B14+C14+D14</f>
        <v/>
      </c>
      <c r="F14" s="179">
        <f>IF(E14&gt;0,B14/E14,0)</f>
        <v/>
      </c>
      <c r="G14" s="171" t="inlineStr"/>
    </row>
    <row r="15">
      <c r="A15" s="171" t="inlineStr">
        <is>
          <t>Programs List page</t>
        </is>
      </c>
      <c r="B15" s="171">
        <f>COUNTIFS('Automation (existing MTP)'!$B:$B,$A15,'Automation (existing MTP)'!$D:$D,"🟢*")</f>
        <v/>
      </c>
      <c r="C15" s="171">
        <f>COUNTIFS('Automation (existing MTP)'!$B:$B,$A15,'Automation (existing MTP)'!$D:$D,"🟡*")</f>
        <v/>
      </c>
      <c r="D15" s="171">
        <f>COUNTIFS('Automation (existing MTP)'!$B:$B,$A15,'Automation (existing MTP)'!$D:$D,"🔴*")</f>
        <v/>
      </c>
      <c r="E15" s="171">
        <f>B15+C15+D15</f>
        <v/>
      </c>
      <c r="F15" s="179">
        <f>IF(E15&gt;0,B15/E15,0)</f>
        <v/>
      </c>
      <c r="G15" s="171" t="inlineStr"/>
    </row>
    <row r="16">
      <c r="A16" s="171" t="inlineStr">
        <is>
          <t>Opportunity creation</t>
        </is>
      </c>
      <c r="B16" s="171">
        <f>COUNTIFS('Automation (existing MTP)'!$B:$B,$A16,'Automation (existing MTP)'!$D:$D,"🟢*")</f>
        <v/>
      </c>
      <c r="C16" s="171">
        <f>COUNTIFS('Automation (existing MTP)'!$B:$B,$A16,'Automation (existing MTP)'!$D:$D,"🟡*")</f>
        <v/>
      </c>
      <c r="D16" s="171">
        <f>COUNTIFS('Automation (existing MTP)'!$B:$B,$A16,'Automation (existing MTP)'!$D:$D,"🔴*")</f>
        <v/>
      </c>
      <c r="E16" s="171">
        <f>B16+C16+D16</f>
        <v/>
      </c>
      <c r="F16" s="179">
        <f>IF(E16&gt;0,B16/E16,0)</f>
        <v/>
      </c>
      <c r="G16" s="171" t="inlineStr"/>
    </row>
    <row r="17">
      <c r="A17" s="171" t="inlineStr">
        <is>
          <t>Opportunity List page</t>
        </is>
      </c>
      <c r="B17" s="171">
        <f>COUNTIFS('Automation (existing MTP)'!$B:$B,$A17,'Automation (existing MTP)'!$D:$D,"🟢*")</f>
        <v/>
      </c>
      <c r="C17" s="171">
        <f>COUNTIFS('Automation (existing MTP)'!$B:$B,$A17,'Automation (existing MTP)'!$D:$D,"🟡*")</f>
        <v/>
      </c>
      <c r="D17" s="171">
        <f>COUNTIFS('Automation (existing MTP)'!$B:$B,$A17,'Automation (existing MTP)'!$D:$D,"🔴*")</f>
        <v/>
      </c>
      <c r="E17" s="171">
        <f>B17+C17+D17</f>
        <v/>
      </c>
      <c r="F17" s="179">
        <f>IF(E17&gt;0,B17/E17,0)</f>
        <v/>
      </c>
      <c r="G17" s="171" t="inlineStr"/>
    </row>
    <row r="18">
      <c r="A18" s="171" t="inlineStr">
        <is>
          <t>Opportunity dashboard</t>
        </is>
      </c>
      <c r="B18" s="171">
        <f>COUNTIFS('Automation (existing MTP)'!$B:$B,$A18,'Automation (existing MTP)'!$D:$D,"🟢*")</f>
        <v/>
      </c>
      <c r="C18" s="171">
        <f>COUNTIFS('Automation (existing MTP)'!$B:$B,$A18,'Automation (existing MTP)'!$D:$D,"🟡*")</f>
        <v/>
      </c>
      <c r="D18" s="171">
        <f>COUNTIFS('Automation (existing MTP)'!$B:$B,$A18,'Automation (existing MTP)'!$D:$D,"🔴*")</f>
        <v/>
      </c>
      <c r="E18" s="171">
        <f>B18+C18+D18</f>
        <v/>
      </c>
      <c r="F18" s="179">
        <f>IF(E18&gt;0,B18/E18,0)</f>
        <v/>
      </c>
      <c r="G18" s="171" t="inlineStr"/>
    </row>
    <row r="19">
      <c r="A19" s="171" t="inlineStr">
        <is>
          <t>Connect workers page</t>
        </is>
      </c>
      <c r="B19" s="171">
        <f>COUNTIFS('Automation (existing MTP)'!$B:$B,$A19,'Automation (existing MTP)'!$D:$D,"🟢*")</f>
        <v/>
      </c>
      <c r="C19" s="171">
        <f>COUNTIFS('Automation (existing MTP)'!$B:$B,$A19,'Automation (existing MTP)'!$D:$D,"🟡*")</f>
        <v/>
      </c>
      <c r="D19" s="171">
        <f>COUNTIFS('Automation (existing MTP)'!$B:$B,$A19,'Automation (existing MTP)'!$D:$D,"🔴*")</f>
        <v/>
      </c>
      <c r="E19" s="171">
        <f>B19+C19+D19</f>
        <v/>
      </c>
      <c r="F19" s="179">
        <f>IF(E19&gt;0,B19/E19,0)</f>
        <v/>
      </c>
      <c r="G19" s="171" t="inlineStr"/>
    </row>
    <row r="20">
      <c r="A20" s="171" t="inlineStr">
        <is>
          <t>Visit verification page</t>
        </is>
      </c>
      <c r="B20" s="171">
        <f>COUNTIFS('Automation (existing MTP)'!$B:$B,$A20,'Automation (existing MTP)'!$D:$D,"🟢*")</f>
        <v/>
      </c>
      <c r="C20" s="171">
        <f>COUNTIFS('Automation (existing MTP)'!$B:$B,$A20,'Automation (existing MTP)'!$D:$D,"🟡*")</f>
        <v/>
      </c>
      <c r="D20" s="171">
        <f>COUNTIFS('Automation (existing MTP)'!$B:$B,$A20,'Automation (existing MTP)'!$D:$D,"🔴*")</f>
        <v/>
      </c>
      <c r="E20" s="171">
        <f>B20+C20+D20</f>
        <v/>
      </c>
      <c r="F20" s="179">
        <f>IF(E20&gt;0,B20/E20,0)</f>
        <v/>
      </c>
      <c r="G20" s="171" t="inlineStr"/>
    </row>
    <row r="21">
      <c r="A21" s="171" t="inlineStr">
        <is>
          <t>Invoices List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c r="G21" s="171" t="inlineStr"/>
    </row>
    <row r="22">
      <c r="A22" s="171" t="inlineStr">
        <is>
          <t>Connect Messaging</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c r="G22" s="171" t="inlineStr"/>
    </row>
    <row r="23">
      <c r="A23" s="171" t="inlineStr">
        <is>
          <t>Delivery Reminder Mails</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c r="G23" s="171" t="inlineStr"/>
    </row>
    <row r="24">
      <c r="A24" s="171" t="inlineStr">
        <is>
          <t>App Credentials</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c r="G24" s="171" t="inlineStr"/>
    </row>
    <row r="25">
      <c r="A25" s="171" t="inlineStr">
        <is>
          <t>Re-Learn Task</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c r="G25" s="171" t="inlineStr"/>
    </row>
    <row r="26">
      <c r="A26" s="171" t="inlineStr">
        <is>
          <t>Microplanning</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c r="G26" s="171" t="inlineStr"/>
    </row>
    <row r="27">
      <c r="A27" s="180" t="inlineStr">
        <is>
          <t>TOTAL</t>
        </is>
      </c>
      <c r="B27" s="180">
        <f>SUM(B14:B26)</f>
        <v/>
      </c>
      <c r="C27" s="180">
        <f>SUM(C14:C26)</f>
        <v/>
      </c>
      <c r="D27" s="180">
        <f>SUM(D14:D26)</f>
        <v/>
      </c>
      <c r="E27" s="180">
        <f>SUM(E14:E26)</f>
        <v/>
      </c>
      <c r="F27" s="181">
        <f>IF(E27&gt;0,B27/E27,0)</f>
        <v/>
      </c>
      <c r="G27" s="180"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7"/>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s>
  <sheetData>
    <row r="1">
      <c r="A1" s="170" t="inlineStr">
        <is>
          <t>Case / Gap ID</t>
        </is>
      </c>
      <c r="B1" s="170" t="inlineStr">
        <is>
          <t>Surface</t>
        </is>
      </c>
      <c r="C1" s="170" t="inlineStr">
        <is>
          <t>Description</t>
        </is>
      </c>
      <c r="D1" s="170" t="inlineStr">
        <is>
          <t>Status</t>
        </is>
      </c>
      <c r="E1" s="170" t="inlineStr">
        <is>
          <t>Detail</t>
        </is>
      </c>
      <c r="F1" s="170" t="inlineStr">
        <is>
          <t>Source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2026-07-10T07:40:54Z</dcterms:modified>
</cp:coreProperties>
</file>