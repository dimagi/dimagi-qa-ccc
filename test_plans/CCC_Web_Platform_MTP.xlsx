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 Test Tracker" sheetId="1" r:id="rId5"/>
    <sheet state="visible" name="Login page" sheetId="2" r:id="rId6"/>
    <sheet state="visible" name="Programs List page" sheetId="3" r:id="rId7"/>
    <sheet state="visible" name="Opportunity creation" sheetId="4" r:id="rId8"/>
    <sheet state="visible" name="Opportunity List page" sheetId="5" r:id="rId9"/>
    <sheet state="visible" name="Opportunity dashboard" sheetId="6" r:id="rId10"/>
    <sheet state="visible" name="Connect workers page" sheetId="7" r:id="rId11"/>
    <sheet state="visible" name="Visit verification page" sheetId="8" r:id="rId12"/>
    <sheet state="visible" name="Invoices List page" sheetId="9" r:id="rId13"/>
    <sheet state="visible" name="Connect Messaging" sheetId="10" r:id="rId14"/>
    <sheet state="visible" name="Delivery Reminder Mails" sheetId="11" r:id="rId15"/>
    <sheet state="visible" name="App Credentials" sheetId="12" r:id="rId16"/>
    <sheet state="visible" name="Re-Learn Task" sheetId="13" r:id="rId17"/>
    <sheet state="visible" name="Microplanning" sheetId="14" r:id="rId18"/>
    <sheet state="hidden" name="Test Tracker Horizontal"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tc={12340706-3ce2-461f-9d82-ddbb559446a1}</author>
    <author>tc={15845d1f-1f4e-4c4c-8bc9-648fce0cbcc6}</author>
    <author>tc={646b1379-0c87-4da4-a725-4373db8c647e}</author>
    <author>tc={831ba086-60be-4efa-aeee-3273fd7e9aa4}</author>
    <author>tc={b97b0b50-0c7b-483f-ac1a-bbcb341c8c51}</author>
    <author>tc={fa34f92b-f147-4bb9-b1d8-6429b045b09b}</author>
  </authors>
  <commentList>
    <comment authorId="0" xr:uid="{12340706-3ce2-461f-9d82-ddbb559446a1}" ref="A1">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add a couple more tests which would tell the user how they can make sure the invoices do get generated and what values they would see in the generated invoices.
Assigned to anshu.shaik@fissionlabs.com
Reply:
	@nsaxena@dimagi.com Updated please verify from test case Id: OD_18 to OD_30.[https://docs.google.com/spreadsheets/d/1LR3lwohgocXSlRa_qPFmxuJnPaG5F2TIFZIHU22smuo/edit?gid=1238100453#gid=1238100453&amp;range=78:90 ]Thanks!
Reassigned to nsaxena@dimagi.com
Reply:
	Thank you Anshu!
</t>
      </text>
    </comment>
    <comment authorId="1" xr:uid="{15845d1f-1f4e-4c4c-8bc9-648fce0cbcc6}" ref="A1">
      <text>
        <t xml:space="preserve">[Threaded comment]
 Your version of Excel allows you to read this threaded comment; however, any edits to it will get removed if the file is opened in a newer version of Excel. Learn more: https://go.microsoft.com/fwlink/?linkid=870924
Comment:
	@anshu.shaik@fissionlabs.com Let's add a couple of scenarios related to requesting user consent for a message channel from HQ. And how only once the user gives consent we can send messages from HQ to mobile.
Assigned to anshu.shaik@fissionlabs.com
Reply:
	@nsaxena@dimagi.com Added the scenarios for requesting user consent. Please review and let me know is there anything needs to be added! Thank You.
Reassigned to nsaxena@dimagi.com
Reply:
	Thanks Anshu!
</t>
      </text>
    </comment>
    <comment authorId="2" xr:uid="{646b1379-0c87-4da4-a725-4373db8c647e}" ref="A1">
      <text>
        <t xml:space="preserve">[Threaded comment]
 Your version of Excel allows you to read this threaded comment; however, any edits to it will get removed if the file is opened in a newer version of Excel. Learn more: https://go.microsoft.com/fwlink/?linkid=870924
Comment:
	Can you also add TCs related to keywords change that was recently done? @anshu.shaik@fissionlabs.com
Assigned to anshu.shaik@fissionlabs.com
Reply:
	Added Keyword related TCs @nsaxena@dimagi.com !
</t>
      </text>
    </comment>
    <comment authorId="3" xr:uid="{831ba086-60be-4efa-aeee-3273fd7e9aa4}" ref="A1">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Did we add decrease visits tests as well here? If not could you please add those tests as well.
Assigned to anshu.shaik@fissionlabs.com
Reply:
	Hey Nitin, Added the increase/decrease visits scenarios. Please check!
</t>
      </text>
    </comment>
    <comment authorId="4" xr:uid="{b97b0b50-0c7b-483f-ac1a-bbcb341c8c51}" ref="A1">
      <text>
        <t xml:space="preserve">[Threaded comment]
 Your version of Excel allows you to read this threaded comment; however, any edits to it will get removed if the file is opened in a newer version of Excel. Learn more: https://go.microsoft.com/fwlink/?linkid=870924
Comment:
	@anshu.shaik@fissionlabs.com This is also applicable for Broadcast messages as well so, let's add this scenario for broadcast messages.
Assigned to anshu.shaik@fissionlabs.com
Reply:
	@nsaxena@dimagi.com Added for broadcast messages as well. Thank you!
</t>
      </text>
    </comment>
    <comment authorId="5" xr:uid="{fa34f92b-f147-4bb9-b1d8-6429b045b09b}" ref="A1">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tc={14f3ba34-df99-4d1d-8482-0aae100cc6b7}</author>
  </authors>
  <commentList>
    <comment authorId="0" xr:uid="{14f3ba34-df99-4d1d-8482-0aae100cc6b7}" ref="B39">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sharedStrings.xml><?xml version="1.0" encoding="utf-8"?>
<sst xmlns="http://schemas.openxmlformats.org/spreadsheetml/2006/main" count="1413" uniqueCount="1260">
  <si>
    <t>CCC Web Platform [Master]</t>
  </si>
  <si>
    <t>Keys</t>
  </si>
  <si>
    <t>Pass</t>
  </si>
  <si>
    <t>Passed steps of Test Case</t>
  </si>
  <si>
    <t>Fail</t>
  </si>
  <si>
    <t>Failed steps of Test Case</t>
  </si>
  <si>
    <t>N/A</t>
  </si>
  <si>
    <t>Not applicable to your testing</t>
  </si>
  <si>
    <t>Blocking</t>
  </si>
  <si>
    <t>Failed and is a critical feature or cannot proceed with testing</t>
  </si>
  <si>
    <t>Name of Tester</t>
  </si>
  <si>
    <t>Start Date</t>
  </si>
  <si>
    <t>End Date</t>
  </si>
  <si>
    <t>Unanswered</t>
  </si>
  <si>
    <t>Unanswered/ blank test cases</t>
  </si>
  <si>
    <t>Tab</t>
  </si>
  <si>
    <t>Execution Status</t>
  </si>
  <si>
    <t>Duration (In Hours)</t>
  </si>
  <si>
    <t>Comments (if any)</t>
  </si>
  <si>
    <t>Case Results
(if none, displays as 0)</t>
  </si>
  <si>
    <t>Total</t>
  </si>
  <si>
    <t>Ticket Summaries (if none, displays as #N/A)</t>
  </si>
  <si>
    <t>Test Case ID</t>
  </si>
  <si>
    <t>Description</t>
  </si>
  <si>
    <t>Steps</t>
  </si>
  <si>
    <t>Outcome</t>
  </si>
  <si>
    <t>Status (Pass/Fail)</t>
  </si>
  <si>
    <t xml:space="preserve">QA Ticket </t>
  </si>
  <si>
    <t xml:space="preserve">Comments </t>
  </si>
  <si>
    <t>Login Page</t>
  </si>
  <si>
    <t xml:space="preserve">Login 1 </t>
  </si>
  <si>
    <t xml:space="preserve">Verify user sees the username and password fields on the login page </t>
  </si>
  <si>
    <r>
      <rPr>
        <rFont val="Arial"/>
      </rPr>
      <t xml:space="preserve">1. Click on the link: </t>
    </r>
    <r>
      <rPr>
        <rFont val="Arial"/>
        <color rgb="FF1155CC"/>
        <u/>
      </rPr>
      <t>https://connect-staging.dimagi.com/accounts/login</t>
    </r>
  </si>
  <si>
    <t>- User should see the two fields for password and username on the login page 
- User should be able to input any value in the fields 
- User should see a Login button 
- User should also see Reset password button</t>
  </si>
  <si>
    <t>Login 2</t>
  </si>
  <si>
    <t xml:space="preserve">Verify the fields accept the correct inputs only </t>
  </si>
  <si>
    <t>1. Navigate to CCC login page
2. enter the username and password</t>
  </si>
  <si>
    <t xml:space="preserve">- The username field should show the appropriate error messages if user enters email in wrong format
- We should display placeholder text in the fields for users  </t>
  </si>
  <si>
    <t>Login 3</t>
  </si>
  <si>
    <t xml:space="preserve">Verify user can login by entering the correct credentials </t>
  </si>
  <si>
    <t>cont to above TC
- Click on login button</t>
  </si>
  <si>
    <t xml:space="preserve">- User should be able to login with the right creds
- User should not be able to login with wrong credentials </t>
  </si>
  <si>
    <t>Login 4</t>
  </si>
  <si>
    <t>User should be able to login using CommCare HQ login option i.e. SSO</t>
  </si>
  <si>
    <t>1.Navigate to CCC web login page
2.Click on login with commcare 
3. Authorize the commcare
4. You will be login to CCC web</t>
  </si>
  <si>
    <t>Login 5</t>
  </si>
  <si>
    <t xml:space="preserve">Verify if the user see a sign-up option </t>
  </si>
  <si>
    <t>1. On CCC web login page, click on the sign up link at the bottom
2. Create a CCC account</t>
  </si>
  <si>
    <t xml:space="preserve">- User should be taken to the sign up page on clicking the sign up button </t>
  </si>
  <si>
    <t>Login 6</t>
  </si>
  <si>
    <t xml:space="preserve">Ensure user is unable to login using the wrong credentials on the login page </t>
  </si>
  <si>
    <t>1. Go to CCC login page
2. Enter wrong username and password
3. Click login button</t>
  </si>
  <si>
    <t xml:space="preserve">- User should see an appropriate error message if they try to login using wrong creds </t>
  </si>
  <si>
    <t>Login 7</t>
  </si>
  <si>
    <t>User should be prompted to login on HQ if they use Login via CommCare HQ option</t>
  </si>
  <si>
    <t>Cont to above TC
- On account creation page, Click on Signup with commcare HQ</t>
  </si>
  <si>
    <t>- User should be taken to HQ login page if they try to login using CommCare HQ and they are not logged in on HQ</t>
  </si>
  <si>
    <t>Login 8</t>
  </si>
  <si>
    <t xml:space="preserve">User should be able to reset password for their account </t>
  </si>
  <si>
    <t xml:space="preserve">1. Navigate to CCC web UI login page
2. Click on reset password link
</t>
  </si>
  <si>
    <t xml:space="preserve">On clicking the reset button, user should be able to initiate the reset password flow to reset the account password </t>
  </si>
  <si>
    <t>Login 9</t>
  </si>
  <si>
    <t xml:space="preserve">User should be able to login with the new password </t>
  </si>
  <si>
    <t>1. Login with new password into the CCC web UI</t>
  </si>
  <si>
    <t>User should be able to login with the new password after resetting the pw</t>
  </si>
  <si>
    <t>PLP_01</t>
  </si>
  <si>
    <t>Verify user is able to create new program</t>
  </si>
  <si>
    <t>1. Login to CCC web UI as PM user
2. Click on +Add Programs button
3. Fill the following details:
 - Name
 - Description
 - Select delivery type
 - Budget
 - Currency
 - Country
 - Start date
 - End date
4. Click submit</t>
  </si>
  <si>
    <t>- User is able to create new program successfully 
- Created program is shown on the programs list page</t>
  </si>
  <si>
    <t>PLP_02</t>
  </si>
  <si>
    <t xml:space="preserve">Confirm that the user is able to invite NMs to the program that they created </t>
  </si>
  <si>
    <t>cont from  above TC
- Invite NM user to a program</t>
  </si>
  <si>
    <t xml:space="preserve">User should be able to invite the NMs to the programs </t>
  </si>
  <si>
    <t>PLP_03</t>
  </si>
  <si>
    <t>Confirm PM sees all the programs on the dashboard screen</t>
  </si>
  <si>
    <t>1. Log in to CCC web UI
2. Click on the hamburger option present on left side
3. Select the programs option</t>
  </si>
  <si>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</si>
  <si>
    <t>PLP_04</t>
  </si>
  <si>
    <t xml:space="preserve">Confirm user is able to select any of the programs from the list </t>
  </si>
  <si>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</si>
  <si>
    <t>PLP_05</t>
  </si>
  <si>
    <t xml:space="preserve">Verify that the ‘Program Acceptance Funnel’ within a program card has all the necessary information in it </t>
  </si>
  <si>
    <t>1. Login to CCC web UI
2. Navigate to programs list page
3. Click on view status button on the program details</t>
  </si>
  <si>
    <t>The ‘Program Acceptance Funnel’ should have the following information
- Number of Network Managers Invited
- Number Applied
- Number Accepted</t>
  </si>
  <si>
    <t>PLP_06</t>
  </si>
  <si>
    <t xml:space="preserve">Confirm user is able to see the status of all the NMs that they invited </t>
  </si>
  <si>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</si>
  <si>
    <t>PLP_07</t>
  </si>
  <si>
    <t xml:space="preserve">Verify that user is only able to create/view opportunities when at least one NM has accepted the invite </t>
  </si>
  <si>
    <t>1. Login to CCC web UI
2. Navigate to programs list page
3. Click on view status button on the program details
4. Click on create opportunity for creating new opportunity
5. Click on view opportunity for viewing the opportunities</t>
  </si>
  <si>
    <t xml:space="preserve">Only when an NM is in accepted status, user should be able to take either of the following actions as a next step
- Create Opportunity
- View Opportunity </t>
  </si>
  <si>
    <t>PLP_08</t>
  </si>
  <si>
    <t xml:space="preserve">Verify on landing the Program page, user is able work on the program </t>
  </si>
  <si>
    <t>When the user land on the Program page,they should be able to perform any of the two actions:
- Reviewing visits approved by NMs
- Paying invoices</t>
  </si>
  <si>
    <t>PLP_09</t>
  </si>
  <si>
    <t>Verify on landing the Opportunity page, user is able check the performance of the program</t>
  </si>
  <si>
    <t xml:space="preserve">User should be able to compare the performance of different NMs through the following fields
- Active Workers
- Deliveries
- Approved Deliveries
- Earnings
User should be able to go through the opportunity dashboard as to check how the workers are performing </t>
  </si>
  <si>
    <t>PLP_10</t>
  </si>
  <si>
    <t>Confirm user see following information for any program in the list 
- Program Name
- Program Manager Org Name
-Delivery Type
- Program Start Date
- Program End Date
- Status: Invited or Applied or Accepted</t>
  </si>
  <si>
    <t>- User should see all the information for the program in the list 
- The accepted status appears after Opportunity creation, so confirm that as well</t>
  </si>
  <si>
    <t>PLP_11</t>
  </si>
  <si>
    <t xml:space="preserve">User should be able to click on "View Opportunities" button in a program to view opportunities </t>
  </si>
  <si>
    <t>1.Login to CCC web UI
2. Navigate to program list page
3. Click on view status dropdown on program details section
4. Click on view opportunities button</t>
  </si>
  <si>
    <t xml:space="preserve">- If there are any opportunities in a program, user should be able to see the list of all opportunities by clicking the button </t>
  </si>
  <si>
    <t>PLP_12</t>
  </si>
  <si>
    <t xml:space="preserve">On the right panel, user should see the following three options 
- Pending Review 
- Pending Payment 
- Inactive Workers </t>
  </si>
  <si>
    <t>- On clicking the category, the Program Name/Opportunities are listed based on descending order of the relevant metric
- The number of items in the list should be restricted to 3 per category</t>
  </si>
  <si>
    <t>PLP_14</t>
  </si>
  <si>
    <t xml:space="preserve">Verify when user clicks on 'Pending Payments', they see a list of opportunities with pending payments </t>
  </si>
  <si>
    <t>1.Login to CCC web UI
2. Navigate to program list page
3. Click on the opportunity under pending payments section</t>
  </si>
  <si>
    <t>- When user clicks on the pending payments option on the right pane, user should see a list of opportunities with pending payments 
- When user clicks on an Opportunity under ‘Pending Payments’, they should jump to the Worker List page with the payment tab open</t>
  </si>
  <si>
    <t>PLP_15</t>
  </si>
  <si>
    <t xml:space="preserve">Verify user can see all the workers who have not delivered any visits or not completed any learning in last 3 days when they click on Inactive Workers option </t>
  </si>
  <si>
    <t>1.Login to CCC web UI
2. Navigate to program list page
3. Click on the opportunity under inactive workers section</t>
  </si>
  <si>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</si>
  <si>
    <t>PLP_16</t>
  </si>
  <si>
    <t xml:space="preserve">Confirm when user clicks on Apply button for any program, the PM can see the user have applied </t>
  </si>
  <si>
    <t>1. Login to CCC web UI as NM user
2. Navigate to programs list page
3. Click on apply for a program
4. Switch to PM user account
5. Verify on programs list page</t>
  </si>
  <si>
    <t xml:space="preserve">- Program manager should be able to see if someone applies for a program </t>
  </si>
  <si>
    <t>PLP_17</t>
  </si>
  <si>
    <t>Verify that the user can view opportunities associated with a specific NM user by clicking the 'View Opportunities' button on the Program List page. [PM user]</t>
  </si>
  <si>
    <t>1. Login to CCC web UI
2. Navigate to program list page
3. Click on view status dropdown for any program
4. Click on view opportunities button for any NM user under a program</t>
  </si>
  <si>
    <t>- User is able to see the opportunities related to specific NM user</t>
  </si>
  <si>
    <t>Opp_create_01</t>
  </si>
  <si>
    <t>Confirm user is not able to create an opportunity as NM user</t>
  </si>
  <si>
    <t>-User is not able to create an opportunity as NM user</t>
  </si>
  <si>
    <t>Opp_create_02</t>
  </si>
  <si>
    <t>Verify user is not able to create non managed opp as PM user</t>
  </si>
  <si>
    <t>- User is not able to create a non managed Opportunity as PM user</t>
  </si>
  <si>
    <t>Opp_create_03</t>
  </si>
  <si>
    <t>Verify all the non managed opp are linked to legacy test program</t>
  </si>
  <si>
    <t xml:space="preserve">- All non managed opp are migrated to managed opps and linked legacy test program </t>
  </si>
  <si>
    <t>Opp_create_04</t>
  </si>
  <si>
    <t>Verify user is able to create on opportunity as PM user</t>
  </si>
  <si>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</si>
  <si>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</si>
  <si>
    <t>Opp_create_05</t>
  </si>
  <si>
    <t>Verify user is able to land on the payment unit page</t>
  </si>
  <si>
    <r>
      <rPr>
        <rFont val="Arial"/>
        <color theme="1"/>
      </rPr>
      <t xml:space="preserve">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t>
    </r>
    <r>
      <rPr>
        <rFont val="Arial"/>
        <b/>
        <color theme="1"/>
      </rPr>
      <t>Under required details section</t>
    </r>
    <r>
      <rPr>
        <rFont val="Arial"/>
        <color theme="1"/>
      </rPr>
      <t>, select the deliver units [ Payment is accured only when selected forms are submitted and approved]
9. Click "Setup budget"</t>
    </r>
  </si>
  <si>
    <t xml:space="preserve">- User should land on the payment unit page
- USer should be able to add payment units for an opportunity
</t>
  </si>
  <si>
    <t>Opp_create_06</t>
  </si>
  <si>
    <t xml:space="preserve">Verify user can set Org Pay at the payment unit level.
</t>
  </si>
  <si>
    <t>1. Login to CCC web UI as PM user
2. Create a managed opportunity
3. Click submit
4. On payment unit page, verify we can see org pay field
5. Enter the amount and fill all the fields
6. Set up budget</t>
  </si>
  <si>
    <t xml:space="preserve">- User should be to set Org pay at payment unit level </t>
  </si>
  <si>
    <t>Opp_create_07</t>
  </si>
  <si>
    <t>Verify Org Pay can be configured independently for each payment unit within the same opportunity.</t>
  </si>
  <si>
    <t>1.Login as PM user
2.Create opportunity with multiple payment units
3.Set Org Pay for Payment Unit 1 (e.g., 50)
4.Set a different Org Pay for Payment Unit 2 (e.g., 75)
5. Click save</t>
  </si>
  <si>
    <t>- User should configure org pay independently for each payment</t>
  </si>
  <si>
    <t>Opp_create_08</t>
  </si>
  <si>
    <t>Verify editing Org Pay for one payment unit does not affect others.</t>
  </si>
  <si>
    <t>1.Open an existing opportunity with multiple payment units
2.Edit Org Pay of Payment Unit 1
3.Save and refresh
4.Verify Org Pay of other units</t>
  </si>
  <si>
    <t>- Editing the payment unit should not effect the other payment units</t>
  </si>
  <si>
    <t>Opp_create_09</t>
  </si>
  <si>
    <t>Verify payment units can be configured with 0 Org Pay</t>
  </si>
  <si>
    <t xml:space="preserve">1.Add a payment unit
2. Set Org Pay = 0
3. Save changes
</t>
  </si>
  <si>
    <t>- User should be able to configure zero org pay payments
- User should be able to submit the forms for zero org payment units</t>
  </si>
  <si>
    <t>Opp_create_10</t>
  </si>
  <si>
    <t>Verify valid error message is displayed when decimal values are given in amount field</t>
  </si>
  <si>
    <t>1. Login to CCC web UI
2. Create a managed opportunity &gt;&gt; click submit
3. On paymnet unit page, enter org pay as decimal
4. click save</t>
  </si>
  <si>
    <t>- User should not be able to save the payment unit
- User should see the following error message:
"Please enter a valid value. Nearest values are"</t>
  </si>
  <si>
    <t>Opp_create_11</t>
  </si>
  <si>
    <t>Verify valid error message is displayed when long int values are entered</t>
  </si>
  <si>
    <t>1. Login to CCC web UI
2. Create a managed opportunity &gt;&gt; click submit
3. On paymnet unit page, enter org pay as Long int
4. click save</t>
  </si>
  <si>
    <t>- User should not be able to save the payment unit
- User should see the following error message:
"Ensure this value is less than or equal to 2147483647".</t>
  </si>
  <si>
    <t>Opp_create_12</t>
  </si>
  <si>
    <t>Verify valid error message is displayed when negative values are entered</t>
  </si>
  <si>
    <t>1. Login to CCC web UI
2. Create a managed opportunity &gt;&gt; click submit
3. On paymnet unit page, enter org pay as negative values
4. click save</t>
  </si>
  <si>
    <t>- User should not be able to save the payment unit
- User should see the following error message:
"Value must be greater than or equal to 0".</t>
  </si>
  <si>
    <t>Opp_create_13</t>
  </si>
  <si>
    <t>Verify user can't enter the special characters in the field</t>
  </si>
  <si>
    <t xml:space="preserve">1. Login to CCC web UI
2. Create a managed opportunity &gt;&gt; click submit
3. On paymnet unit page, enter org pay as special characters
</t>
  </si>
  <si>
    <t>- User should not be able to enter any special characters in org pay field</t>
  </si>
  <si>
    <t>Opp_create_14</t>
  </si>
  <si>
    <t>Verify total opportunity budget reflects the sum of Org Pay across all payment units.</t>
  </si>
  <si>
    <t>1. Login as PM user
2. Create opportunity with multiple payment units
3. Enter Org Pay for each payment unit
4. Save opportunity
5. Navigate to opportunity dashboard and check total budget</t>
  </si>
  <si>
    <t xml:space="preserve">- Total budget should get update properly </t>
  </si>
  <si>
    <t>Opp_create_15</t>
  </si>
  <si>
    <t>Verify recalculation happens correctly when Org Pay is updated</t>
  </si>
  <si>
    <t>1. Open an existing opportunity with multiple payment units
2. Edit Org Pay for one payment unit
3. Save changes
4.Refresh page/dashboard and check total budget</t>
  </si>
  <si>
    <t>Total opportunity budget is updated correctly based on new Org Pay</t>
  </si>
  <si>
    <t>Opp_create_16</t>
  </si>
  <si>
    <t>Verify recalculation happens correctly when Payment units are added/edited</t>
  </si>
  <si>
    <t>1.Open opportunity with multiple payment units
2.Add a new payment unit or edit existing ones
3.Enter Org Pay and Max Deliveries
4.Save changes
5.Verify total budget</t>
  </si>
  <si>
    <t>- Total budget should get update properly as per newly added or edited payment</t>
  </si>
  <si>
    <t>Opp_create_17</t>
  </si>
  <si>
    <t>Verify budget updates correctly for opportunities with multiple payment units.</t>
  </si>
  <si>
    <t>1. Open opportunity with multiple payment units
2. Update Org Pay/Max Deliveries of one unit
3. Save changes
4. Verify total budget</t>
  </si>
  <si>
    <t>- Total budget should get update</t>
  </si>
  <si>
    <t>Opp_create_18</t>
  </si>
  <si>
    <t>Verify org pay details are shown on the opportunity dashboard when clicking on payment units section</t>
  </si>
  <si>
    <t>1.Login as PM user
2. Open opportunity dashboard
3. Click on Payment Units section</t>
  </si>
  <si>
    <t>- User should be able to see the org pay details when we click on the payment unit section</t>
  </si>
  <si>
    <t>Opp_create_19</t>
  </si>
  <si>
    <t>Verify workers earn the correct amount based on the configured Pay</t>
  </si>
  <si>
    <t xml:space="preserve">1. Configure Org Pay per payment unit
2. Assign workers to opportunity
3. Complete deliveries
4. On CCC web UI, Navigate to opportunity dashboard
</t>
  </si>
  <si>
    <t>- On Opportunity dashboard, amount earned should be displayed correctly</t>
  </si>
  <si>
    <t>Opp_create_20</t>
  </si>
  <si>
    <t>Verify workers are paid the correct amount based on the configured Pay</t>
  </si>
  <si>
    <t>1. Configure Org Pay per payment unit
2. Assign workers to opportunity
3. Complete deliveries
4.On payments tab, Make payment
5. Verify on opp dashboard</t>
  </si>
  <si>
    <t>- On Opportunity dashboard, amount paid should be displayed correctly</t>
  </si>
  <si>
    <t>Opp_create_21</t>
  </si>
  <si>
    <t>Verify user is able to land on the Budget page</t>
  </si>
  <si>
    <t>Cont to above TC
9. On the budget page, Add the budget for an opportunity
- Fill start and end dates, No.of connect workers
- Total budget field auto populates 
10.Click submit</t>
  </si>
  <si>
    <t>- User should be able to add the budget for an opportunity
- After entering the no.of connect workers, budget amount will auto populates -
- After clicking submit, opportunity is created and user should land on the opportunity dashboard of a newly created opportunity</t>
  </si>
  <si>
    <t>Opp_create_22</t>
  </si>
  <si>
    <t>Verify creating an opportunity by selecting the servers</t>
  </si>
  <si>
    <t>1. Login to CCC web UI
2. Navigate to program list page
3. Under a program click on view status &gt;&gt; Under NM user details click on create opportunity button
4. Verify user is able to select either commcare hq or india commcare hq server under  hq server field</t>
  </si>
  <si>
    <t>-User should be able to access the Hq server field dropdown and able to see the Commcare Hq server(staging) and India commcare Hq server</t>
  </si>
  <si>
    <t>Opp_create_23</t>
  </si>
  <si>
    <t>Verify creating a opportunity through Opportunities list page by selecting commcare hq(staging) server as the field value for Hq server field</t>
  </si>
  <si>
    <t>Continue to abov TC
- Select Commcare hq as hq server</t>
  </si>
  <si>
    <t>-User should able to select the commcare server and should be able to add the api key if not created .
- If Api is created user should be able to see the api's related to commcare hq server displayed in the api field.</t>
  </si>
  <si>
    <t>Opp_create_24</t>
  </si>
  <si>
    <t>Verify creating a opportunity through Opportunities list page by selecting India CommcareHQ server as the field value for Hq server field</t>
  </si>
  <si>
    <t>- Select India commcare hq as hq server</t>
  </si>
  <si>
    <t>-User should able to select the India commcare server and should be able to add the api key if not created .
- If Api is created user should be able to see the api's related to India commcare hq server displayed in the api field.</t>
  </si>
  <si>
    <t>Opp_create_25</t>
  </si>
  <si>
    <t>Verify user should be able to see the domains related to the selected api</t>
  </si>
  <si>
    <t>1. Login to CCC web UI
2. Navigate to program list page
3. Under a program click on view status &gt;&gt; Under NM user details click on create opportunity button3. Select the hq server 
4. Under API column we have api's listed related to the selected server</t>
  </si>
  <si>
    <t>-User should be able to access the "domain" dropdown and can select the domain from the list in dropdown</t>
  </si>
  <si>
    <t>Opp_create_26</t>
  </si>
  <si>
    <t>Verify user should be able to see the apps that are related to the domain selected</t>
  </si>
  <si>
    <t>continue to above TC
- Select the api under api column 
- Select the domains from learn app/ deliver app dropdown</t>
  </si>
  <si>
    <t>-User should be able to access the "Learn App" and "Delivery App" dropdowns and can select the Apps from the list in dropdown</t>
  </si>
  <si>
    <t>Opp_create_27</t>
  </si>
  <si>
    <t>Verify we are able create manage creditals on CCC web UI</t>
  </si>
  <si>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</si>
  <si>
    <t>- User should be able to add credentials succesfully</t>
  </si>
  <si>
    <t>Opp_create_28</t>
  </si>
  <si>
    <t>Verify user is able to create the opportunity successfully</t>
  </si>
  <si>
    <t>1. Logn to CCC web UI as PM user
2. Navigate to opp list page
3. Navigate to program list page
4. Under a program click on view status &gt;&gt; Under NM user details click on create opportunity button
5. Create an opportunity</t>
  </si>
  <si>
    <t>-User should be able to create the opportunity successfully and able to land on the opportunity dashboard of the newly created opportunity</t>
  </si>
  <si>
    <t>OLP_01</t>
  </si>
  <si>
    <t xml:space="preserve">Confirm user lands on the Opportunity list page on successful login </t>
  </si>
  <si>
    <r>
      <rPr>
        <rFont val="Arial"/>
      </rPr>
      <t xml:space="preserve">1. Login to the CCC web UI using correct username and password
</t>
    </r>
    <r>
      <rPr>
        <rFont val="Arial"/>
        <color rgb="FF1155CC"/>
        <u/>
      </rPr>
      <t>https://connect-staging.dimagi.com/accounts/login</t>
    </r>
  </si>
  <si>
    <t xml:space="preserve">- User should land on the opportunity list page and see all the programs user's been invited to
- The order of the list should be such that the newest invitation be at top
- Opportunities should be listed in the order of start date </t>
  </si>
  <si>
    <t>OLP_02</t>
  </si>
  <si>
    <t>OLP_04</t>
  </si>
  <si>
    <t>User should be able to land on the Opportunity list page when they select the option from the right pane</t>
  </si>
  <si>
    <t>1. Log in to CCC web UI
2. Click on the hamburger option present on left side
3. Select the opportunities option</t>
  </si>
  <si>
    <t xml:space="preserve">- User should land on the opportunity list page and should see all the opportunities created by the user 
- If there are no opportunities created, user should see an empty list and "Create Opportunity" option on the page 
- User should also see "Add New" button </t>
  </si>
  <si>
    <t>OLP_05</t>
  </si>
  <si>
    <t xml:space="preserve">User should see the following information for any opportunity on the page when login with network manager 
- Test or Real
- Status 
- Program Name 
- Start &amp; End Date 
- Pending Invites 
- Inactive connect workers
- Pending Approvals 
- Payment Due </t>
  </si>
  <si>
    <t>1. Log in to CCC web UI
2. Navigate to opportunity list page</t>
  </si>
  <si>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</si>
  <si>
    <t>User should see the following information for any opportunity on the page when login with program manager 
- Test or Real
- Status 
- Program Name 
- Start &amp; End Date 
- Active connect workers
- Total deliveries
- Verified deliveries
- Worker Earnings</t>
  </si>
  <si>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</si>
  <si>
    <t>OLP_06</t>
  </si>
  <si>
    <t xml:space="preserve">Confirm user can filter the opportunities on the basis of Status </t>
  </si>
  <si>
    <t xml:space="preserve">1. Login to CCC web UI
2. Navigate to opportunity list page
3. Click on the filter icon
4. Apply neccessary filters and click Apply
</t>
  </si>
  <si>
    <t xml:space="preserve">User should be able to filter the opportunities on the basis of Status by selecting from the Opportunity and Status dropdown 
- Opportunity Dropdown 
All 
Test 
Live 
- Status Dropdown 
All 
Inactive 
Active 
Ended </t>
  </si>
  <si>
    <t>OLP_07</t>
  </si>
  <si>
    <t>Confirm user is able to navigate to different pages using the pagination</t>
  </si>
  <si>
    <t>1. Login to CCC web UI
2. Navigate to opportunity list page
3. Select the rows per page
4. Navigate through the pages</t>
  </si>
  <si>
    <t xml:space="preserve">- The opportunity list page should only list the number of opportunities selected by the user for "Rows per page" 
- User should be able to navigate forward backwards using the pagination arrows  </t>
  </si>
  <si>
    <t>OLP_08</t>
  </si>
  <si>
    <t xml:space="preserve">Confirm users can land on the opportunity page, if they select any opportunity from the list </t>
  </si>
  <si>
    <t>1. Login to CCC web UI
2. Navigate to opportunity list page
3. Click on any opportunity</t>
  </si>
  <si>
    <t>OLP_09</t>
  </si>
  <si>
    <t xml:space="preserve">Verify Filters pop up modal is displayed by clicking on the filters icon on opp list page </t>
  </si>
  <si>
    <t>1. Login to CCC web UI
2. Navigate to opportunity list page
3. Click on the filters icon</t>
  </si>
  <si>
    <t xml:space="preserve">Filters pop up modal should be displayed containing following fileds:
- Is test
- Status
- Program (Visible only to PM users)
</t>
  </si>
  <si>
    <t>OLP_10</t>
  </si>
  <si>
    <t>Verify "Is test" field drop down contains:
- Yes
- No</t>
  </si>
  <si>
    <t>1. Login to CCC web UI
2. Navigate to opportunity list page
3. Click on the filters icon
4. Click on "Is Test" field</t>
  </si>
  <si>
    <t>- Test opportunities should be displayed when 'yes' is selected
- Non test opportunities should be displayed when 'no' is selected</t>
  </si>
  <si>
    <t>OLP_11</t>
  </si>
  <si>
    <t>Verify "Status" field drop down contains:
- Active
- Ended
- Inactive</t>
  </si>
  <si>
    <t>1. Login to CCC web UI
2. Navigate to opportunity list page
3. Click on the filters icon
4. Click on "Status" field</t>
  </si>
  <si>
    <t>- Active opportunities should be displayed when active is selected
- Ended opportunities should be displayed when ended is selected
- Inactive opportunities should be displayed when inactive is selected</t>
  </si>
  <si>
    <t>OLP_12</t>
  </si>
  <si>
    <t>Verify "Program" field drop down contains list of all programs [PM user]</t>
  </si>
  <si>
    <t>1. Login to CCC web UI
2. Navigate to opportunity list page
3. Click on the filters icon
4. Click on "Program" field</t>
  </si>
  <si>
    <t>- Verify the drop down should contain the list of all programs 
- Opportunities that are part of selected program should be displayed</t>
  </si>
  <si>
    <t>OLP_13</t>
  </si>
  <si>
    <t>Verify on the clicking on apply button, filters are applied</t>
  </si>
  <si>
    <t>1. Login to CCC web UI
2. Navigate to opportunity list page
3. Click on the filters icon
4. Apply few filters and click Apply</t>
  </si>
  <si>
    <t>- Selected filters should be applied on opportunities
- Number of filters selected should be displayed on the filters icon</t>
  </si>
  <si>
    <t>OLP_14</t>
  </si>
  <si>
    <t>Verify user is able to select multiple options in status fileld</t>
  </si>
  <si>
    <t>1. Login to CCC web UI
2. Navigate to opportunity list page
3. Click on the filters icon
4. Click on "Status field"
5. Select multiple options under status filed
6. Click on Apply</t>
  </si>
  <si>
    <t>- Multiple filters selected should be applied on the opportunities</t>
  </si>
  <si>
    <t>OLP_15</t>
  </si>
  <si>
    <t>Verify user is able to select multiple options in programs filed[PM user]</t>
  </si>
  <si>
    <t>1. Login to CCC web UI
2. Navigate to opportunity list page
3. Click on the filters icon
4. Click on programs field
5. Select multiple programs under programs filed
6. Click on Apply</t>
  </si>
  <si>
    <t>- Opportunities related to the selected programs should be displayed</t>
  </si>
  <si>
    <t>OLP_16</t>
  </si>
  <si>
    <t>Verify Navigating away and back to a page should preserve the filters applied on the page</t>
  </si>
  <si>
    <t>1. Login to CCC web UI
2. Navigate to opportunity list page
3. Apply filters
4. Navigate away and back by using arrow</t>
  </si>
  <si>
    <t>- Applied filters should be preserved when user navigate away and back</t>
  </si>
  <si>
    <t>OLP_17</t>
  </si>
  <si>
    <t xml:space="preserve">Verify user is able to see the following  buttons by clicking on the three dots at the end of opportunity details
- "view opportunites" 
- "view connect workers" 
- View Invoices </t>
  </si>
  <si>
    <t>1. Login to CCC web UI
2. Navigate to opp list page
3. Click on the 3 dots option present at the end of opportunity details</t>
  </si>
  <si>
    <t xml:space="preserve">- User should be able to see the following details:
View opportunites
View connect workers
View Invoices </t>
  </si>
  <si>
    <t>OLP_18</t>
  </si>
  <si>
    <t>Verify user is able to land on the opportunity dashboard by clicking on the "view opportunity" button</t>
  </si>
  <si>
    <t>Cont to above TC
- Click on view opportunities option</t>
  </si>
  <si>
    <t>- User should be land on opportunity dashboard</t>
  </si>
  <si>
    <t>OLP_19</t>
  </si>
  <si>
    <t>Verify user is able to land on the connect workers by cliicking on the "view connect workers" button</t>
  </si>
  <si>
    <t>Cont to OLP_20
- Click on view connect workers option</t>
  </si>
  <si>
    <t>- User should be land on Connect workers page</t>
  </si>
  <si>
    <t>OLP_20</t>
  </si>
  <si>
    <t>Verify user is able to land on the invoices page by cliicking on the "view invoices" button</t>
  </si>
  <si>
    <t>Cont to OLP_20
- Click on view invoices option</t>
  </si>
  <si>
    <t>- User should be land on invoices page</t>
  </si>
  <si>
    <t>OLP_22</t>
  </si>
  <si>
    <t>Ensure that all filter combinations are applied simultaneously and function correctly.</t>
  </si>
  <si>
    <t>1. Login to CCC web UI
2. Navigate to opportunity list page
3. Click on the filters icon
4. Add all filter options and click Apply</t>
  </si>
  <si>
    <t>- Opportunities based on the selected filters should be displayed</t>
  </si>
  <si>
    <t>OLP_23</t>
  </si>
  <si>
    <t>Verify when user click on the number under "pending invites" column, user should land on the connect workers page
[NM user]</t>
  </si>
  <si>
    <t>1. Login to CCC web UI
2. Navigate to opportunity list page
3. Click on the count under "pending invites" column</t>
  </si>
  <si>
    <t>- User should be able to land on connect workers page and view the pending invites first</t>
  </si>
  <si>
    <t>OLP_24</t>
  </si>
  <si>
    <t>Verify when user click on the number under "Inactive workers" column, user should land on the connect workers page [NM user]</t>
  </si>
  <si>
    <t>1. Login to CCC web UI
2. Navigate to opportunity list page
3. Click on the count under "Inactive workers" column</t>
  </si>
  <si>
    <t>- User should be able to land on connect workers page and view the Inactive workers</t>
  </si>
  <si>
    <t>OLP_26</t>
  </si>
  <si>
    <t>Verify when user click on the amount under "payments due" column, user should land on the payments tab [NM user]</t>
  </si>
  <si>
    <t>1. Login to CCC web UI
2. Navigate to opportunity list page
3. Click on the count under "payments due" column</t>
  </si>
  <si>
    <t>- User should be able to land on the payments tab and view the pending payments</t>
  </si>
  <si>
    <t>OLP_27</t>
  </si>
  <si>
    <t>Verify when user click on the number under "Active connect workers" column, user should land on the Connect workers page [PM user]</t>
  </si>
  <si>
    <t>1. Login to CCC web UI
2. Navigate to opportunity list page
3. Click on the count under "Active connect workers" column</t>
  </si>
  <si>
    <t>- User should be able to land on connect workers page</t>
  </si>
  <si>
    <t>OLP_28</t>
  </si>
  <si>
    <t>Verify when user click on the number under "Total deliveries" column, user should land on the delivery tab [PM user]</t>
  </si>
  <si>
    <t>1. Login to CCC web UI
2. Navigate to opportunity list page
3. Click on the count under "Total deliveries" column</t>
  </si>
  <si>
    <t>- User should be able to land on delivery tab and view the pending approvals</t>
  </si>
  <si>
    <t>OLP_29</t>
  </si>
  <si>
    <t>Verify when user click on the number under "Verified deliveries" column, user should land on the delivery tab [PM user]</t>
  </si>
  <si>
    <t>1. Login to CCC web UI
2. Navigate to opportunity list page
3. Click on the count under "Verified deliveries" column</t>
  </si>
  <si>
    <t xml:space="preserve">- User should be able to land on delivery tab </t>
  </si>
  <si>
    <t>OLP_30</t>
  </si>
  <si>
    <t>Verify when user click on the amount under "Worker Earnings" column, user should land on the payment tab [PM user]</t>
  </si>
  <si>
    <t>1. Login to CCC web UI
2. Navigate to opportunity list page
3. Click on the count under "Worker Earnings" column</t>
  </si>
  <si>
    <t xml:space="preserve">- User should be able to land on the payments tab </t>
  </si>
  <si>
    <t>OD_1</t>
  </si>
  <si>
    <t>Confirm user lands on the opportunity dashboard page when they select any opportunity</t>
  </si>
  <si>
    <t>- User should land on the opportunity dashboard</t>
  </si>
  <si>
    <t>OD_2</t>
  </si>
  <si>
    <t xml:space="preserve">Confirm user can see the opportunity details on the dashboard page </t>
  </si>
  <si>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</si>
  <si>
    <t>OD_3</t>
  </si>
  <si>
    <t xml:space="preserve">Confirm user can analyse how many workers were actually invited and continuing to deliver </t>
  </si>
  <si>
    <t>1. Login to CCC web UI
2.Go to opportunity list page
3. Select any opportunity
4. Navigate to opportunity dashboard
5. Verify count for connnect workers - invited, Inactive, tasks assigned to workers</t>
  </si>
  <si>
    <t xml:space="preserve">User should see following information under workers section 
- Connect workers button: User should land on connect workers page upon clicking on connect workers button
- Inactive last 3 days 
- Tasks assigned to connect workers
</t>
  </si>
  <si>
    <t>OD_4</t>
  </si>
  <si>
    <t xml:space="preserve">Verify user see the all the information related to the deliveries under "Service Deliveries" section </t>
  </si>
  <si>
    <t>1. Login to CCC web UI
2.Go to opportunity list page
3. Select any opportunity
4. Navigate to opportunity dashboard
5. Click on "services deliverd" button
6. You will land on the delivery tab</t>
  </si>
  <si>
    <t xml:space="preserve">Following information should be getting displayed under Deliveries section in boxes and progress bars:
- Status 
- Name
- Last delivery timestamp that updates dynamically
- Delivery progress
- Payment unit
- Delivered
- Approved
- Rejected
</t>
  </si>
  <si>
    <t>OD_5</t>
  </si>
  <si>
    <t>Verify user can see all the payment related information under "Payments to Workers" section</t>
  </si>
  <si>
    <t>1. Login to CCC web UI
2.Go to opportunity list page
3. Select any opportunity
4. Navigate to opportunity dashboard
5. Click on "payments earned" button
6. You will land on the payments tab</t>
  </si>
  <si>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</si>
  <si>
    <t>OD_6</t>
  </si>
  <si>
    <t xml:space="preserve">Confirm user can click on the hamburger option on the opportunity dashboard page and see different options </t>
  </si>
  <si>
    <t>1. Login to CCC web UI
2.Go to opportunity list page
3. Select any opportunity
4. Navigate to opportunity dashboard
5. Click on the hamburger option</t>
  </si>
  <si>
    <t>User should see the following options when they click on the hamburger option
- Edit opportunity
- Add payment unit
- View Invoices 
- Catchment Areas 
- Add Workers 
- Add Worker Budget 
- Verification Flags 
- Send Message
- Configure task types</t>
  </si>
  <si>
    <t>OD_7</t>
  </si>
  <si>
    <t xml:space="preserve">Confirm user is taken to the verification flag on selecting "Verification Flags" option  </t>
  </si>
  <si>
    <t>Continue from above TC
- Select verification flags from hamburger option</t>
  </si>
  <si>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</si>
  <si>
    <t>OD_8</t>
  </si>
  <si>
    <t>Confirm user is able to send message using send message option</t>
  </si>
  <si>
    <t>1. Login to CCC web Ui
2. Go to opp dahsboard
3.Click on hamburger option &gt;&gt; send message
4. Select the users you want to send message
5. Enter the message &gt;&gt; Click confirm</t>
  </si>
  <si>
    <t>- User should be able to send message to send message 
- User should recieve push notification in mobile
- User should see a message sent in notification history</t>
  </si>
  <si>
    <t>OD_9</t>
  </si>
  <si>
    <t xml:space="preserve">Confirm user is redirected to Add Workers page when they click on the Add Workers option </t>
  </si>
  <si>
    <r>
      <rPr>
        <rFont val="Arial"/>
        <b/>
        <color theme="1"/>
      </rPr>
      <t xml:space="preserve">Two ways to add connect workers:
</t>
    </r>
    <r>
      <rPr>
        <rFont val="Arial"/>
        <color theme="1"/>
      </rPr>
      <t>1. Navigate to opp dashboard
    Click on hamburger options
    Select Add connect workers option
2.On opp dashboard, select connect workers button
    Select  "+" on connect workers tab</t>
    </r>
  </si>
  <si>
    <t>- User should be redirected to a new page where they should see an input field and add workers to the opportunity</t>
  </si>
  <si>
    <t>OD_10</t>
  </si>
  <si>
    <t>Verify user is able to add budget for existing workers using add budget option</t>
  </si>
  <si>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</si>
  <si>
    <t>- User should be able to add the budget and visits for exisiting workers</t>
  </si>
  <si>
    <t>OD_11</t>
  </si>
  <si>
    <t xml:space="preserve">Verify user is able to increase the visits for existing workers </t>
  </si>
  <si>
    <t>1. Login to CCC web UI
2. Navigate to Opp dashboard &gt;&gt; Hamburger option
3. Click on Add budget
4. Under existing workers tab, select the workers you want to increase the visits
5. Enter the no.of visits and select  "increase"  option
6. Click save</t>
  </si>
  <si>
    <t>The user’s total max visits should increase proportionally across all payment units (i.e., change × number of payment units).</t>
  </si>
  <si>
    <t>OD_12</t>
  </si>
  <si>
    <t>1. Login to CCC web UI
2. Navigate to Opp dashboard &gt;&gt; Hamburger option
3. Click on Add budget
4. Under existing workers tab, select the workers you want to decrease the visits
5. Enter the no.of visits and select to "decerase" option
6. Click save</t>
  </si>
  <si>
    <t>The user’s total max visits should decrease proportionally across all payment units (i.e., change × number of payment units).</t>
  </si>
  <si>
    <t>OD_13</t>
  </si>
  <si>
    <t>Verify error pop up is displayed by entering negative numbers in the visits field</t>
  </si>
  <si>
    <t>1. Login to CCC web UI
2. Navigate to Opp dashboard &gt;&gt; Hamburger option
3. Click on Add bduget option
4. Enter the negative number in visits field
5. Click Save</t>
  </si>
  <si>
    <r>
      <rPr>
        <rFont val="Arial"/>
        <color theme="1"/>
      </rPr>
      <t xml:space="preserve">- The following error message is displayed
</t>
    </r>
    <r>
      <rPr>
        <rFont val="Arial"/>
        <b/>
        <color theme="1"/>
      </rPr>
      <t>"Value must be greater than or equal to 1"</t>
    </r>
  </si>
  <si>
    <t>OD_14</t>
  </si>
  <si>
    <t>Confirm user is not able decrease the completed visits</t>
  </si>
  <si>
    <t>1. Login to CCC web UI
2. Navigate to Opp dashboard &gt;&gt; Hamburger menu &gt;&gt; Add budget
3. Enter the number of visits including the completed count &gt;&gt; Click save</t>
  </si>
  <si>
    <r>
      <rPr>
        <rFont val="Arial"/>
        <color theme="1"/>
      </rPr>
      <t>- User should be not able to decrease the completed visits and following error message is displayed:
"</t>
    </r>
    <r>
      <rPr>
        <rFont val="Arial"/>
        <b/>
        <color theme="1"/>
      </rPr>
      <t>Cannot decrease the number of visits for user(s). The visit count cannot be reduced below the number of already completed visits or zero"</t>
    </r>
  </si>
  <si>
    <t>OD_15</t>
  </si>
  <si>
    <t>Verify that changes to delivery visits are correctly reflected on the Connect Workers page and on mobile.</t>
  </si>
  <si>
    <t>1. Login to CCC web Ui
2. Hamuburger option &gt;&gt; Add budget
3. Add visits and budget to the worker &gt;&gt; save</t>
  </si>
  <si>
    <t>- Applied visit changes are updated on the connect workers page</t>
  </si>
  <si>
    <t>OD_16</t>
  </si>
  <si>
    <t>Verify that the pop-up modal displays the correct amount and number of visits based on user changes.</t>
  </si>
  <si>
    <t>1. Login to CCC web Ui
2. Hamuburger option &gt;&gt; Add budget
3. Add visits and budget to the worker &gt;&gt; save
4. Pop up modal is displayed &gt;&gt; click confirm</t>
  </si>
  <si>
    <t>- Pop up modal displays the correct amount and no.of visits based on user changes</t>
  </si>
  <si>
    <t>OD_17</t>
  </si>
  <si>
    <t>Verify user is able to add budget for new connect workers using add budget option</t>
  </si>
  <si>
    <t>1. Login to CCC web UI
2. Navigate to opp dashboard &gt;&gt; hamburger menu &gt;&gt; Add budget
3. On add budget page, select new connect workers tab
4. Enter the no.of connect workers, you want to add 
5. Click save</t>
  </si>
  <si>
    <t>- Total budget should get auto updated upon entering the no.of connect workers
- User should be able to add budget for new connect workers</t>
  </si>
  <si>
    <t>OD_18</t>
  </si>
  <si>
    <t xml:space="preserve">Verify user can view the learn &amp; deliver apps information on the dashboard </t>
  </si>
  <si>
    <t>1. Login to CCC web UI
2. Navigate to opp dashboard</t>
  </si>
  <si>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</si>
  <si>
    <t>OD_19</t>
  </si>
  <si>
    <t xml:space="preserve">Verify user can see all the payments units information on the opportunity dashboard </t>
  </si>
  <si>
    <t xml:space="preserve">On clicking the payment units option, under Payment Units tab, user should see all the payments units with the following details 
- Name 
- Start &amp; End Date 
- Amount 
- Total Deliveries 
- Max Daily
- Delivery Units </t>
  </si>
  <si>
    <t xml:space="preserve">Verify user pre filters are applied when we click on the following buttons:
- Inactive workers 
</t>
  </si>
  <si>
    <t xml:space="preserve">1. Login to CCC web UI
2. Navigate to opp dashboard
3. Click on the "Inactive workers" button
</t>
  </si>
  <si>
    <t xml:space="preserve">- User should be able to land on workers delivery page 
- Inactive filters should be pre applied </t>
  </si>
  <si>
    <t>Module: Connect Workers tab</t>
  </si>
  <si>
    <t>Connect_worker_01</t>
  </si>
  <si>
    <t>Confirm user is redirected to the Worker's List page on clicking click on ‘Connect Workers’</t>
  </si>
  <si>
    <t>1. Login to CCC web UI
2. Navigate to opp dashboard
3. Click on "connect workers" button</t>
  </si>
  <si>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</si>
  <si>
    <t>Verify user is able to search connect worker using search button</t>
  </si>
  <si>
    <t>- Enter worker name or phone number in search field, automatic search process will apply</t>
  </si>
  <si>
    <t>Connect_worker_02</t>
  </si>
  <si>
    <t>verify user is able to see the status as invite pending until the invitation is accepted</t>
  </si>
  <si>
    <t>-The worker's status should be displayed as "Invite Pending" when hovering over the icon.</t>
  </si>
  <si>
    <t>Connect_worker_03</t>
  </si>
  <si>
    <t>Verify resend/delete invite buttons are enable only when user select the invites</t>
  </si>
  <si>
    <t>1. Login to CCC web UI
2. Navigate to opp dashboard
3. Click on "connect workers" button
4. Select the connect users</t>
  </si>
  <si>
    <t>- Resend invite icon [rounded arrow] and delete invites button should be enable only when users are selected</t>
  </si>
  <si>
    <t>Connect_worker_04</t>
  </si>
  <si>
    <t>Verify worker status is updated to "invite accepted" when the invitation for an opportunity is accepted</t>
  </si>
  <si>
    <t>- When worker accepts the invitation by clicking on link status should get updated to "invite accepted"</t>
  </si>
  <si>
    <t>Connect_worker_05</t>
  </si>
  <si>
    <t>Verify we are able to pre invite the worker[Not registered for personal ID yet]</t>
  </si>
  <si>
    <t>1. Login to CCC web UI
2. Navigate to opp dashboard
3. Click on "connect workers" button
4. Click on "+Add worker" button
5. Invite user which don't have PID</t>
  </si>
  <si>
    <t>- User should able to invite the worker who is not yet registered for personal ID
- Status should be displayed as "user not found"</t>
  </si>
  <si>
    <t>Connect_worker_06</t>
  </si>
  <si>
    <t>Verify mobile number is displayed for "not found users" under name column</t>
  </si>
  <si>
    <t>1. Login to CCC web UI
2. Navigate to opp dashboard
3. Click on "connect workers" button
4. Click on "+Add worker" button
5. Invite user which don't have PID
6. Mobile number is displayed for such users</t>
  </si>
  <si>
    <t>- User should see the mobile number  for not found users under Name column.</t>
  </si>
  <si>
    <t>Connect_worker_07</t>
  </si>
  <si>
    <t>verify status is updated to "user suspended" when worker is suspended</t>
  </si>
  <si>
    <t>1. Login to CCC web UI
2. Navigate to worker visits verification page
3. Click on the woker name
4. Select suspend button on user details pop up</t>
  </si>
  <si>
    <t>- user should be suspended from the opportunity 
- Status should get updated to  user suspended</t>
  </si>
  <si>
    <t>Connect_worker_08</t>
  </si>
  <si>
    <t>verify user is able to delete the pending invites</t>
  </si>
  <si>
    <t>1. Login to CCC web UI
2. Navigate to opp dashboard
3. Click on "connect workers" button
4. Select the connect users
5. Click on delete icon</t>
  </si>
  <si>
    <t>- selected pending invites should be deleted
- User should delete pending invites as a bulk or an individual</t>
  </si>
  <si>
    <t>Connect_worker_09</t>
  </si>
  <si>
    <t>Verify user is not able to resend the invite for pending users within 24 hrs[Cooldown period]</t>
  </si>
  <si>
    <t>1. Login to CCC web UI
2. Navigate to opp dashboard
3. Click on "connect workers" button
4. Select the connect users
5. Click on resend invite icon</t>
  </si>
  <si>
    <t>- "The following invites were skipped, as they were sent in the last 24 hours" message should be displayed</t>
  </si>
  <si>
    <t>Connect_worker_10</t>
  </si>
  <si>
    <t>Verify user is able to resend the invite for "invite pending" worker successfully after 24 hrs</t>
  </si>
  <si>
    <t>1. Login to CCC web UI
2. Navigate to opp dashboard
3. Click on "connect workers" button
4. Select the connect users[invite pending users]
5. Click on resend invite icon</t>
  </si>
  <si>
    <t>- "Successfully invites send" message should be displayed including the number of skipped and resend invites</t>
  </si>
  <si>
    <t>Connect_worker_11</t>
  </si>
  <si>
    <t>verify user is not able to resend/delete the invite for accepted workers</t>
  </si>
  <si>
    <t>1. Login to CCC web UI
2. Navigate to opp dashboard
3. Click on "connect workers" button
4. Select the connect users[accepted user]
5. Click on resend invite icon</t>
  </si>
  <si>
    <t>- "Cannot delete invite(s). Accepted invites cannot be deleted" message should be displayed
- "The following invites were skipped, as they have already accepted" message should be displayed</t>
  </si>
  <si>
    <t>Connect_worker_12</t>
  </si>
  <si>
    <t>verify user is not able to resend invite for not found users</t>
  </si>
  <si>
    <t>1. Login to CCC web UI
2. Navigate to opp dashboard
3. Click on "connect workers" button
4. Select the connect users[not found user]
5. Click on resend invite icon</t>
  </si>
  <si>
    <t>- "The following invites were skipped, as they are not registered on PersonalID" message should be displayed</t>
  </si>
  <si>
    <t>Connect_worker_13</t>
  </si>
  <si>
    <t xml:space="preserve">verify user is able to delete not found users </t>
  </si>
  <si>
    <t>1. Login to CCC web UI
2. Navigate to opp dashboard
3. Click on "connect workers" button
4. Select the connect users [not found user]
5. Click on delete icon</t>
  </si>
  <si>
    <t>- User should be able to delete the selected user as a bulk or an individual</t>
  </si>
  <si>
    <t>Connect_worker_14</t>
  </si>
  <si>
    <t>verify user is not able to resend/delete invite for suspend user</t>
  </si>
  <si>
    <t>1. Login to CCC web UI
2. Navigate to opp dashboard
3. Click on "connect workers" button
4. Select the connect users[Suspended user]
5. Click on delete icon</t>
  </si>
  <si>
    <t>Connect_worker_15</t>
  </si>
  <si>
    <t>verify appropriate messages are displayed when user sends invite to all types of users as a bulk [accepted,suspended,pending,not found]</t>
  </si>
  <si>
    <r>
      <rPr>
        <rFont val="Arial"/>
        <color theme="1"/>
      </rPr>
      <t xml:space="preserve">- The following messages are displayed:
</t>
    </r>
    <r>
      <rPr>
        <rFont val="Arial"/>
        <b/>
        <color theme="1"/>
      </rPr>
      <t>Accepted/Suspended user:</t>
    </r>
    <r>
      <rPr>
        <rFont val="Arial"/>
        <color theme="1"/>
      </rPr>
      <t xml:space="preserve"> "The following invites were skipped, as they have already accepted"
</t>
    </r>
    <r>
      <rPr>
        <rFont val="Arial"/>
        <b/>
        <color theme="1"/>
      </rPr>
      <t>Not found user:</t>
    </r>
    <r>
      <rPr>
        <rFont val="Arial"/>
        <color theme="1"/>
      </rPr>
      <t xml:space="preserve"> "The following invites were skipped, as they are not registered on PersonalID"
</t>
    </r>
    <r>
      <rPr>
        <rFont val="Arial"/>
        <b/>
        <color theme="1"/>
      </rPr>
      <t xml:space="preserve">Pending user: </t>
    </r>
    <r>
      <rPr>
        <rFont val="Arial"/>
        <color theme="1"/>
      </rPr>
      <t>"Successfully sent invites" [after 24 hrs]
"The following invites were skipped, as they were sent in the last 24 hours" [within 24 hrs]</t>
    </r>
  </si>
  <si>
    <t>Connect_worker_16</t>
  </si>
  <si>
    <t>verify appropriate messages are displayed when user delete invites of all types of users [accepted,suspended,pending,not found] as bulk</t>
  </si>
  <si>
    <r>
      <rPr>
        <rFont val="Arial"/>
        <color theme="1"/>
      </rPr>
      <t xml:space="preserve">- The following messages are displayed:
</t>
    </r>
    <r>
      <rPr>
        <rFont val="Arial"/>
        <b/>
        <color theme="1"/>
      </rPr>
      <t>Accepted/Suspended user:</t>
    </r>
    <r>
      <rPr>
        <rFont val="Arial"/>
        <color theme="1"/>
      </rPr>
      <t xml:space="preserve"> "Cannot delete invite(s). Accepted invites cannot be deleted"
</t>
    </r>
    <r>
      <rPr>
        <rFont val="Arial"/>
        <b/>
        <color theme="1"/>
      </rPr>
      <t>pending/not found user:</t>
    </r>
    <r>
      <rPr>
        <rFont val="Arial"/>
        <color theme="1"/>
      </rPr>
      <t xml:space="preserve"> "Successfully deleted invites" </t>
    </r>
  </si>
  <si>
    <t>Connect_worker_17</t>
  </si>
  <si>
    <t xml:space="preserve">Verify user can sort the workers list by clicking the header columns  </t>
  </si>
  <si>
    <t>1. Login to CCC web UI
2. Navigate to opp dashboard
3. Click on "connect workers" button
4. User redirects to workers list page
5. Sort the workers list by clicking on sort arrows</t>
  </si>
  <si>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</si>
  <si>
    <t>Module: Learn tab</t>
  </si>
  <si>
    <t>Learn_tab_01</t>
  </si>
  <si>
    <t xml:space="preserve">Verify user can click on the Learn Tab, on the workers list page and see all the workers learn progress </t>
  </si>
  <si>
    <t>1. Login to CCC web UI
2. Navigate to opp dashboard
3. Click on "connect workers" button
4. Select learn tab</t>
  </si>
  <si>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</si>
  <si>
    <t>Learn_tab_02</t>
  </si>
  <si>
    <t>Verify modules completed progress is updated as we submit learn apps is mobile</t>
  </si>
  <si>
    <t>- Progress percentange should increase and should be same as of mobile as user submits the learn app</t>
  </si>
  <si>
    <t>Learn_tab_03</t>
  </si>
  <si>
    <t>Verfiy Assessment status is shown as failed when user fails the assessment in mobile</t>
  </si>
  <si>
    <t>- When user fails assessment in mobile when should get updated to Failed</t>
  </si>
  <si>
    <t>Learn_tab_04</t>
  </si>
  <si>
    <t>Verfiy Assessment status is shown as Passed when user pass the assessment in mobile</t>
  </si>
  <si>
    <t>- When user pass assessment in mobile when should get updated to Passed</t>
  </si>
  <si>
    <t>Module: Delivery tab</t>
  </si>
  <si>
    <t>Delivery_tab_01</t>
  </si>
  <si>
    <t xml:space="preserve">Verify user can access the delivery tab, with all the delivery information for an opportunity </t>
  </si>
  <si>
    <t>1. Login to CCC web UI
2. Navigate to opp dashboard
3. Click on "connect workers" button
4. Select delivery tab</t>
  </si>
  <si>
    <t>User should be able to land on the delivery by clicking on Total Services Delivered on the Opportunity Dashboard when I want to explore the stats for the entire list of workers</t>
  </si>
  <si>
    <t>Delivery_tab_02</t>
  </si>
  <si>
    <t>Verify user sees all the delivery details when they are on the delivery tab</t>
  </si>
  <si>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</si>
  <si>
    <t>Delivery_tab_03</t>
  </si>
  <si>
    <t xml:space="preserve">Ensure when user clicks on the number in the 'Delivered' column, they see a breakdown of the deliveries </t>
  </si>
  <si>
    <t xml:space="preserve">1. Login to CCC web UI
2. Navigate to opp dashboard
3. Click on "connect workers" button
4. Select delivery tab
5. Click on count of visits </t>
  </si>
  <si>
    <t xml:space="preserve">When clicking on the number in the delivered column, user should see a breakdown of the deliveries such as 
- Completed 
- Over Limit 
- Incomplete </t>
  </si>
  <si>
    <t>Delivery_tab_05</t>
  </si>
  <si>
    <t xml:space="preserve">Confirm on clicking the number in 'Approved' column, users can see the breakdown of th deliveries </t>
  </si>
  <si>
    <t xml:space="preserve">When clicking on the number in the Approved column, user should see a breakdown of the deliveries </t>
  </si>
  <si>
    <t>Delivery_tab_06</t>
  </si>
  <si>
    <t>Verify that the visit count is considered as 1 per payment unit, even if it includes multiple required or optional visits.</t>
  </si>
  <si>
    <t>1. Login to CCC web UI
2. Navigate to opp dashboard
3. Click on "connect workers" button
4. Submit one form from mobile - verify count shows as 1
5. Submit another form which is configured for payment unit used in above step</t>
  </si>
  <si>
    <t>- Visit count should be as 1 for one payment unit even multiple required/optional visits are configured</t>
  </si>
  <si>
    <t>Delivery_tab_07</t>
  </si>
  <si>
    <t>Verify that the delivery is marked as complete when all required visits are submitted and approved, and at least one optional visit (if present) is approved.</t>
  </si>
  <si>
    <t>1. Login to CCC web UI
2. Navigate to opp dashboard
3. Click on "connect workers" button
4. Submit forms from mobile - Verify that visit is shown as pending
5. Complete all the visits(required/optional) for a particular payment unit</t>
  </si>
  <si>
    <t>- Visit count is marked as complete and approved from pending state once all the visits (required/optional) for one payment unit are submitted and approved</t>
  </si>
  <si>
    <t>Delivery_tab_09</t>
  </si>
  <si>
    <t xml:space="preserve">Confirm on clicking the number in 'Rejected' column, users can see the breakdown of th deliveries </t>
  </si>
  <si>
    <t>When clicking on the number in the Approved column, user should see a breakdown of the deliveries:
- Breakdown by flag types
- Over Limit
- Missing value forms
- Duration
- User suspended</t>
  </si>
  <si>
    <t>Delivery_tab_10</t>
  </si>
  <si>
    <t>Verify Filters pop up modal is displayed by clicking on the filters icon present in right corner  on delivery tab</t>
  </si>
  <si>
    <t xml:space="preserve">1. Login to CCC web UI
2. Navigate to opp dashboard
3. Click on "connect workers" button
4. Select delivery tab
5. Click on the filters icon
6. Apply the filters
</t>
  </si>
  <si>
    <t>pop up modal should be displayed with following fields
- Last Active
- Has duplicate deliveries
- Deliveries with flags
- Has overlimit Deliveries
- Deliveries with pending review
- Close and Apply buttons</t>
  </si>
  <si>
    <t>Delivery_tab_11</t>
  </si>
  <si>
    <t>Verify last active filed  dropdown contains following options:
- Any time
- 1 day ago
- 3 days ago
- 7 days ago</t>
  </si>
  <si>
    <t>1. Login to CCC web UI
2. Navigate to opp dashboard
3. Click on "connect workers" button
4. Select delivery tab
3. Click on the filters icon
4. Click on "Last Active" field</t>
  </si>
  <si>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</si>
  <si>
    <t>Delivery_tab_13</t>
  </si>
  <si>
    <t>Verify "Deliveries with flags"  filed  dropdown contains following options:
- Yes
- No</t>
  </si>
  <si>
    <t>1. Login to CCC web UI
2. Navigate to opp dashboard
3. Click on "connect workers" button
4. Select delivery tab
5. Click on the filters icon
6. Click on "Deliveries with flags"  field</t>
  </si>
  <si>
    <t>- When user select Yes, workers that submitted deliveries with flag should be displayed
- When user selects No, workers that not submitted deliveries with flag should be displayed</t>
  </si>
  <si>
    <t>Delivery_tab_14</t>
  </si>
  <si>
    <t>Verify "Has overlimit Deliveries"  filed  dropdown contains following options:
- Yes
- No</t>
  </si>
  <si>
    <t>1. Login to CCC web UI
2. Navigate to opp dashboard
3. Click on "connect workers" button
4. Select delivery tab
5. Click on the filters icon
6. Click on "Has overlimit Deliveries" field</t>
  </si>
  <si>
    <t>- When user select Yes, workers that submitted overlimit deliveries should be displayed
- When user selects No, workers that not submitted overlimit deliveries should be displayed</t>
  </si>
  <si>
    <t>Delivery_tab_16</t>
  </si>
  <si>
    <t>1. Login to CCC web UI
2. Navigate to opp dashboard
3. Click on "connect workers" button
4. Select delivery tab
5. Click on the filters icon
6. Apply all the filters</t>
  </si>
  <si>
    <t>- Workers should be displayed based on the selected filters</t>
  </si>
  <si>
    <t xml:space="preserve">Module: Payment processing </t>
  </si>
  <si>
    <t>Payment Processing_1</t>
  </si>
  <si>
    <r>
      <rPr>
        <rFont val="Arial, sans-serif"/>
        <color rgb="FF000000"/>
        <sz val="11.0"/>
      </rPr>
      <t xml:space="preserve">Confirm user sees all the payment info under </t>
    </r>
    <r>
      <rPr>
        <rFont val="Arial, sans-serif"/>
        <b/>
        <color rgb="FF000000"/>
        <sz val="11.0"/>
      </rPr>
      <t xml:space="preserve">"Payments" tab </t>
    </r>
    <r>
      <rPr>
        <rFont val="Arial, sans-serif"/>
        <color rgb="FF000000"/>
        <sz val="11.0"/>
      </rPr>
      <t>on the Workers List page</t>
    </r>
  </si>
  <si>
    <t>1. Login to CCC web UI
2. Navigate to opp dashboard
3. Click on "connect workers" button
4. Select payment tab</t>
  </si>
  <si>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</si>
  <si>
    <t>Payment Processing_2</t>
  </si>
  <si>
    <t>Confirm user sees a message when they click on the Pay button</t>
  </si>
  <si>
    <t>- User should see a transaction success or failed message when they hit the Pay button</t>
  </si>
  <si>
    <t>Payment Processing_3</t>
  </si>
  <si>
    <t>User should be able to see the payment history by clicking the icon</t>
  </si>
  <si>
    <t>1. Login to CCC web UI
2. Navigate to opp dashboard
3. Click on "connect workers" button
4. Select payment tab
5. Click on the last paid date</t>
  </si>
  <si>
    <t>User should be able to see the history of payments made:
- Paid field should show total amount paid in that batch of payments uploaded
- ‘X’ workers shows the number of workers paid
- Timestamp of payment
- User who uploaded the payment (nice-to-have)</t>
  </si>
  <si>
    <t>Payment Processing_4</t>
  </si>
  <si>
    <t>Confirm user can rollback a payment made to the worker</t>
  </si>
  <si>
    <t>1. Login to CCC web UI
2. Navigate to opp dashboard
3. Click on "connect workers" button
4. Select payment tab
5. Click on the last paid date
6. Click on rollback payment button</t>
  </si>
  <si>
    <t>- User should be able to rollback any payment batch by hitting a button next to the payment batch in the history
- User should see success or failure message after they rollback a payment</t>
  </si>
  <si>
    <t>Network Manager</t>
  </si>
  <si>
    <t>Worker Visit Verification Page_1</t>
  </si>
  <si>
    <t xml:space="preserve">Confirm user lands on the Worker Visit Verification Page when they select a worker from the workers list page </t>
  </si>
  <si>
    <t xml:space="preserve">1. Login to CCC web UI
2. Navigate to opp dashboard
3. Click on "connect workers" button
4. Select delivery tab
5. Click on the connect worker
6. User lands on the worker visits verification page
</t>
  </si>
  <si>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</si>
  <si>
    <t>Worker Visit Verification Page_2</t>
  </si>
  <si>
    <t>User should also view the worker's to date performance at the top of the page</t>
  </si>
  <si>
    <t>1. Login to CCC web UI
2. Navigate to worker visit verification page</t>
  </si>
  <si>
    <t>- User should be able to view the workers performance at the top of the page and should see the following information 
(i) Total Visits: Payment units completed so far
(ii) Pending Tasks
(iii) Rejected Visits
(iv) Accrued amount
(v) Paid Amount</t>
  </si>
  <si>
    <t>Worker Visit Verification Page_3</t>
  </si>
  <si>
    <t xml:space="preserve">Confirm on selecting an image a pop-up should open with a carousel view </t>
  </si>
  <si>
    <t>1. Login to CCC web UI
2. Navigate to worker visit verification page
3. Select any visit
4. Click on the image under visit details</t>
  </si>
  <si>
    <t>- User should be able to see the images in a carousel view when an image is selected</t>
  </si>
  <si>
    <t>Worker Visit Verification Page_4</t>
  </si>
  <si>
    <t xml:space="preserve">Confirm user is able to suspend users from an opportunity </t>
  </si>
  <si>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</si>
  <si>
    <t xml:space="preserve">User should be able to suspend any worker from the opportunity by clicking the name of the user on the worker verification screen page </t>
  </si>
  <si>
    <t>Worker Visit Verification Page_5</t>
  </si>
  <si>
    <t>Verify user is able to see two tabs: 
Visits and Tasks</t>
  </si>
  <si>
    <t>- Visit details are shown in visits tab
- Task details are shown in tasks tab</t>
  </si>
  <si>
    <t>Worker Visit Verification Page_6</t>
  </si>
  <si>
    <t xml:space="preserve">Verify submitted visit is auto approved </t>
  </si>
  <si>
    <t>1. Login to CCC web UI
2. Invite a worker from an Opp
3. Submit few forms from mobile
4. Navigate to visit verification page</t>
  </si>
  <si>
    <t>- Submitted visit should get auto approved
- Visit status should be approved</t>
  </si>
  <si>
    <t>Worker Visit Verification Page_7</t>
  </si>
  <si>
    <t>Verify submitted visiit is auto rejected when doesn't satisfy the configured verification rules</t>
  </si>
  <si>
    <t>1. Login to CCC web UI
2. For an opportunity configure verification rules
3. Submit the vists from mobile which doesn't satisfy the configured rules
4. Navigate to visit verification page</t>
  </si>
  <si>
    <t>- Visits that doesn't satisfy the configured verification rules are auto rejected</t>
  </si>
  <si>
    <t>Worker Visit Verification Page_8</t>
  </si>
  <si>
    <t>Verify submitted visit is auto rejected when suspended user make a visit</t>
  </si>
  <si>
    <t>1. Login to CCC web UI
2. Navigate to visit verification page &gt;&gt; Click on worker name &gt;&gt; Suspend the user
3. Submit few forms from mobile using user in step2
4. Observe the status of submitted visits in step3</t>
  </si>
  <si>
    <t>- Visits that are submitted by suspended user are auto rejected</t>
  </si>
  <si>
    <t>Worker Visit Verification Page_9</t>
  </si>
  <si>
    <t xml:space="preserve">Verify user is able to see the visit details upon clicking on the visit </t>
  </si>
  <si>
    <t>1. Login to CCC web UI
2. Navigate to worker visit verification page
3. Select any visit</t>
  </si>
  <si>
    <t xml:space="preserve">- Following details are shown for visit details:
Payment unit, Entity id, Entity name
Verification Parameters
Map
</t>
  </si>
  <si>
    <t>Worker Visit Verification Page_10</t>
  </si>
  <si>
    <t>Verify Over Limit status is marked correctly when visits exceeding the configured daily limit are submitted on the same day.</t>
  </si>
  <si>
    <t>1. login to CCC web UI
2. Invite connect worker
3. Complete the daily limit visits in mobile
4. Again submit the visits exceeding the daily visit limit</t>
  </si>
  <si>
    <t xml:space="preserve">- visits submitted exceeding the daily visit limit should marked as over limit </t>
  </si>
  <si>
    <t>Worker Visit Verification Page_11</t>
  </si>
  <si>
    <t>Verify only the first N visits (up to the daily limit) remain valid and any additional visits are flagged as Over Limit.</t>
  </si>
  <si>
    <t>Worker Visit Verification Page_12</t>
  </si>
  <si>
    <t>Verify Over Limit status is marked correctly when visits exceeding the configured total/max visit limit are submitted.</t>
  </si>
  <si>
    <t>1. login to CCC web UI
2. Invite connect worker
3. Complete the total max limit visits in mobile
4. Again submit the visits exceeding the daily visit limit</t>
  </si>
  <si>
    <t xml:space="preserve">- visits submitted exceeding the total max limit should marked as over limit </t>
  </si>
  <si>
    <t>Worker Visit Verification Page_13</t>
  </si>
  <si>
    <t>Verify only the first N visits (up to the total visit limit) remain valid and any additional visits are flagged as Over Limit.</t>
  </si>
  <si>
    <t>Worker Visit Verification Page_14</t>
  </si>
  <si>
    <t>Verify no additional visits are accepted when multiple submissions are processed concurrently after the daily limit has been reached.</t>
  </si>
  <si>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</si>
  <si>
    <t>- Visits submitted before the daily limit is marked as approved
- visits submitted after the daily limit is marked as overlimit</t>
  </si>
  <si>
    <t>Worker Visit Verification Page_15</t>
  </si>
  <si>
    <t>Verify no additional visits are accepted when multiple submissions are processed concurrently after the total visit limit has been reached.</t>
  </si>
  <si>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</si>
  <si>
    <t>- Visits submitted before the total max limit is marked as approved
- visits submitted after the total max limit is marked as overlimit</t>
  </si>
  <si>
    <t>Worker Visit Verification Page_16</t>
  </si>
  <si>
    <t>Verify visits exceeding the daily limit are displayed with an Over Limit status on the Visit Verification screen.</t>
  </si>
  <si>
    <t>1. Login to CCC Web UI.
2. Configure a daily visit limit for the opportunity.
3. Invite Connect workers.
4. Submit visits exceeding the configured daily visit limit.
5. Open the Worker Visit Verification page.
6. Locate visits marked as Over Limit.
7. Hover over the visit count indicator.</t>
  </si>
  <si>
    <t>- when mouse hover on the count of visits overlimit count should be displayed</t>
  </si>
  <si>
    <t>Worker Visit Verification Page_17</t>
  </si>
  <si>
    <t>Verify visits exceeding the total visit limit are displayed with an Over Limit status on the Visit Verification screen.</t>
  </si>
  <si>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</si>
  <si>
    <t>Worker Visit Verification Page_18</t>
  </si>
  <si>
    <t>Verify the count of valid visits and Over Limit visits displayed on the Visit Verification screen is accurate after concurrent submissions.</t>
  </si>
  <si>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</si>
  <si>
    <t>Worker Visit Verification Page_19</t>
  </si>
  <si>
    <t>Verify visits submitted through queued/offline sync are correctly evaluated against the daily limit when multiple submissions are processed together.</t>
  </si>
  <si>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</si>
  <si>
    <t>- Visit that are in daily limit marked as approved
- Visits that exceeds daily limit are marked as over limit</t>
  </si>
  <si>
    <t>Worker Visit Verification Page_20</t>
  </si>
  <si>
    <t>Verify visits submitted through queued/offline sync are correctly evaluated against the total visit limit when multiple submissions are processed together.</t>
  </si>
  <si>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</si>
  <si>
    <t>- Visit that are in total/max limit marked as approved
- Visits that exceeds total/max limit are marked as over limit</t>
  </si>
  <si>
    <t>Worker Visit Verification Page_21</t>
  </si>
  <si>
    <t>Verify trial visit submission</t>
  </si>
  <si>
    <t>1. Submit visits befor the opp start date</t>
  </si>
  <si>
    <t>- visits submitted before opp start date is marked as trial</t>
  </si>
  <si>
    <t>Worker Visit Verification Page_22</t>
  </si>
  <si>
    <t>Verify post end date submissions</t>
  </si>
  <si>
    <t>1. Submit the visits after the opp has ended</t>
  </si>
  <si>
    <t>- visits submitted after opp ended is not updated in web and no progress is gained for an opp</t>
  </si>
  <si>
    <t>Worker Visit Verification Page_23</t>
  </si>
  <si>
    <t>Verify duplicate visits are billable only when visits are approved by NM and agreed by PM</t>
  </si>
  <si>
    <t xml:space="preserve">1. Login to CCC web UI
2. Invite user for an Opp
3. Submit duplicate forms
4. Approve visit by NM user 
5. Agree visit by PM user
</t>
  </si>
  <si>
    <t>- Only forms that are approved by NM and agreed by PM are eligible for payment and amount should accrued</t>
  </si>
  <si>
    <t>This test is for opp created before june 1</t>
  </si>
  <si>
    <t>Worker Visit Verification Page_24</t>
  </si>
  <si>
    <t>Verify duplicate visits are not billable when PM is not agreed</t>
  </si>
  <si>
    <t xml:space="preserve">1. Login to CCC web UI
2. Invite user for an Opp
3. Submit duplicate forms
4. Approve visit by NM user 
</t>
  </si>
  <si>
    <t>- Visits that aren't agreed by Pm are not eligilble for payment</t>
  </si>
  <si>
    <t>Worker Visit Verification Page_25</t>
  </si>
  <si>
    <t>Verfiy the visits are billable only when agreed by PM using import bulk</t>
  </si>
  <si>
    <t xml:space="preserve">1. Login to CC web UI
2. Invite user for an opp
3. Submit few duplicate visits
4. Navigate to connect workers page &gt;&gt; Download the PM review csv export
5. Make chnages are PM agreed for visits and import
</t>
  </si>
  <si>
    <t>Worker Visit Verification Page_26</t>
  </si>
  <si>
    <t>Verfiy the visits are not billable when disagreed by PM using import bulk</t>
  </si>
  <si>
    <t xml:space="preserve">1. Login to CC web UI
2. Invite user for an opp
3. Submit few duplicate visits
4. Navigate to connect workers page &gt;&gt; Download the PM review csv export
5. Make chnages are PM disagreed for visits and import
</t>
  </si>
  <si>
    <t>Worker Visit Verification Page_27</t>
  </si>
  <si>
    <t>Verify combination of agreed/disgareed for duplicate visits using import</t>
  </si>
  <si>
    <t xml:space="preserve">1. Login to CC web UI
2. Invite user for an opp
3. Submit few duplicate visits
4. Navigate to connect workers page &gt;&gt; Download the PM review csv export
5. Make chnages are PM agreed for few visits, disagree some visits and import
</t>
  </si>
  <si>
    <t>Worker Visit Verification Page_28</t>
  </si>
  <si>
    <t>Verify the invoice generating should contains only visits that are agreed by PM</t>
  </si>
  <si>
    <t xml:space="preserve">1. Loin to CCC web UI
2. Navigate to view invoices page
3. Click create invoice &gt;&gt; service delivery
4. Select date </t>
  </si>
  <si>
    <t>- The visits that are approved by NM and agreed by PM are listed for invoice generation</t>
  </si>
  <si>
    <t>Worker Visit Verification Page_29</t>
  </si>
  <si>
    <t>Verify payment is accrued only when all required visits and atleast one optional visit (if any) are agreed by PM</t>
  </si>
  <si>
    <t>1. Login to CCC web UI
2. Submit all required visits
3. Submit atleast one optioanl visit
4. Approve by NM and agree by PM</t>
  </si>
  <si>
    <t>- payment should be accrued only when all req visits and atleast one optional visit is agreed by PM</t>
  </si>
  <si>
    <t>Worker Visit Verification Page_30</t>
  </si>
  <si>
    <t>Verify payment is not accrued when all required visits and atleast one optional visit (if any) are agreed by PM</t>
  </si>
  <si>
    <t>1. Login to CCC web UI
2. Submit all required visits
3. Submit atleast one optioanl visit
4. Approve by NM 
5. Don't agree all visits by PM</t>
  </si>
  <si>
    <t>- payment should not be accrued</t>
  </si>
  <si>
    <t>Worker Visit Verification Page_31</t>
  </si>
  <si>
    <t>Verfiy user is able to reject the visits (NM user)</t>
  </si>
  <si>
    <t>1. Login to CCC web UI
2. Navigate to visit verification page
3. Click on visit details &gt;&gt; Click on reject</t>
  </si>
  <si>
    <t>- Status should get update to rejected</t>
  </si>
  <si>
    <t>This test is for opp created before june 2</t>
  </si>
  <si>
    <t>Worker Visit Verification Page_32</t>
  </si>
  <si>
    <t>Verify user is able to approve the visits (NM user)</t>
  </si>
  <si>
    <t>1. Login to CCC web UI
2. Navigate to visit verification page
3. Click on visit details &gt;&gt; Click on approve</t>
  </si>
  <si>
    <t>- Status should get update to approved</t>
  </si>
  <si>
    <t>This test is for opp created before june 3</t>
  </si>
  <si>
    <t>Worker Visit Verification Page_33</t>
  </si>
  <si>
    <t>Verify user is able to agree the visits (PM user)</t>
  </si>
  <si>
    <t>1. Login to CCC web UI
2. Navigate to visit verification page
3. Click on visit details &gt;&gt; Click on agree</t>
  </si>
  <si>
    <t>- when PM approved visit paymnet amount is accrued</t>
  </si>
  <si>
    <t>This test is for opp created before june 4</t>
  </si>
  <si>
    <t>Worker Visit Verification Page_34</t>
  </si>
  <si>
    <t>Verify user is able to disagree the visits (PM user)</t>
  </si>
  <si>
    <t>1. Login to CCC web UI
2. Navigate to visit verification page
3. Click on visit details &gt;&gt; Click on disagree</t>
  </si>
  <si>
    <t>- When PM disagreed no paymnet is accrued</t>
  </si>
  <si>
    <t>This test is for opp created before june 5</t>
  </si>
  <si>
    <t>Worker Visit Verification Page_35</t>
  </si>
  <si>
    <t>Verify user is not able to agree the visit that is disagreed and vice versa</t>
  </si>
  <si>
    <t>This test is for opp created before june 6</t>
  </si>
  <si>
    <t>Payment eligibility</t>
  </si>
  <si>
    <t>Payment eligibility_01</t>
  </si>
  <si>
    <t>Verify user becomes eligible for payment when all required visits are approved</t>
  </si>
  <si>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</si>
  <si>
    <t>User becomes eligible for payment once all required visits are approved.</t>
  </si>
  <si>
    <t>Payment eligibility_02</t>
  </si>
  <si>
    <t>Verify user is not eligible for payment if any required visit is not approved</t>
  </si>
  <si>
    <t>1. Login to CCC Web UI. 
2. Create an opportunity with multiple required visits. 
3. Invite a PID user. 
4. Submit all required visits from mobile. 
5. Approve only some of the required visits and leave at least one pending/rejected.</t>
  </si>
  <si>
    <t>User should not be eligible for payment if any required visit is not approved.</t>
  </si>
  <si>
    <t>Payment eligibility_03</t>
  </si>
  <si>
    <t>Verify payment eligibility when all required visits and at least one optional visit are approved</t>
  </si>
  <si>
    <t>1. Create an opportunity with required and optional delivery units. 
2. Invite PID user and claim job from mobile. 
3. Submit required visit forms. 
4. Submit at least one optional visit form. 
5. Approve all required visits and one optional visit.</t>
  </si>
  <si>
    <t>User becomes eligible for payment.</t>
  </si>
  <si>
    <t>Payment eligibility_04</t>
  </si>
  <si>
    <t>Verify worker is not eligible if optional visits exist but none are approved</t>
  </si>
  <si>
    <t>1. Create opportunity with required and optional visits. 
2. Submit all required visits. 
3. Submit optional visits but do not approve them.
 4. Approve only required visits.</t>
  </si>
  <si>
    <t>User should not be eligible for payment because no optional visit is approved.</t>
  </si>
  <si>
    <t>Payment eligibility_06</t>
  </si>
  <si>
    <t>Verify auto-approval system correctly marks eligibility</t>
  </si>
  <si>
    <t>1. Enable auto approval for visits. 
2. Invite PID user. 
3. Submit required and optional visits from mobile. 
4. Allow system to auto approve visits.</t>
  </si>
  <si>
    <t>System automatically marks user as eligible for payment when conditions are satisfied.</t>
  </si>
  <si>
    <t>Payment eligibility_07</t>
  </si>
  <si>
    <t>Verify manual approval works with new eligibility logic</t>
  </si>
  <si>
    <t>1. Create opportunity with required and optional visits. 
2. Submit visits from mobile. 
3. Admin manually approves required visits and at least one optional visit.</t>
  </si>
  <si>
    <t>User becomes eligible for payment after manual approval.</t>
  </si>
  <si>
    <t>Payment eligibility_08</t>
  </si>
  <si>
    <t>Verify optional visit approved but required visits missing</t>
  </si>
  <si>
    <t>1. Create opportunity with required and optional visits. 
2. Submit optional visit first.
3. Approve optional visit but leave required visits pending.</t>
  </si>
  <si>
    <t>User should not be eligible for payment until all required visits are approved.</t>
  </si>
  <si>
    <t>Payment eligibility_09</t>
  </si>
  <si>
    <t>Verify rejected visits do not count toward payment eligibility</t>
  </si>
  <si>
    <t>1. Submit required visits from mobile. 
2. Reject one of the required visits from web.</t>
  </si>
  <si>
    <t>User should not be eligible for payment when a required visit is rejected.</t>
  </si>
  <si>
    <t>Invoice_01</t>
  </si>
  <si>
    <t xml:space="preserve">Verify user can land on the Invoice page by clicking "View Invoice" option from the opportunity dashboard page </t>
  </si>
  <si>
    <t xml:space="preserve">1. Login to CCC web UI
2. Navigate to opp dashboard
3. Click on hamburger option
4. Select "view invoice" option
</t>
  </si>
  <si>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</si>
  <si>
    <t>Invoice_02</t>
  </si>
  <si>
    <t>Verify user sees all the information for invoices under All Invoice tab</t>
  </si>
  <si>
    <t xml:space="preserve">User should the following columns on the "All Invoices" tab
- Amount 
- Amount (USD) 
- Rate 
- Date added
- Invoice Number 
- Payment Status 
- Payment Date 
- Service Delivery </t>
  </si>
  <si>
    <t>Invoice_03</t>
  </si>
  <si>
    <t xml:space="preserve">Verify user sees the total accrued and paid amount for both worker and organization on the Payment Report page </t>
  </si>
  <si>
    <t>1. Login to CCC web UI
2. Navigate to opp dashboard
3. Click on hamburger option
4. Select "view invoice" option
5. Go to payment report tab</t>
  </si>
  <si>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</si>
  <si>
    <t>Invoice_04</t>
  </si>
  <si>
    <t>Verify on the Payment Report, the amount gets converted to USD when user toggles the switch</t>
  </si>
  <si>
    <t xml:space="preserve">1. Login to CCC web UI
2. Navigate to opp dashboard
3. Click on hamburger option
4. Select "view invoice" option
5. Go to payment report tab
6. Click on USD </t>
  </si>
  <si>
    <t xml:space="preserve">- The amount should get updated to USD from local currency when the user toggles the switch to USD from local currency </t>
  </si>
  <si>
    <t>Invoice_05</t>
  </si>
  <si>
    <t>Confirm user can create a new custom invoice by clicking on the "Create Invoice" button</t>
  </si>
  <si>
    <r>
      <rPr>
        <rFont val="Arial"/>
        <color theme="1"/>
      </rPr>
      <t xml:space="preserve">1. Login to CCC web UI
2. Navigate to opp dashboard
3. Click on hamburger option
4. Select "view invoice" option
5. click on </t>
    </r>
    <r>
      <rPr>
        <rFont val="Arial"/>
        <b/>
        <color theme="1"/>
      </rPr>
      <t>create invoice</t>
    </r>
    <r>
      <rPr>
        <rFont val="Arial"/>
        <color theme="1"/>
      </rPr>
      <t xml:space="preserve"> button and Select Invoice Type = Custom
6. Enter Invoice Amount
7. Enter Date of Expense Incurred
8. Enter Justification describing purpose, date, and subscription
9. Click Submit</t>
    </r>
  </si>
  <si>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</si>
  <si>
    <t>Invoice_06</t>
  </si>
  <si>
    <t xml:space="preserve">Confirm that user sees a message, displaying the amount in USD </t>
  </si>
  <si>
    <r>
      <rPr>
        <rFont val="Arial"/>
        <color theme="1"/>
      </rPr>
      <t xml:space="preserve">1. Login to CCC web UI
2. Navigate to opp dashboard
3. Click on hamburger option
4. Select "view invoice" option
5. On invoice page, click on </t>
    </r>
    <r>
      <rPr>
        <rFont val="Arial"/>
        <b/>
        <color theme="1"/>
      </rPr>
      <t>create invoice</t>
    </r>
    <r>
      <rPr>
        <rFont val="Arial"/>
        <color theme="1"/>
      </rPr>
      <t xml:space="preserve"> button
6. Create an invoice
</t>
    </r>
  </si>
  <si>
    <r>
      <rPr>
        <rFont val="Arial"/>
        <color theme="1"/>
      </rPr>
      <t xml:space="preserve">- On entering the amount in the amount field, user should see the following message
Exchange Rate on 20-06-2025: 'xyz'
Amount in USD: 'abc' 
- On creating the invoice, user should see the amount in both local currency and USD on the "All Invoices" tab
</t>
    </r>
    <r>
      <rPr>
        <rFont val="Arial"/>
        <b/>
        <color theme="1"/>
      </rPr>
      <t xml:space="preserve">Note: </t>
    </r>
    <r>
      <rPr>
        <rFont val="Arial"/>
        <color theme="1"/>
      </rPr>
      <t xml:space="preserve">When the program is created in USD, user should see the message but the amount after exchange rate should be same as entered by the user. </t>
    </r>
  </si>
  <si>
    <t>Invoice_07</t>
  </si>
  <si>
    <t>Verify mandatory fields for Custom Invoice</t>
  </si>
  <si>
    <t>1. Login as NM 
2. Navigate to Create Custom Invoice 
3. Leave Amount field blank 
4. Click Submit 
5. Repeat by leaving Justification field and date of expense incurred field blank</t>
  </si>
  <si>
    <t>- System displays "please fil this field" error message 
- Invoice is not submitted until all required fields are completed</t>
  </si>
  <si>
    <t>Invoice_08</t>
  </si>
  <si>
    <t>Verify invoice status is show as "pending Network Manager Review" upon new invoice creation</t>
  </si>
  <si>
    <t>1. Login to CCC web UI
2. Navigate to Opp dashboard
3. Hamgurger menu &gt;&gt; view invoices &gt;&gt; create invoice</t>
  </si>
  <si>
    <t>Invoice has been created and Invoice status is shown as "Pending Network manager review" on the invoices list page</t>
  </si>
  <si>
    <t>Invoice_09</t>
  </si>
  <si>
    <t>Verify user is able to submit inovice to program manager [NM user]</t>
  </si>
  <si>
    <t>cont to above TC
- Click on review button
- Click on Submit to program manager button</t>
  </si>
  <si>
    <t>-"Invoice has been submitted for approval" message is displayed
- Invoice status should be shown as " Pending Program manager review" on invoices list page</t>
  </si>
  <si>
    <t>Invoice_10</t>
  </si>
  <si>
    <t>Verify user is able to cancel the invoice as network manager</t>
  </si>
  <si>
    <t>1. Login to CCC web UI
2. Navigate to Opp dashboard
3. Hamgurger menu &gt;&gt; view invoices &gt;&gt; create invoice
4. Click on review &gt;&gt; Click cancel
5. On the cancel invoice pop up click on the cancel invoice button</t>
  </si>
  <si>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</si>
  <si>
    <t>Invoice_11</t>
  </si>
  <si>
    <t>Verify NM user is not able to cancel the invoice by clicking on close button on the invoice pop up</t>
  </si>
  <si>
    <t>1. Login to CCC web UI
2. Navigate to Opp dashboard
3. Hamgurger menu &gt;&gt; view invoices &gt;&gt; create invoice
4. Click on review &gt;&gt; Click cancel
5. On the cancel invoice pop up click on the close button</t>
  </si>
  <si>
    <t>- Cancel invoice pop up is displayed with follwoing details:
"Are you sure you want to cancel this invoice? This action cannot be undone." message and
 Close and Cancel invoice buttons
- When click on the close button, user lands on the invoice review page</t>
  </si>
  <si>
    <t>Invoice_12</t>
  </si>
  <si>
    <t>Verify user is able to see the invoice status as "pending program manager review" after submited to PM</t>
  </si>
  <si>
    <t>1. Login to CCC web UI
2. Navigate to Opp dashboard
3. Hamgurger menu &gt;&gt; view invoices &gt;&gt; create invoice
4. Click on review &gt;&gt; Click on "submit to program manager"</t>
  </si>
  <si>
    <t>- "Pending program manager review" status is shown as invoice type on the invoice list page</t>
  </si>
  <si>
    <t>Invoice_13</t>
  </si>
  <si>
    <t>Verify NM user cannot edit invoice after submission</t>
  </si>
  <si>
    <t>1. Login as NM 
2. Navigate to invoice page
3. Click on review button</t>
  </si>
  <si>
    <t>- All invoice fields are disabled 
- NM cannot modify  invoice</t>
  </si>
  <si>
    <t>Invoice_14</t>
  </si>
  <si>
    <t>Verify PM user can review Custom Invoice in read-only mode</t>
  </si>
  <si>
    <t>1. Login as PM user 
2. Navigate to Invoice List 
3. Click on review, Open submitted Custom Invoice</t>
  </si>
  <si>
    <t>- Invoice opens in read-only mode 
- All invoice details and justification are visible</t>
  </si>
  <si>
    <t>Invoice_15</t>
  </si>
  <si>
    <t>Verify PM user can pay Custom Invoice</t>
  </si>
  <si>
    <t>1. Login as PM user 
2. Open invoices list page 
3. Click Pay Invoice</t>
  </si>
  <si>
    <t>- Payment is processed successfully 
- Invoice status updates to Paid
- Mail gets triggered when payment is done
- Status is get updated to paid in NM user</t>
  </si>
  <si>
    <t>Invoice_16</t>
  </si>
  <si>
    <t>Verify user is able to land on invoices list by clicking on back to invoices button</t>
  </si>
  <si>
    <t>1. Login to CCC web UI
2. Open invoices list page 
3. Click review
4. On review page, click on back to invoices button</t>
  </si>
  <si>
    <t>- User should land on the invoice list page</t>
  </si>
  <si>
    <t>Invoice_17</t>
  </si>
  <si>
    <t>Verify error is displayed when future date is selected under date of expenses field</t>
  </si>
  <si>
    <t>1. Login as NM 
2. Navigate to Create Custom Invoice 
3. Choose the future date under date of expenses field
4. Click submit</t>
  </si>
  <si>
    <t>- Date of expense can't be in the future error message is displayed
- Custom invoice can't be created</t>
  </si>
  <si>
    <t>Invoice_18</t>
  </si>
  <si>
    <t>Verify user is able to create service delivery invoice manually</t>
  </si>
  <si>
    <r>
      <rPr>
        <rFont val="Arial"/>
        <color theme="1"/>
      </rPr>
      <t xml:space="preserve">1. Login to CCC web UI
2. Navigate to opp dashboard
3. Click on hamburger option
4. Select "view invoice" option
5. On invoice page, click on </t>
    </r>
    <r>
      <rPr>
        <rFont val="Arial"/>
        <b/>
        <color theme="1"/>
      </rPr>
      <t>create invoice</t>
    </r>
    <r>
      <rPr>
        <rFont val="Arial"/>
        <color theme="1"/>
      </rPr>
      <t xml:space="preserve"> button
6. Create an invoice
7. Select service delivery option 
8.Verify the invoice creation screen is displayed.
9.Enter a value in the Invoice Title field.
10.Select Start Date and End Date.
11.Review the updated invoice details.
12.Click Submit.</t>
    </r>
  </si>
  <si>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</si>
  <si>
    <t>Invoice_19</t>
  </si>
  <si>
    <t xml:space="preserve">Verify monthly data is listed seperately under the line items if date range includes mutliple months </t>
  </si>
  <si>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</si>
  <si>
    <t>- Following details are shown under line items:
Month
Payment Unit
Number Approved
Payment Unit Amount(INR)
Total Amount (INR)
Exchange Rate
Total Amount (USD)</t>
  </si>
  <si>
    <t>Invoice_20</t>
  </si>
  <si>
    <t>Verify user is able to download all the line items by clicking on the "Download All items"</t>
  </si>
  <si>
    <t xml:space="preserve">cont to above TC:
- Click on the "Download All items" button </t>
  </si>
  <si>
    <t>List of thevisits are shown in the downloaded file with following details:
- Payment unit
- Opportunity
- Beneficiary
- Worker
- Date of delivery
- Date Approved
- Approved deliveries
- Payment Accured (INR)
- Payment Accured (USD)</t>
  </si>
  <si>
    <t>Invoice_21</t>
  </si>
  <si>
    <t>Verify invoices are generated automatically (NM user)</t>
  </si>
  <si>
    <t>1. Login to CCC Web UI as NM user
2. Navigate to Opp Dashboard → Hamburger menu → View Invoices
3. Verify automatic invoice generated for the visits that are approved in previous month</t>
  </si>
  <si>
    <t xml:space="preserve">- Automatic invoices should be generated monthly
- Invoice generated only for the items which are not linked to any other invoice
</t>
  </si>
  <si>
    <t>Invoice_22</t>
  </si>
  <si>
    <t>Verify the invoice status is shown as 'Pending' for automatic generated invoices</t>
  </si>
  <si>
    <t>1. Login to CCC Web UI as NM user
2. Navigate to Opp Dashboard → Hamburger menu → View Invoices
3. Verify automatic invoice generation</t>
  </si>
  <si>
    <t>- Invoice status is shown as pending on the invoice list page</t>
  </si>
  <si>
    <t>Invoice_23</t>
  </si>
  <si>
    <t>Verify user is able to review  and submit the generated invoice(NM user)</t>
  </si>
  <si>
    <t>cont to above TC
- Click on review button</t>
  </si>
  <si>
    <t xml:space="preserve">- User should be able to edit the invoice title
- User should be able to add the service delivery notes
- Click on submit for approval button
- Pending status should get changed to Submitted
- In PM user, pay button is enabled after submiting for approval </t>
  </si>
  <si>
    <t>Invoice_24</t>
  </si>
  <si>
    <t>Verify invoices generated automatically have correct information</t>
  </si>
  <si>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</si>
  <si>
    <r>
      <rPr>
        <rFont val="Arial"/>
        <color theme="1"/>
      </rPr>
      <t xml:space="preserve">-The following fields are present and populated with correct information:
Invoice ID
Invoice title - editable
Invoice status - pending
Generation date
Start and end date
Amount (Local Currency – INR)
Amount (USD)
</t>
    </r>
    <r>
      <rPr>
        <rFont val="Arial"/>
        <b/>
        <color theme="1"/>
      </rPr>
      <t xml:space="preserve">Line Items
</t>
    </r>
    <r>
      <rPr>
        <rFont val="Arial"/>
        <color theme="1"/>
      </rPr>
      <t xml:space="preserve">-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r>
  </si>
  <si>
    <t>Invoice_25</t>
  </si>
  <si>
    <t>Verify PM user can approve the generated invoice</t>
  </si>
  <si>
    <t>1. Login as PM user
2. Navigate to View Invoices
3. Open submitted invoice
4. Click pay</t>
  </si>
  <si>
    <t>-PM user should be able to approve the invoice successfully
- Mail should get triggered after payment
- payment date should get updated in NM user
- Invoice status should get updated to approved in NM user</t>
  </si>
  <si>
    <t>Invoice_26</t>
  </si>
  <si>
    <t>verify NM user is able to create the new invoice using cancelled invoice details</t>
  </si>
  <si>
    <t xml:space="preserve">1. Login to CCC web UI
2. Create invoice and cancel it
3. Again create new invoice using details in the cancelled invoice 
</t>
  </si>
  <si>
    <t>- User should be able to create invoice using visits in the cancelled invoice</t>
  </si>
  <si>
    <t>Invoice_27</t>
  </si>
  <si>
    <t>verify NM user is able to create the new invoice using rejected invoice details [rejected by PM]</t>
  </si>
  <si>
    <t xml:space="preserve">1. Login to CCC web UI
2. Create invoice and submit for approval
3. Click reviw as PM &gt;&gt; Click reject
3. Again create new invoice using details in the rejected invoice 
</t>
  </si>
  <si>
    <t>- User should be able to create invoice using visits in the rejected invoice</t>
  </si>
  <si>
    <t>Invoice_28</t>
  </si>
  <si>
    <t>Verify user is able to land on the invoices page when click on back to invoices option</t>
  </si>
  <si>
    <t>1. Login to CCC web UI
2. Navigate to Opp dashboard
3. Hamgurger menu &gt;&gt; view invoices &gt;&gt; create invoice
4. Click on review 
5. On review page, click on back to invoices button</t>
  </si>
  <si>
    <t>- User should land on the invoices list page</t>
  </si>
  <si>
    <t>Invoice_29</t>
  </si>
  <si>
    <t>Verify user is able to edit the service delivery notes on the review page as NM user</t>
  </si>
  <si>
    <t>1. Login to CCC web UI
2. Navigate to Opp dashboard
3. Hamgurger menu &gt;&gt; view invoices &gt;&gt; create invoice
4. Click on review 
5. On review page, edit the service delivery notes and submit to PM</t>
  </si>
  <si>
    <t>- User should be able to edit the service delivery notes</t>
  </si>
  <si>
    <t>Program Manager</t>
  </si>
  <si>
    <t>Invoice List_30</t>
  </si>
  <si>
    <t xml:space="preserve">Confirm user can see a list of all the invoices for an opportunity </t>
  </si>
  <si>
    <t xml:space="preserve">1. Login to CCC web UI
2. Navigate to opp dashboard
3. Click on hamburger option, view invoices option
</t>
  </si>
  <si>
    <t xml:space="preserve">- User should be able to see a list of all the invoices generated by clicking the View Invoices menu option in the Opportunity dashboard or the Opportunity list </t>
  </si>
  <si>
    <t>Invoice List_31</t>
  </si>
  <si>
    <t>Invoice List_32</t>
  </si>
  <si>
    <t>Verify user should see the Approval for payment processing option as PM user</t>
  </si>
  <si>
    <t>Cont to above TC
- Click on review button as PM user
- Click on "Approve for payment processing" button</t>
  </si>
  <si>
    <t xml:space="preserve">- "Invoice has been approved and ready to pay" message is displayed
- Invoice status is changed as "ready to pay" </t>
  </si>
  <si>
    <t>Invoice List_33</t>
  </si>
  <si>
    <t>Verify user is able to reject the invoice when invoice is in ready to pay status</t>
  </si>
  <si>
    <t>Cont to above TC
- Click on review &gt;&gt; Click on reject button
- Reject invoice pop is displayed &gt;&gt; click on reject invoice option</t>
  </si>
  <si>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</si>
  <si>
    <t>Invoice List_34</t>
  </si>
  <si>
    <t>Verify PM user is not able to reject the invoice by clicking on close button on the reject invoice pop up</t>
  </si>
  <si>
    <t xml:space="preserve">1. Login to CCC web UI
2. Navigate to Opp dashboard
3. Hamgurger menu &gt;&gt; view invoices &gt;&gt; create invoice
4. Submit to PM and approve for payment processing &gt;&gt; Click on review &gt;&gt; reject
5. On the reject invoice pop up click on the close button </t>
  </si>
  <si>
    <t>- Reject invoice pop up is displayed with follwoing details:
"Are you sure you want to reject this invoice? This action cannot be undone." message and
 Close and reject invoice buttons
- When click on the close button, user lands on the invoice review page</t>
  </si>
  <si>
    <t>Invoice List_35</t>
  </si>
  <si>
    <t>Verify PM user is able to reject the invoice</t>
  </si>
  <si>
    <t>1. Login to CCC web UI
2. Navigate to Opp dashboard
3. Hamgurger menu &gt;&gt; view invoices &gt;&gt; create invoice
4. Click on review &gt;&gt; Click Submit for PM
5. As Pm user, click on review &gt;&gt; click reject
5. On the reject invoice pop up click on the reject invoice button</t>
  </si>
  <si>
    <t>Invoice List_36</t>
  </si>
  <si>
    <t>Verify PM user is able to pay the invoice</t>
  </si>
  <si>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</si>
  <si>
    <t>- Invoice has been paid and email is triggered.
- Invoices status changes to "paid"</t>
  </si>
  <si>
    <t>Invoice List_37</t>
  </si>
  <si>
    <t>Verify user is able to review the invoice in read only mode as PM user</t>
  </si>
  <si>
    <t>1. Login to CCC web UI as PM
2. Navigate to Opp dashboard
3. Hamgurger menu &gt;&gt; view invoices &gt;&gt; create invoice
4. Click on review 
5. Verify user is not able to edit the invoice details</t>
  </si>
  <si>
    <t>- User should see the invoice review in read only mode</t>
  </si>
  <si>
    <r>
      <rPr>
        <rFont val="Arial"/>
        <b/>
        <color theme="1"/>
        <sz val="10.0"/>
      </rPr>
      <t xml:space="preserve">Prerequsite: </t>
    </r>
    <r>
      <rPr>
        <rFont val="Arial"/>
        <b val="0"/>
        <color theme="1"/>
        <sz val="10.0"/>
      </rPr>
      <t>A PID user should get created and login to the learn app, submit few forms.</t>
    </r>
  </si>
  <si>
    <t>Connect channel 1</t>
  </si>
  <si>
    <t xml:space="preserve">Verify user is able to create connect channel </t>
  </si>
  <si>
    <t xml:space="preserve">1. Login to CC hq
2. Navigate to messaging &gt;&gt; view all
3. Under connect messaging section, Select user conset
4. Click Request messaging consent button
</t>
  </si>
  <si>
    <t>- Channel created for a personal ID message is displayed on hq web
- Channel should get created and displayed in the connect mobile</t>
  </si>
  <si>
    <t>Connect message1</t>
  </si>
  <si>
    <t>Verify user is able to create a broadcast with connect message option</t>
  </si>
  <si>
    <t>1. Login to CC hq 
2. Navigate to Messaging &gt;&gt; Broadcasts
3. Click on "+ Add broadcast" 
4. Select the content type  as 'connect message' 
5. Create a broadcast
6. Verify PID user recive a message on the channel</t>
  </si>
  <si>
    <t>- User should be able to receive the broadcast message in the connect channel</t>
  </si>
  <si>
    <t>Connect message2</t>
  </si>
  <si>
    <t>Verify user is able to create a broadcast with connect survey option</t>
  </si>
  <si>
    <t>1. Login to CC hq 
2. Navigate to Messaging &gt;&gt; Broadcasts
3. Click on "+ Add broadcast" 
4. Select the content type  as 'connect Survey' 
5. Create a broadcast
6 Verify PID user recive a message on the channel</t>
  </si>
  <si>
    <t>- User should be able to receive the broadcast survey in the connect channel
- User should be able to answer the question and get next question in the form
- Form should get submit and able to verify it on the submit histstory</t>
  </si>
  <si>
    <t>Connect message3</t>
  </si>
  <si>
    <t>Verify all the options from Recipents dropdown is disabled except users upon selecting message type as connect message/survey</t>
  </si>
  <si>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</si>
  <si>
    <t>- Only users option should be visible and preselected upon selecting the connect message/survey option</t>
  </si>
  <si>
    <t>Connect message4</t>
  </si>
  <si>
    <t>Verify user is able to create a Conditional alerts with connect message option</t>
  </si>
  <si>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</si>
  <si>
    <t>- User should be able to get a alert message in the connect channel upon submitting the form satisfying the alert condition</t>
  </si>
  <si>
    <t>Connect message5</t>
  </si>
  <si>
    <t>Verify user is able to create a conditional alerts with connect survey option</t>
  </si>
  <si>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</si>
  <si>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</si>
  <si>
    <t>Connect message6</t>
  </si>
  <si>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</si>
  <si>
    <t>Connect message7</t>
  </si>
  <si>
    <t>Verify user is able to select only active PID users while creating a Conditional alerts with connect message/survey options</t>
  </si>
  <si>
    <t xml:space="preserve">Continue to above TC:
Also verify only the active PID users are present in the </t>
  </si>
  <si>
    <t>- Only the PID users data should get display on the users drop down</t>
  </si>
  <si>
    <t>Connect message8</t>
  </si>
  <si>
    <t>Verify user is able to create keyword for connect message</t>
  </si>
  <si>
    <t>1. Login to CC hq web UI
2. Navigate to Messaging &gt;&gt; keyword 
3. Select 'connect message' as content type
4. Create a keyword
5. Login with personal ID [CCC mobile]
5. Trigger keyword from channel 
6. verify user receive a connect message in the channel to the personal ID user</t>
  </si>
  <si>
    <t>- User should get a connect message in the channel upon triggering the keyword</t>
  </si>
  <si>
    <t>Connect message9</t>
  </si>
  <si>
    <t>Verify user is able to create keyword for connect survey</t>
  </si>
  <si>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</si>
  <si>
    <t>- User should be able to get a connect survey from in the connect channel upon triggering the keyword in the channel
- User should be able to answer the question and get next question in the form
- Form should get submit and able to verify it on the submit histstory</t>
  </si>
  <si>
    <t>Review mail_01</t>
  </si>
  <si>
    <t xml:space="preserve">Verify reminder mail is sent for all the members of organization regarding pending review deliveries for all the opportunities </t>
  </si>
  <si>
    <t>1. Ensure an organization has one or more opportunities with pending deliveries.
2. Ensure multiple users are added as members of the organization.
3. wait for the scheduled reminder task to run.
4. Check inboxes of all organization members.</t>
  </si>
  <si>
    <t>- Reminder email is sent to all organization members.
- Email displays all opportunities that have pending deliveries.</t>
  </si>
  <si>
    <t>Review mail_02</t>
  </si>
  <si>
    <t xml:space="preserve">Verify no mail is triggered when no pending visits are there for any of the opportunities user is a member </t>
  </si>
  <si>
    <t>1. Ensure the organization has no opportunities with pending deliveries.
2. wait for the scheduled reminder task to run.
3. Check inboxes of all organization members.</t>
  </si>
  <si>
    <t xml:space="preserve">- No reminder emails are sent to the organiztion memebers
</t>
  </si>
  <si>
    <t>Review mail_03</t>
  </si>
  <si>
    <t>Verify reminder email contains a valid link to the workers list delivery tab page</t>
  </si>
  <si>
    <t>1. Open the reminder email received by an organization member.
2. Locate the Workers List link in the email.
3. Click the link.</t>
  </si>
  <si>
    <t xml:space="preserve">- Link is present, clickable, and redirects to the correct Workers List page.
- Only opportunities with pending deliveries are included in the email. </t>
  </si>
  <si>
    <t>Review mail_04</t>
  </si>
  <si>
    <t>Verify that the Opportunities list link redirects to the Connect Workers Delivery tab</t>
  </si>
  <si>
    <t>1. Open the reminder email.
2. Click on the Opportunities list link.
3. Observe the landing page.</t>
  </si>
  <si>
    <t>User is redirected to the Connect Workers Delivery tab.</t>
  </si>
  <si>
    <t>Review mail_05</t>
  </si>
  <si>
    <t>Verify following details are included in reminder mail: Organization name and list of opportunities with redirect link</t>
  </si>
  <si>
    <t>1. Trigger the reminder email
2. Open the email.
3. Verify organization name, opportunity names, and links is displayed.
4. Verify list of opportunities with pending deliveries is shown.</t>
  </si>
  <si>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</si>
  <si>
    <t>Review mail_06</t>
  </si>
  <si>
    <t>Verify mail is not triggered to the members who are not a part of organization</t>
  </si>
  <si>
    <t>1. Identify users who are not members of the organization.
2. Ensure organization has pending deliveries.
3. Trigger the reminder email.
4. Check inboxes of non-members.</t>
  </si>
  <si>
    <t>Reminder email is not sent to non-organization members.</t>
  </si>
  <si>
    <t>Review mail_07</t>
  </si>
  <si>
    <t>Verify opportunities which have only PM pending review will be included only in PM organization reminder mail</t>
  </si>
  <si>
    <t>1. Ensure opportunities have PM pending reviews.
2. Trigger the PM reminder email job.
3. Open the PM reminder email.</t>
  </si>
  <si>
    <t>Opportunities with PM pending reviews are included in the PM reminder email.</t>
  </si>
  <si>
    <t>Review mail_08</t>
  </si>
  <si>
    <t>Verify opportunities that have only NM review will be included only in NM organization reminder mail</t>
  </si>
  <si>
    <t>1. Ensure opportunities have NM pending reviews.
2. Trigger the NM reminder email job.
3. Open the NM reminder email.</t>
  </si>
  <si>
    <t>Opportunities with NM pending reviews are included in the NM reminder email.</t>
  </si>
  <si>
    <t xml:space="preserve">Credentials_1 </t>
  </si>
  <si>
    <t>Verify user is able to select an application for Issueing Credentials on HQ</t>
  </si>
  <si>
    <t>1. Login to CC HQ :https://staging.commcarehq.org/a/connectqa/settings/project/credentials_application//
2. Navigate to project settings
3. Under project administration select credentials Applications
4. Select any app the form the dropdown</t>
  </si>
  <si>
    <t xml:space="preserve">User should be able to select any app from the dropdown list to issue credentials. </t>
  </si>
  <si>
    <t>Credentials_2</t>
  </si>
  <si>
    <t>Confirm that we see the Worker Activity option for the selected app</t>
  </si>
  <si>
    <t xml:space="preserve">continue to above TC:
- Go to the app settings for the app used in above TC
</t>
  </si>
  <si>
    <t xml:space="preserve">- User should see the option for Worker Activity under Advanced Settings only for the selected app. 
- User should be able to select any of the options from the dropdown list. </t>
  </si>
  <si>
    <t>Credentials_3</t>
  </si>
  <si>
    <t>Verify that the profile.xml is updated for the app</t>
  </si>
  <si>
    <t>1. Go to app release page
2. Clcik on publish
3. Click on View source file
4. Select profile.xml</t>
  </si>
  <si>
    <t xml:space="preserve">User should see the workers activity in the profile.xml file with the correct values for the worker activity. </t>
  </si>
  <si>
    <t>Re-Learn_01</t>
  </si>
  <si>
    <t>Verify user is able to configure task type question in CC hq app</t>
  </si>
  <si>
    <t>1. Navigate to CC hq &gt;&gt; delivery app
2. Add question type as advanced&gt;&gt; task</t>
  </si>
  <si>
    <t>- User should be able to create a task type question in hq app</t>
  </si>
  <si>
    <t>Re-Learn_02</t>
  </si>
  <si>
    <t>Verify user is able to configure task type for an Opp</t>
  </si>
  <si>
    <t>1. Naviagte to opp dashboard &gt;&gt; Hamburger option &gt;&gt; configure task types
2. Click on "+Add new task type"
3. New task type pop up is dispalyed , select the following details:
- Task unit, Name, Case property and description
4. Click on save</t>
  </si>
  <si>
    <t>- User should be able to see the configured task type on the list</t>
  </si>
  <si>
    <t>Re-Learn_03</t>
  </si>
  <si>
    <t>Verify available tasks are listed as dropdown under task unit field</t>
  </si>
  <si>
    <t>1. Naviagte to opp dashboard &gt;&gt; Hamburger option &gt;&gt; configure task types
2. Click on "+Add new task type"
3. click on available tasks field</t>
  </si>
  <si>
    <t>- A dropdown should be displayed containing the tasks configured on hq app</t>
  </si>
  <si>
    <t>Re-Learn_04</t>
  </si>
  <si>
    <t>Verify that the Name field is mandatory</t>
  </si>
  <si>
    <t>1. Naviagte to opp dashboard &gt;&gt; Hamburger option &gt;&gt; configure task types
2. Click on "+Add new task type"
3. Save the task type without entering the name</t>
  </si>
  <si>
    <t>- User should see the error "fill in this field" for name field</t>
  </si>
  <si>
    <t>Re-Learn_05</t>
  </si>
  <si>
    <t>Verify that the Description field validation is displayed when left empty</t>
  </si>
  <si>
    <t>1. Naviagte to opp dashboard &gt;&gt; Hamburger option &gt;&gt; configure task types
2. Click on "+Add new task type"
3. Save the task type without entering the description</t>
  </si>
  <si>
    <t>- User should see the error "fill in this field" for description field</t>
  </si>
  <si>
    <t>Re-Learn_06</t>
  </si>
  <si>
    <t>Verify that the user is able to configure a task type even when the case property is not entered</t>
  </si>
  <si>
    <t>1. Naviagte to opp dashboard &gt;&gt; Hamburger option &gt;&gt; configure task types
2. Click on "+Add new task type"
3. Save the task type without entering the case property</t>
  </si>
  <si>
    <t>- User should be able to configure task type successfully</t>
  </si>
  <si>
    <t>Re-Learn_07</t>
  </si>
  <si>
    <t>Verify the validation for the Task Unit field</t>
  </si>
  <si>
    <t>1. Naviagte to opp dashboard &gt;&gt; Hamburger option &gt;&gt; configure task types
2. Click on "+Add new task type"
3. Save the task type without selecting the task field</t>
  </si>
  <si>
    <t>- User should see "Please select an item in the list" error for task unit field</t>
  </si>
  <si>
    <t>Re-Learn_08</t>
  </si>
  <si>
    <t>Verify that the user is able to cancel the task configuration by clicking the Cancel button</t>
  </si>
  <si>
    <t>1. Naviagte to opp dashboard &gt;&gt; Hamburger option &gt;&gt; configure task types
2. Click on "+Add new task type"
3. Enter all the details 
4. Click cancel</t>
  </si>
  <si>
    <t>- New task type creation template should get close and no task type is configured</t>
  </si>
  <si>
    <t>Re-Learn_09</t>
  </si>
  <si>
    <t>Verify user is able to close the task configuration when click on the "x"(Close) button</t>
  </si>
  <si>
    <t>1. Naviagte to opp dashboard &gt;&gt; Hamburger option &gt;&gt; configure task types
2. Click on "+Add new task type"
3. Enter all the details 
4. Click on "X" close button</t>
  </si>
  <si>
    <t>Re-Learn_10</t>
  </si>
  <si>
    <t>Verify that the user is able to edit the configured task</t>
  </si>
  <si>
    <t>1. Naviagte to opp dashboard &gt;&gt; Hamburger option &gt;&gt; configure task types
2. On the task type list page, click on the edit button
3. On edit task type template, edit name and description
4. Click save</t>
  </si>
  <si>
    <t>- User should be able to edit the configured task type
- Edited Changes should be saved successfully</t>
  </si>
  <si>
    <t>Re-Learn_11</t>
  </si>
  <si>
    <t>Verify user is able to archive the configured task</t>
  </si>
  <si>
    <t>1. Naviagte to opp dashboard &gt;&gt; Hamburger option &gt;&gt; configure task types
2. On the task type list page, click on the edit button under actions column
3. On edit task type template, select the check box under archive this task type
4. Click save</t>
  </si>
  <si>
    <t>- Task should get archieved succesfully and archieved date should get updated
- Archieved tasks are not shown on connect workers &gt;&gt; tasks
- User shouldn't be able to assign new tasks</t>
  </si>
  <si>
    <t>Re-Learn_12</t>
  </si>
  <si>
    <t>Verify user is able to sort the tasks using "task type name" header sorting arrows</t>
  </si>
  <si>
    <t>1. Naviagte to opp dashboard &gt;&gt; Hamburger option &gt;&gt; configure task types
2. Click on the sort arrows at "task type name" header</t>
  </si>
  <si>
    <t>-Task list should get sort upon clicking on the arrows</t>
  </si>
  <si>
    <t>Re-Learn_13</t>
  </si>
  <si>
    <t>Verify user is able to sort the tasks using "description" header sorting arrows</t>
  </si>
  <si>
    <t>1. Naviagte to opp dashboard &gt;&gt; Hamburger option &gt;&gt; configure task types
2. Click on the sort arrows at "description" header</t>
  </si>
  <si>
    <t>Re-Learn_14</t>
  </si>
  <si>
    <t>Verify user is able to sort the tasks using "linked task unit" header sorting arrows</t>
  </si>
  <si>
    <t>1. Naviagte to opp dashboard &gt;&gt; Hamburger option &gt;&gt; configure task types
2. Click on the sort arrows at "linked task unit" header</t>
  </si>
  <si>
    <t>Re-Learn_15</t>
  </si>
  <si>
    <t>Verify user is able to sort the tasks using "Archieved" header sorting arrows</t>
  </si>
  <si>
    <t>1. Naviagte to opp dashboard &gt;&gt; Hamburger option &gt;&gt; configure task types
2. Click on the sort arrows at "Archieved" header</t>
  </si>
  <si>
    <t>Re-Learn_16</t>
  </si>
  <si>
    <t>Verify user sees tasks tab on visits verification page</t>
  </si>
  <si>
    <t>1. Navigate to opp dashboard
2. Click on services delivered
3. Click on the worker name
4. On visit verification page, tasks tab is present</t>
  </si>
  <si>
    <t>- User should see tasks tab on visit verification page</t>
  </si>
  <si>
    <t>Re-Learn_17</t>
  </si>
  <si>
    <t>Verify  user is able to assign tasks using "create task" button</t>
  </si>
  <si>
    <t>Cont to above TC
- At the bottom of page, on tasks tab click on the create task button
- Fill all the details &gt;&gt; click save changes</t>
  </si>
  <si>
    <t>- User should be able to assign the task for user sucessfully
- User should recive push notification in mobile</t>
  </si>
  <si>
    <t>Re-Learn_18</t>
  </si>
  <si>
    <t>Verify  "delete task" button present at bottom of the tasks tab is disabled</t>
  </si>
  <si>
    <t>1. Navigate to opp dashboard
2. Click on services delivered
3. Click on the worker name
4. On visit verification page, go to tasks tab
5. See that At bottom of page, delete task button is present</t>
  </si>
  <si>
    <t>- Delete task button should be disabled if no visits are selected</t>
  </si>
  <si>
    <t>Re-Learn_19</t>
  </si>
  <si>
    <t xml:space="preserve">Verify details on create task pop up </t>
  </si>
  <si>
    <t xml:space="preserve">1. Navigate to opp dashboard
2. Click on services delivered
3. Click on the worker name
4. On visit verification page &gt;&gt; tasks tab &gt;&gt; create task </t>
  </si>
  <si>
    <t>- Task field contains a dropdown with list of active tasks configured
- Due date field, it should accept only present and future dates</t>
  </si>
  <si>
    <t>Re-Learn_20</t>
  </si>
  <si>
    <t>Verify the task field mandatory</t>
  </si>
  <si>
    <t>1. Navigate to opp dashboard
2. Click on services delivered
3. Click on the worker name
4. On visit verification page &gt;&gt; tasks tab &gt;&gt; create task 
5. Save the task with empty task field</t>
  </si>
  <si>
    <t>- User should not be able to assign task 
- user should see "please select an item in the list" error for task field</t>
  </si>
  <si>
    <t>Re-Learn_21</t>
  </si>
  <si>
    <t>Verify due date field mandatory validation</t>
  </si>
  <si>
    <t>1. Navigate to opp dashboard
2. Click on services delivered
3. Click on the worker name
4. On visit verification page &gt;&gt; tasks tab &gt;&gt; create task 
5. Save the task with empty date field</t>
  </si>
  <si>
    <t>- User should not be able to assign task 
- user should see "please fill in this field" error for due date field</t>
  </si>
  <si>
    <t>Re-Learn_22</t>
  </si>
  <si>
    <t>Verify user is not able to assign task by clicking on close button</t>
  </si>
  <si>
    <t>Cont to above TC
- At the bottom of page, on tasks tab click on the create task button
- Fill all the details &gt;&gt; click close</t>
  </si>
  <si>
    <t>- User should not able to assign task for a worker</t>
  </si>
  <si>
    <t>Re-Learn_23</t>
  </si>
  <si>
    <t>Verify user is able to edit the assigned task</t>
  </si>
  <si>
    <t>1. Navigate to opp dashboard
2. Click on services delivered
3. Click on the worker name
4. On visit verification page, go to tasks tab
5. Click on task which is in "to do" status
6. At visit details, click on edit icon &gt;&gt; Change new end date &gt;&gt; save</t>
  </si>
  <si>
    <t>- Edited changes should get updated successfully</t>
  </si>
  <si>
    <t>Re-Learn_24</t>
  </si>
  <si>
    <t>Verify user is able to view the submitted task form</t>
  </si>
  <si>
    <t>1. Navigate to opp dashboard
2. Click on services delivered
3. Click on the worker name
4. On visit verification page, go to tasks tab
5. Click on task which is in "Completed" status
6. At visit details, click on "view form in commcare hq" button</t>
  </si>
  <si>
    <t>- User should land on commcare hq submitted form page</t>
  </si>
  <si>
    <t>Re-Learn_25</t>
  </si>
  <si>
    <t>Verify task details</t>
  </si>
  <si>
    <t xml:space="preserve">1. Navigate to opp dashboard
2. Click on services delivered
3. Click on the worker name
4. On visit verification page, go to tasks tab
5. Click on task </t>
  </si>
  <si>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</si>
  <si>
    <t>Re-Learn_26</t>
  </si>
  <si>
    <t>Verify user is able to delete the "to do" tasks</t>
  </si>
  <si>
    <t>1. Navigate to opp dashboard
2. Click on services delivered
3. Click on the worker name
4. On visit verification page, go to tasks tab
5. See that At bottom of page, delete task button is present
6. Select the to do tasks &gt;&gt; click delete tasks</t>
  </si>
  <si>
    <t>- User should be able to delete tasks that are in to do status</t>
  </si>
  <si>
    <t>Re-Learn_27</t>
  </si>
  <si>
    <t>Verify user is able to land on Tasks list page</t>
  </si>
  <si>
    <t xml:space="preserve">1. Navigate to opp dahsboard
2. Click on the "Tasks assigned to connect workers" button
</t>
  </si>
  <si>
    <t xml:space="preserve">- User should land on tasks list tab 
</t>
  </si>
  <si>
    <t>Re-Learn_28</t>
  </si>
  <si>
    <t>Verfiy filters pop up on task tab (connect workers page)</t>
  </si>
  <si>
    <t>1. Navigate to opp dahsboard
2. Click on the "Tasks assigned to connect workers" button
3. Click on filters icon</t>
  </si>
  <si>
    <t>- Following fields are shown on filter pop up:
Worker name
Tasks status
Tasks type
Date assigned from
Date assigned before
Due date from
Due date before</t>
  </si>
  <si>
    <t>Re-Learn_29</t>
  </si>
  <si>
    <t>Verify filter combinations on tasks tab(connect workers page)</t>
  </si>
  <si>
    <t>1. Navigate to opp dahsboard
2. Click on the "Tasks assigned to connect workers" button
3. Click on filters icon
4. Apply filters with different combinations</t>
  </si>
  <si>
    <t>- Tasks should be visible as per the applied filters</t>
  </si>
  <si>
    <t>Re-Learn_30</t>
  </si>
  <si>
    <t>Verfiy filters pop up on task tab (Visit verification page)</t>
  </si>
  <si>
    <t>1. Navigate to visit verification page &gt;&gt; tasks tab
2. Click on filters icon</t>
  </si>
  <si>
    <t xml:space="preserve">- Following fields are shown on filter pop up:
Tasks status
Tasks type
Date assigned 
Due date from
</t>
  </si>
  <si>
    <t>Re-Learn_31</t>
  </si>
  <si>
    <t>Verify filter combinations on tasks tab(Visit verification page)</t>
  </si>
  <si>
    <t>1. Navigate to visit verification page &gt;&gt; tasks tab
2. Click on filters icon 
3. Apply filters with different combinations</t>
  </si>
  <si>
    <t>Re-Learn_32</t>
  </si>
  <si>
    <t>Verify user lands on Task List page upon clicking on task assigned to connect workers on opp dashboard</t>
  </si>
  <si>
    <t xml:space="preserve">1. On Opp dashboard &gt;&gt; click on "tasks assigned to connect workers"
</t>
  </si>
  <si>
    <t>- User should land on Tasks list page</t>
  </si>
  <si>
    <t>Re-Learn_33</t>
  </si>
  <si>
    <t>Verify user is able to create a task from task list page</t>
  </si>
  <si>
    <t>1. Navigate to tasks list page
2. Click on "+" button
3. On create task pop up, select task and select the worker
4. Click on save changes</t>
  </si>
  <si>
    <t>- Task assigned push notification should be recieved for a mobile worker
- Task assigned should see the list</t>
  </si>
  <si>
    <t>Re-Learn_34</t>
  </si>
  <si>
    <t>Verify user is able to delete task from task list page</t>
  </si>
  <si>
    <t>1. Navigate to tasks list page
2. Select tasks that are in "to do" status
3. Click on delete bin icon button</t>
  </si>
  <si>
    <t>- User should be able to delete the assigned task which is in "to do" status</t>
  </si>
  <si>
    <t>Re-Learn_35</t>
  </si>
  <si>
    <t>Verify user  is able to edit the to do task from task list page</t>
  </si>
  <si>
    <t>1. Navigate to tasks list page
2. Click on edit button at to do tasks status</t>
  </si>
  <si>
    <t>- User should be able to edit the tasks in to do status</t>
  </si>
  <si>
    <t>Re-Learn_36</t>
  </si>
  <si>
    <t>Verify filter combination on task list page</t>
  </si>
  <si>
    <t>1. Navigate to tasks list page
2. Click on filters icon
3. Select different combinations of filters and apply</t>
  </si>
  <si>
    <t>- Follwoing fields should be there on filters pop up:
  Workers name
  Task type
  Task status
   In active - yes, no (Archived tasks)
   Date assigned from and before
   Due date from and before
- Tasks should get filtered as per applied filters</t>
  </si>
  <si>
    <t>Re-Learn_37</t>
  </si>
  <si>
    <t>Verfiy task list page details</t>
  </si>
  <si>
    <t>Following details are there in task list page:
- Task ID
- Connect worker
- Task status
- Task type
- Assigned date
- due data
- Assigned by 
- Edit button (only for to do status)</t>
  </si>
  <si>
    <t>Re-Learn_38</t>
  </si>
  <si>
    <t>Verify user is able to sort details by headder arrows</t>
  </si>
  <si>
    <t>1. On Opp dashboard &gt;&gt; click on "tasks assigned to connect workers"
2. On tasks list page &gt;&gt; Click on headder arrows</t>
  </si>
  <si>
    <t>- List should be sort by clicking on arrow headders</t>
  </si>
  <si>
    <t>prerequisite - Microplanning feature flag should be enabled for managed opportunity</t>
  </si>
  <si>
    <t>Ticket/ Bug</t>
  </si>
  <si>
    <t>Comments</t>
  </si>
  <si>
    <t>Microplanning_01</t>
  </si>
  <si>
    <t>Verify user is able to land on select opportunity area page(microplanning)</t>
  </si>
  <si>
    <t xml:space="preserve">1. Login to CCC web UI
2. On Opp dashboard, click on "View progress map" button
</t>
  </si>
  <si>
    <t>- User should land on select opp area page</t>
  </si>
  <si>
    <t>Microplanning_02</t>
  </si>
  <si>
    <t>Verify user is able to cluster work areas</t>
  </si>
  <si>
    <t>1. Login to CCC web UI
2. On Opp dashboard, click on "View progress map" button
3. Click on "create work area groups"</t>
  </si>
  <si>
    <t>- Uploaded work areas are grouped together as clusters based on backend code
- User should see the colours for the work areas after clustering</t>
  </si>
  <si>
    <t>Microplanning_03</t>
  </si>
  <si>
    <t>Verify user is able to download the work area summary</t>
  </si>
  <si>
    <t>1. Login to CCC web UI
2. On Opp dashboard, click on "View progress map" button
3. At filter map work areas section, click on download arrow button</t>
  </si>
  <si>
    <t xml:space="preserve">- File should get downloaded with work area summary
- If filters are applied, file should get downloaded with work area details based on filters </t>
  </si>
  <si>
    <t>Microplanning_04</t>
  </si>
  <si>
    <t>Verify Filter Map work Areas</t>
  </si>
  <si>
    <t>1. Login to CCC web UI
2. On Opp dashboard, click on "View progress map" button
3. Observe the filter map work areas</t>
  </si>
  <si>
    <t xml:space="preserve">- Following fields should be visible under filter map work areas:
Show visits toggle button
Work Areas status
Assignee
Start date
End date
Show only unassigned section
</t>
  </si>
  <si>
    <t>Microplanning_05</t>
  </si>
  <si>
    <t>Verify show visits option under filter map work areas</t>
  </si>
  <si>
    <t>1. Login to CCC web UI
2. On Opp dashboard, click on "View progress map" button
3. Under filter map work areas section, enable show visits button</t>
  </si>
  <si>
    <t>- If show visits is on, user should see the submitted visits in the map
- If it is off, no visits are shown on map</t>
  </si>
  <si>
    <t>Microplanning_06</t>
  </si>
  <si>
    <t>Verify show only unassigned option</t>
  </si>
  <si>
    <t>1. Login to CCC web UI
2. On Opp dashboard, click on "View progress map" button
3. Under filter map work areas section, Click on the dropdown of show only unassigned option</t>
  </si>
  <si>
    <t>- Following options should be available for show only unassigned option:
Unknown
Yes
No 
- If yes is selected, only unassigned visits are highlighted
- If No is selected, all visits are shown</t>
  </si>
  <si>
    <t>Microplanning_07</t>
  </si>
  <si>
    <t>Verify work area status field</t>
  </si>
  <si>
    <t>1. Login to CCC web UI
2. On Opp dashboard, click on "View progress map" button
3. Under filter map work areas section, Click on work area status field</t>
  </si>
  <si>
    <t>Following options are visible for work area status field:
- Not Started
- Unassigned
- Not visited
- Visited
- Request for inaccessible
- Inaccesible
- Excluded
- Expected visit count
User should be able to select multiple options from the dropdown</t>
  </si>
  <si>
    <t>Microplanning_08</t>
  </si>
  <si>
    <t>Verify user is able to see the work areas highlighted based on selected status</t>
  </si>
  <si>
    <t>1. Login to CCC web UI
2. On Opp dashboard, click on "View progress map" button
3. Under filter map work areas section, Click on work area status field
4. Select the options from work area status field</t>
  </si>
  <si>
    <t>- Work areas should get based on selected options</t>
  </si>
  <si>
    <t>Microplanning_09</t>
  </si>
  <si>
    <t>Verify user is able to review the inaccessible request</t>
  </si>
  <si>
    <t>1. Assign work area to user
2. From mobile request work area for inaccesible
3. On Opp dashboard, click on "View progress map" button
4. Select the work area used in step 2
4. Under work area details click on review inaccessible button</t>
  </si>
  <si>
    <t>Follwoing details are observed on the review pop up:
- Visit date
- Reason
- Location
- Photo evidence
- Return to progress map button
- Deny request button
- Approve as inaccessible</t>
  </si>
  <si>
    <t>Microplanning_10</t>
  </si>
  <si>
    <t>Verify user is able to approve the inaccessible request</t>
  </si>
  <si>
    <t xml:space="preserve">cont to above TC
- Click on deny button
</t>
  </si>
  <si>
    <t>- Push notification is sent to mobile that request for inaccesibility is denined
- Work area status will update accordingly in web</t>
  </si>
  <si>
    <t>Microplanning_11</t>
  </si>
  <si>
    <t>Verify user is able to deny the inaccessible request</t>
  </si>
  <si>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</si>
  <si>
    <t>- Work area is marked as inaccessible</t>
  </si>
  <si>
    <t>Microplanning_12</t>
  </si>
  <si>
    <t>Verify assignee field</t>
  </si>
  <si>
    <t>1. Login to CCC web UI
2. On Opp dashboard, click on "View progress map" button
3. Under filter map work areas section, Click on assignee field</t>
  </si>
  <si>
    <t>Assignee field dropdown should contain only the workers list that are assigned for work areas</t>
  </si>
  <si>
    <t>Microplanning_13</t>
  </si>
  <si>
    <t>Verify start date field</t>
  </si>
  <si>
    <t>1. Login to CCC web UI
2. On Opp dashboard, click on "View progress map" button
3. Under filter map work areas section, Click on start date field</t>
  </si>
  <si>
    <t>User should be able to select the date from calender widget</t>
  </si>
  <si>
    <t>Microplanning_14</t>
  </si>
  <si>
    <t>Verify end date field</t>
  </si>
  <si>
    <t>1. Login to CCC web UI
2. On Opp dashboard, click on "View progress map" button
3. Under filter map work areas section, Click on end date field</t>
  </si>
  <si>
    <t>Microplanning_15</t>
  </si>
  <si>
    <t>Verify different combinations of filters</t>
  </si>
  <si>
    <t>1. Login to CCC web UI
2. On Opp dashboard, click on "View progress map" button
3. Under filter map work areas section, apply different combinations of filters</t>
  </si>
  <si>
    <t xml:space="preserve">- When filters are applied, user should see the work areas based on filters
</t>
  </si>
  <si>
    <t>Microplanning_16</t>
  </si>
  <si>
    <t>Verify select work area section</t>
  </si>
  <si>
    <t>1. Login to CCC web UI
2. On Opp dashboard, click on "View progress map" button
3. Select work area from map 
4. Verify "select work area" section is displayed</t>
  </si>
  <si>
    <t>Following information is visible under select work area section
- Assignee
- Work Area Group
- Expected visit count
- Number of buildings
- Status 
- Modify work area button</t>
  </si>
  <si>
    <t>Microplanning_17</t>
  </si>
  <si>
    <t>Verify user is able to modify work area</t>
  </si>
  <si>
    <t>1. Login to CCC web UI
2. On Opp dashboard, click on "View progress map" button
3. Select work area from map 
4. Verify "select work area" section is displayed
5. Click on modify work area button, edit the work area
6. Click on save button</t>
  </si>
  <si>
    <t>- User should be able to modify the work area successfully</t>
  </si>
  <si>
    <t>Microplanning_18</t>
  </si>
  <si>
    <t>Verify user is able to land on work area assignment page upon clicking on enter assignment mode</t>
  </si>
  <si>
    <t>1. Login to CCC web UI
2. On Opp dashboard, click on "View progress map" button
3. Click Enter assignment mode</t>
  </si>
  <si>
    <t>- User should land on work area assignment mode</t>
  </si>
  <si>
    <t>Microplanning_19</t>
  </si>
  <si>
    <t>Verify user is able to assign work area to worker</t>
  </si>
  <si>
    <t>1. Login to CCC web UI
2. On Opp dashboard, click on "View progress map" button
3. Click Enter assignment mode
4. Select work area &gt;&gt; FLW &gt;&gt; save and confirm</t>
  </si>
  <si>
    <t>- User should be able to assign work area successfully</t>
  </si>
  <si>
    <t>Microplanning_20</t>
  </si>
  <si>
    <t>Verify user is able to assign multiple work areas to a worker in one action</t>
  </si>
  <si>
    <t>1. Login to CCC web UI
2. On Opp dashboard, click on "View progress map" button
3. Click Enter assignment mode
4. Select multiple work areas &gt;&gt; FLW &gt;&gt; save and confirm</t>
  </si>
  <si>
    <t>- User should be able to assign multiple work areas successfully</t>
  </si>
  <si>
    <t>Microplanning_21</t>
  </si>
  <si>
    <t>Verify "Show only unassigned Work Areas" toggle button</t>
  </si>
  <si>
    <t>1. Login to CCC web UI
2. On Opp dashboard, click on "View progress map" button
3. Click Enter assignment mode
4. Click on the "Show only unassigned work areas" toggle button</t>
  </si>
  <si>
    <t>- If shown only unassigned work area is on, Only unassigned work areas are visible on map
- If Off, All work areas are visible</t>
  </si>
  <si>
    <t>Microplanning_22</t>
  </si>
  <si>
    <t>Verify "Select Work Areas to Assign" dropdown contains list of work area groups</t>
  </si>
  <si>
    <t>1. Login to CCC web UI
2. On Opp dashboard, click on "View progress map" button
3. Click on create work area groups
4. Click on enter assignment mode
5. Select the group field under select work area section</t>
  </si>
  <si>
    <t>- Work area groups field should contain list of work areas</t>
  </si>
  <si>
    <t>Microplanning_23</t>
  </si>
  <si>
    <t>Verify user is able to exclude assigned work area from opportunity</t>
  </si>
  <si>
    <t>1. Login to CCC web UI
2. On Opp dashboard, click on "View progress map" button
3. Click on enter assignment mode
4. Select the group field under select work area section
5. Verify the "Exclude work area" button is enabled &gt;&gt; Click on the button
6. Enter reason &gt;&gt; EXclude</t>
  </si>
  <si>
    <t>- User should be able to exclude only (not visited) assigned work areas</t>
  </si>
  <si>
    <t>Microplanning_24</t>
  </si>
  <si>
    <t>Verify user is able unassign selected areas</t>
  </si>
  <si>
    <t xml:space="preserve">1. Login to CCC web UI
2. On Opp dashboard, click on "View progress map" button
3. Click on enter assignment mode
4. Select the group field under select work area section
5. Verify the "Unassign Selected Areas" button is enabled &gt;&gt; Click on the button
</t>
  </si>
  <si>
    <t>- User should be able to unassign selected areas successfully</t>
  </si>
  <si>
    <t>Microplanning_25</t>
  </si>
  <si>
    <t xml:space="preserve">Verify select new assignee dropdown contains all the connect workers </t>
  </si>
  <si>
    <t>1. Login to CCC web UI
2. On Opp dashboard, click on "View progress map" button
3. Click on enter assignment mode
4. Click on "select FLW" field, under 'Select new Assignee' section</t>
  </si>
  <si>
    <t>- User should see the list of connect workers under select new assignee field</t>
  </si>
  <si>
    <t>Microplanning_26</t>
  </si>
  <si>
    <t>Verify user is able to asssign multiple workers in signle action</t>
  </si>
  <si>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</si>
  <si>
    <t>Microplanning_27</t>
  </si>
  <si>
    <t>Verify FLW summary</t>
  </si>
  <si>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</si>
  <si>
    <t xml:space="preserve">Following details are Shown under FLW summary when FLW is selected:
- Count of Assigned Buildings
- Count of Assigned Visits
- Count of Assigned Work Areas
- view summary by FLW button
- View Visits button
</t>
  </si>
  <si>
    <t>Microplanning_28</t>
  </si>
  <si>
    <t>Verify user lands on work area assignments page when clicking on view summary by FLW button</t>
  </si>
  <si>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</si>
  <si>
    <t>- User should land on the work area assignments page</t>
  </si>
  <si>
    <t>Microplanning_29</t>
  </si>
  <si>
    <t>Verify user lands on visits page when clicking on view visits button</t>
  </si>
  <si>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</si>
  <si>
    <t>- User should land on the connect workers page</t>
  </si>
  <si>
    <t>Microplanning_30</t>
  </si>
  <si>
    <t>Verify details on opp card [microplanning page]</t>
  </si>
  <si>
    <t>1. Login to CCC web UI
2. On Opp dashboard, click on "View progress map" button
3.Verify work area details on top of the page</t>
  </si>
  <si>
    <t>Following details are shown:
- Days Remaining
- Unvisited Work Areas
- Visited Work Areas
- EVC Reached
- Inaccessible Work Areas
- Excluded Work Areas
- WA visited : Visits ratio
- Coverage see more button</t>
  </si>
  <si>
    <t>Microplanning_31</t>
  </si>
  <si>
    <t>Verify user is able to land on progress tracker page upon clicking on coverage(see more) button on microplanning page</t>
  </si>
  <si>
    <t xml:space="preserve">1. Navigate to Opp dashboard
2. Click on View progress map button
3. click on coverage see more button
</t>
  </si>
  <si>
    <t>- User should be able to land on progress tracker page</t>
  </si>
  <si>
    <t>Microplanning_32</t>
  </si>
  <si>
    <t>Verify metrics count on microplanning page matches the work areas</t>
  </si>
  <si>
    <t>1. Login to CCC web UI
2. On Opp dashboard, click on "View progress map" button
3.Verify work area details on top of the page
4. Apply filters and verify the count matches the work areas highlighted</t>
  </si>
  <si>
    <t>- Metrics count should match with the work areas highlighted</t>
  </si>
  <si>
    <t>Microplanning_33</t>
  </si>
  <si>
    <t>Verify assigned work areas are shown under work area assignments tab</t>
  </si>
  <si>
    <t>1. Navigate to Opp dashboard
2. Click on connect workers button 
3. Navigte to work area assignment tabs on connect workers page</t>
  </si>
  <si>
    <t>Follwoing details are shown on work area assignment tabs:
- Name
- Last active
- Assigned Buildings
- Assigned Visits
- Assigned work areas
- Assigned work area groups
- visits done</t>
  </si>
  <si>
    <t>Microplanning_34</t>
  </si>
  <si>
    <t>Verify user should sort using sort arrows at headers on work area assignment tab</t>
  </si>
  <si>
    <t>1. Navigate to Opp dashboard
2. Click on connect workers button 
3. Navigte to work area assignment tabs on connect workers page
4. Click on sort arrows at headers</t>
  </si>
  <si>
    <t>- user should be able to sort the details using sort arrows at headers</t>
  </si>
  <si>
    <t>Microplanning_35</t>
  </si>
  <si>
    <t>Verify details on progress Tracker page</t>
  </si>
  <si>
    <t>Following details are shown on progress tracker page:
Ward saturation goal percentage
Date filter
Core metrics
Metrics by Work Area Group
Download buttons</t>
  </si>
  <si>
    <t>Microplanning_36</t>
  </si>
  <si>
    <t>Verify core metrics details</t>
  </si>
  <si>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</si>
  <si>
    <t>Microplanning_37</t>
  </si>
  <si>
    <t xml:space="preserve">Verify Metrics by work area group details </t>
  </si>
  <si>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</si>
  <si>
    <t>Microplanning_38</t>
  </si>
  <si>
    <t>Verify date filter on progress tracker page</t>
  </si>
  <si>
    <t>1. Navigate to Opp dashboard
2. Click on View progress map button
3. Click on coverage see more button
4. Apply date filters</t>
  </si>
  <si>
    <t>- User should be able to select the from and to dates</t>
  </si>
  <si>
    <t>Microplanning_39</t>
  </si>
  <si>
    <t>Verify ward saturation goal percentage</t>
  </si>
  <si>
    <t>1. Navigate to Opp dashboard
2. Click on View progress map button
3. Click on coverage see more button
4. Verify the ward satuartion goal</t>
  </si>
  <si>
    <t>- User should see updated percentage according to progress</t>
  </si>
  <si>
    <t>Microplanning_40</t>
  </si>
  <si>
    <t>Verify that core metrics are updated based on the selected date range.</t>
  </si>
  <si>
    <t>Core metrics data should get updated as per applied date</t>
  </si>
  <si>
    <t>Verify user is able to download the core metrics file</t>
  </si>
  <si>
    <t>&lt;Feature_Name&gt; 
or
&lt;Ticket Title&gt;</t>
  </si>
  <si>
    <t>Key</t>
  </si>
  <si>
    <t>- Feature Description
- Test Domain
- Feature Flag
- (For master test plans) Last executed
- &lt;Anything specific to be added&gt;</t>
  </si>
  <si>
    <t>&lt;optional&gt; Documentation Status</t>
  </si>
  <si>
    <t>Duration</t>
  </si>
  <si>
    <t>Case Results
(if none, displays as 0)</t>
  </si>
  <si>
    <t>Ticket Summaries
(if none, displays as #N/A)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</si>
</sst>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yyyy"/>
  </numFmts>
  <fonts count="25">
    <font>
      <sz val="10.0"/>
      <color rgb="FF000000"/>
      <name val="Arial"/>
      <scheme val="minor"/>
    </font>
    <font>
      <b/>
      <sz val="10.0"/>
      <color theme="1"/>
      <name val="Arial"/>
      <scheme val="minor"/>
    </font>
    <font>
      <b/>
      <color theme="1"/>
      <name val="Arial"/>
    </font>
    <font/>
    <font>
      <color theme="1"/>
      <name val="Arial"/>
      <scheme val="minor"/>
    </font>
    <font>
      <color theme="1"/>
      <name val="Arial"/>
    </font>
    <font>
      <sz val="11.0"/>
      <color theme="1"/>
      <name val="&quot;Nunito Sans&quot;"/>
    </font>
    <font>
      <color rgb="FF000000"/>
      <name val="Arial"/>
      <scheme val="minor"/>
    </font>
    <font>
      <b/>
      <color rgb="FFFFFFFF"/>
      <name val="Arial"/>
    </font>
    <font>
      <sz val="11.0"/>
      <color rgb="FF000000"/>
      <name val="Arial"/>
    </font>
    <font>
      <b/>
      <sz val="11.0"/>
      <color rgb="FFFFFFFF"/>
      <name val="Roboto"/>
    </font>
    <font>
      <sz val="11.0"/>
      <color theme="1"/>
      <name val="Roboto"/>
    </font>
    <font>
      <sz val="11.0"/>
      <color rgb="FFFFFFFF"/>
      <name val="Roboto"/>
    </font>
    <font>
      <b/>
      <sz val="10.0"/>
      <color rgb="FF000000"/>
      <name val="Arial"/>
    </font>
    <font>
      <sz val="10.0"/>
      <color theme="1"/>
      <name val="Arial"/>
    </font>
    <font>
      <u/>
      <color rgb="FF0000FF"/>
      <name val="Arial"/>
    </font>
    <font>
      <sz val="10.0"/>
      <color rgb="FF000000"/>
      <name val="Arial"/>
    </font>
    <font>
      <b/>
      <sz val="10.0"/>
      <color theme="1"/>
      <name val="Arial"/>
    </font>
    <font>
      <sz val="11.0"/>
      <color theme="1"/>
      <name val="Nunito Sans"/>
    </font>
    <font>
      <u/>
      <color rgb="FF1155CC"/>
      <name val="Arial"/>
    </font>
    <font>
      <sz val="11.0"/>
      <color rgb="FF000000"/>
      <name val="Calibri"/>
    </font>
    <font>
      <b/>
      <sz val="11.0"/>
      <color rgb="FF222222"/>
      <name val="Calibri"/>
    </font>
    <font>
      <b/>
      <color rgb="FF222222"/>
      <name val="Arial"/>
    </font>
    <font>
      <b/>
      <sz val="10.0"/>
      <color rgb="FFFFFFFF"/>
      <name val="Arial"/>
      <scheme val="minor"/>
    </font>
    <font>
      <sz val="10.0"/>
      <color theme="1"/>
      <name val="Arial"/>
      <scheme val="minor"/>
    </font>
  </fonts>
  <fills count="19">
    <fill>
      <patternFill patternType="none"/>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48">
    <xf borderId="0" fillId="0" fontId="0" numFmtId="0" xfId="0" applyAlignment="1" applyFont="1">
      <alignment readingOrder="0" shrinkToFit="0" vertical="bottom" wrapText="0"/>
    </xf>
    <xf borderId="1" fillId="0" fontId="1" numFmtId="0" xfId="0" applyAlignment="1" applyBorder="1" applyFont="1">
      <alignment horizontal="center" vertical="center"/>
    </xf>
    <xf borderId="2" fillId="0" fontId="2" numFmtId="0" xfId="0" applyAlignment="1" applyBorder="1" applyFont="1">
      <alignment horizontal="center" readingOrder="0" vertical="center"/>
    </xf>
    <xf borderId="3" fillId="0" fontId="3" numFmtId="0" xfId="0" applyBorder="1" applyFont="1"/>
    <xf borderId="4" fillId="0" fontId="3" numFmtId="0" xfId="0" applyBorder="1" applyFont="1"/>
    <xf borderId="5" fillId="0" fontId="4" numFmtId="0" xfId="0" applyAlignment="1" applyBorder="1" applyFont="1">
      <alignment vertical="center"/>
    </xf>
    <xf borderId="6" fillId="0" fontId="2" numFmtId="0" xfId="0" applyAlignment="1" applyBorder="1" applyFont="1">
      <alignment horizontal="center" readingOrder="0" vertical="center"/>
    </xf>
    <xf borderId="7" fillId="0" fontId="3" numFmtId="0" xfId="0" applyBorder="1" applyFont="1"/>
    <xf borderId="8" fillId="0" fontId="3" numFmtId="0" xfId="0" applyBorder="1" applyFont="1"/>
    <xf borderId="5" fillId="0" fontId="5" numFmtId="0" xfId="0" applyAlignment="1" applyBorder="1" applyFont="1">
      <alignment horizontal="center" vertical="center"/>
    </xf>
    <xf borderId="9" fillId="0" fontId="3" numFmtId="0" xfId="0" applyBorder="1" applyFont="1"/>
    <xf borderId="10" fillId="0" fontId="3" numFmtId="0" xfId="0" applyBorder="1" applyFont="1"/>
    <xf borderId="11" fillId="0" fontId="3" numFmtId="0" xfId="0" applyBorder="1" applyFont="1"/>
    <xf borderId="12" fillId="0" fontId="3" numFmtId="0" xfId="0" applyBorder="1" applyFont="1"/>
    <xf borderId="6" fillId="0" fontId="6" numFmtId="0" xfId="0" applyAlignment="1" applyBorder="1" applyFont="1">
      <alignment readingOrder="0" vertical="center"/>
    </xf>
    <xf borderId="6" fillId="0" fontId="5" numFmtId="0" xfId="0" applyAlignment="1" applyBorder="1" applyFont="1">
      <alignment horizontal="left" vertical="center"/>
    </xf>
    <xf borderId="5" fillId="0" fontId="5" numFmtId="0" xfId="0" applyAlignment="1" applyBorder="1" applyFont="1">
      <alignment horizontal="left" vertical="center"/>
    </xf>
    <xf borderId="2" fillId="0" fontId="7" numFmtId="0" xfId="0" applyAlignment="1" applyBorder="1" applyFont="1">
      <alignment horizontal="left" readingOrder="0" shrinkToFit="0" vertical="center" wrapText="1"/>
    </xf>
    <xf borderId="13" fillId="0" fontId="3" numFmtId="0" xfId="0" applyBorder="1" applyFont="1"/>
    <xf borderId="14" fillId="0" fontId="3" numFmtId="0" xfId="0" applyBorder="1" applyFont="1"/>
    <xf borderId="15" fillId="0" fontId="3" numFmtId="0" xfId="0" applyBorder="1" applyFont="1"/>
    <xf borderId="6" fillId="2" fontId="6" numFmtId="0" xfId="0" applyAlignment="1" applyBorder="1" applyFill="1" applyFont="1">
      <alignment readingOrder="0" vertical="center"/>
    </xf>
    <xf borderId="5" fillId="0" fontId="5" numFmtId="0" xfId="0" applyAlignment="1" applyBorder="1" applyFont="1">
      <alignment horizontal="left" shrinkToFit="0" vertical="center" wrapText="1"/>
    </xf>
    <xf borderId="5" fillId="3" fontId="8" numFmtId="0" xfId="0" applyAlignment="1" applyBorder="1" applyFill="1" applyFont="1">
      <alignment horizontal="center" vertical="center"/>
    </xf>
    <xf borderId="6" fillId="4" fontId="9" numFmtId="0" xfId="0" applyAlignment="1" applyBorder="1" applyFill="1" applyFont="1">
      <alignment horizontal="center" readingOrder="0" vertical="center"/>
    </xf>
    <xf borderId="5" fillId="0" fontId="5" numFmtId="0" xfId="0" applyAlignment="1" applyBorder="1" applyFont="1">
      <alignment horizontal="left" readingOrder="0" vertical="center"/>
    </xf>
    <xf borderId="5" fillId="0" fontId="4" numFmtId="0" xfId="0" applyAlignment="1" applyBorder="1" applyFont="1">
      <alignment horizontal="center" readingOrder="0" vertical="center"/>
    </xf>
    <xf borderId="5" fillId="0" fontId="4" numFmtId="14" xfId="0" applyAlignment="1" applyBorder="1" applyFont="1" applyNumberFormat="1">
      <alignment horizontal="center" readingOrder="0" vertical="center"/>
    </xf>
    <xf borderId="5" fillId="0" fontId="4" numFmtId="164" xfId="0" applyAlignment="1" applyBorder="1" applyFont="1" applyNumberFormat="1">
      <alignment horizontal="center" readingOrder="0" vertical="center"/>
    </xf>
    <xf borderId="5" fillId="0" fontId="4" numFmtId="0" xfId="0" applyAlignment="1" applyBorder="1" applyFont="1">
      <alignment horizontal="center" vertical="center"/>
    </xf>
    <xf borderId="5" fillId="3" fontId="10" numFmtId="0" xfId="0" applyAlignment="1" applyBorder="1" applyFont="1">
      <alignment horizontal="center" shrinkToFit="0" vertical="center" wrapText="1"/>
    </xf>
    <xf borderId="5" fillId="3" fontId="10" numFmtId="0" xfId="0" applyAlignment="1" applyBorder="1" applyFont="1">
      <alignment horizontal="center" readingOrder="0" shrinkToFit="0" vertical="center" wrapText="1"/>
    </xf>
    <xf borderId="5" fillId="3" fontId="10" numFmtId="0" xfId="0" applyAlignment="1" applyBorder="1" applyFont="1">
      <alignment horizontal="center" shrinkToFit="0" vertical="center" wrapText="1"/>
    </xf>
    <xf borderId="6" fillId="3" fontId="10" numFmtId="0" xfId="0" applyAlignment="1" applyBorder="1" applyFont="1">
      <alignment horizontal="center" shrinkToFit="0" vertical="center" wrapText="1"/>
    </xf>
    <xf borderId="5" fillId="0" fontId="5" numFmtId="0" xfId="0" applyAlignment="1" applyBorder="1" applyFont="1">
      <alignment vertical="center"/>
    </xf>
    <xf borderId="5" fillId="3" fontId="10" numFmtId="0" xfId="0" applyAlignment="1" applyBorder="1" applyFont="1">
      <alignment horizontal="center" shrinkToFit="0" wrapText="1"/>
    </xf>
    <xf borderId="5" fillId="0" fontId="5" numFmtId="0" xfId="0" applyBorder="1" applyFont="1"/>
    <xf borderId="5" fillId="0" fontId="5" numFmtId="0" xfId="0" applyBorder="1" applyFont="1"/>
    <xf borderId="5" fillId="5" fontId="11" numFmtId="0" xfId="0" applyAlignment="1" applyBorder="1" applyFill="1" applyFont="1">
      <alignment horizontal="center" shrinkToFit="0" vertical="center" wrapText="1"/>
    </xf>
    <xf borderId="5" fillId="6" fontId="11" numFmtId="0" xfId="0" applyAlignment="1" applyBorder="1" applyFill="1" applyFont="1">
      <alignment horizontal="center" shrinkToFit="0" vertical="center" wrapText="1"/>
    </xf>
    <xf borderId="5" fillId="7" fontId="11" numFmtId="0" xfId="0" applyAlignment="1" applyBorder="1" applyFill="1" applyFont="1">
      <alignment horizontal="center" shrinkToFit="0" vertical="center" wrapText="1"/>
    </xf>
    <xf borderId="5" fillId="2" fontId="12" numFmtId="0" xfId="0" applyAlignment="1" applyBorder="1" applyFont="1">
      <alignment horizontal="center" shrinkToFit="0" vertical="center" wrapText="1"/>
    </xf>
    <xf borderId="5" fillId="4" fontId="11" numFmtId="0" xfId="0" applyAlignment="1" applyBorder="1" applyFont="1">
      <alignment horizontal="center" shrinkToFit="0" vertical="center" wrapText="1"/>
    </xf>
    <xf borderId="5" fillId="0" fontId="11" numFmtId="0" xfId="0" applyAlignment="1" applyBorder="1" applyFont="1">
      <alignment horizontal="center" shrinkToFit="0" vertical="center" wrapText="1"/>
    </xf>
    <xf borderId="0" fillId="0" fontId="5" numFmtId="0" xfId="0" applyFont="1"/>
    <xf borderId="0" fillId="0" fontId="5" numFmtId="0" xfId="0" applyFont="1"/>
    <xf borderId="0" fillId="0" fontId="5" numFmtId="0" xfId="0" applyAlignment="1" applyFont="1">
      <alignment vertical="center"/>
    </xf>
    <xf borderId="0" fillId="0" fontId="4" numFmtId="0" xfId="0" applyAlignment="1" applyFont="1">
      <alignment vertical="center"/>
    </xf>
    <xf borderId="0" fillId="5"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2" fontId="12" numFmtId="0" xfId="0" applyAlignment="1" applyFont="1">
      <alignment horizontal="center" shrinkToFit="0" vertical="center" wrapText="1"/>
    </xf>
    <xf borderId="0" fillId="4" fontId="11" numFmtId="0" xfId="0" applyAlignment="1" applyFont="1">
      <alignment horizontal="center" shrinkToFit="0" vertical="center" wrapText="1"/>
    </xf>
    <xf borderId="0" fillId="0" fontId="11" numFmtId="0" xfId="0" applyAlignment="1" applyFont="1">
      <alignment horizontal="center" shrinkToFit="0" vertical="center" wrapText="1"/>
    </xf>
    <xf borderId="5" fillId="8" fontId="1" numFmtId="0" xfId="0" applyAlignment="1" applyBorder="1" applyFill="1" applyFont="1">
      <alignment horizontal="center" readingOrder="0" shrinkToFit="0" vertical="center" wrapText="1"/>
    </xf>
    <xf borderId="5" fillId="8" fontId="13" numFmtId="0" xfId="0" applyAlignment="1" applyBorder="1" applyFont="1">
      <alignment horizontal="center" readingOrder="0" shrinkToFit="0" vertical="center" wrapText="1"/>
    </xf>
    <xf borderId="6" fillId="9" fontId="2" numFmtId="0" xfId="0" applyAlignment="1" applyBorder="1" applyFill="1" applyFont="1">
      <alignment horizontal="center" readingOrder="0" shrinkToFit="0" vertical="center" wrapText="1"/>
    </xf>
    <xf borderId="5" fillId="9" fontId="2" numFmtId="0" xfId="0" applyAlignment="1" applyBorder="1" applyFont="1">
      <alignment horizontal="center" readingOrder="0" shrinkToFit="0" vertical="center" wrapText="1"/>
    </xf>
    <xf borderId="5" fillId="10" fontId="14" numFmtId="0" xfId="0" applyAlignment="1" applyBorder="1" applyFill="1" applyFont="1">
      <alignment horizontal="center" readingOrder="0" shrinkToFit="0" vertical="center" wrapText="1"/>
    </xf>
    <xf borderId="5" fillId="10" fontId="5" numFmtId="0" xfId="0" applyAlignment="1" applyBorder="1" applyFont="1">
      <alignment horizontal="left" readingOrder="0" shrinkToFit="0" vertical="center" wrapText="1"/>
    </xf>
    <xf borderId="5" fillId="10" fontId="15" numFmtId="0" xfId="0" applyAlignment="1" applyBorder="1" applyFont="1">
      <alignment horizontal="left" readingOrder="0" shrinkToFit="0" vertical="bottom" wrapText="1"/>
    </xf>
    <xf borderId="5" fillId="10" fontId="5" numFmtId="0" xfId="0" applyAlignment="1" applyBorder="1" applyFont="1">
      <alignment horizontal="left" readingOrder="0" shrinkToFit="0" vertical="bottom" wrapText="1"/>
    </xf>
    <xf borderId="5" fillId="0" fontId="6" numFmtId="0" xfId="0" applyAlignment="1" applyBorder="1" applyFont="1">
      <alignment horizontal="center" readingOrder="0" vertical="center"/>
    </xf>
    <xf borderId="5" fillId="10" fontId="5" numFmtId="0" xfId="0" applyAlignment="1" applyBorder="1" applyFont="1">
      <alignment horizontal="center" readingOrder="0" shrinkToFit="0" vertical="center" wrapText="1"/>
    </xf>
    <xf borderId="5" fillId="0" fontId="4" numFmtId="0" xfId="0" applyAlignment="1" applyBorder="1" applyFont="1">
      <alignment horizontal="center" readingOrder="0" shrinkToFit="0" wrapText="1"/>
    </xf>
    <xf borderId="5" fillId="0" fontId="4" numFmtId="0" xfId="0" applyAlignment="1" applyBorder="1" applyFont="1">
      <alignment horizontal="left" readingOrder="0" shrinkToFit="0" vertical="bottom" wrapText="1"/>
    </xf>
    <xf borderId="5" fillId="0" fontId="6" numFmtId="0" xfId="0" applyAlignment="1" applyBorder="1" applyFont="1">
      <alignment horizontal="center" readingOrder="0" shrinkToFit="0" vertical="center" wrapText="1"/>
    </xf>
    <xf borderId="5" fillId="0" fontId="4" numFmtId="0" xfId="0" applyAlignment="1" applyBorder="1" applyFont="1">
      <alignment horizontal="center" shrinkToFit="0" wrapText="1"/>
    </xf>
    <xf borderId="5" fillId="10" fontId="5" numFmtId="0" xfId="0" applyAlignment="1" applyBorder="1" applyFont="1">
      <alignment horizontal="left" shrinkToFit="0" vertical="bottom" wrapText="1"/>
    </xf>
    <xf borderId="5" fillId="0" fontId="5" numFmtId="0" xfId="0" applyAlignment="1" applyBorder="1" applyFont="1">
      <alignment horizontal="center" vertical="center"/>
    </xf>
    <xf borderId="5" fillId="0" fontId="5" numFmtId="0" xfId="0" applyAlignment="1" applyBorder="1" applyFont="1">
      <alignment horizontal="left" shrinkToFit="0" vertical="bottom" wrapText="1"/>
    </xf>
    <xf borderId="5" fillId="0" fontId="5" numFmtId="0" xfId="0" applyAlignment="1" applyBorder="1" applyFont="1">
      <alignment horizontal="center" shrinkToFit="0" vertical="center" wrapText="1"/>
    </xf>
    <xf borderId="5" fillId="0" fontId="4" numFmtId="0" xfId="0" applyAlignment="1" applyBorder="1" applyFont="1">
      <alignment horizontal="center" readingOrder="0" shrinkToFit="0" vertical="center" wrapText="1"/>
    </xf>
    <xf borderId="5" fillId="0" fontId="4" numFmtId="0" xfId="0" applyAlignment="1" applyBorder="1" applyFont="1">
      <alignment horizontal="center" shrinkToFit="0" vertical="center" wrapText="1"/>
    </xf>
    <xf borderId="5" fillId="0" fontId="5" numFmtId="0" xfId="0" applyAlignment="1" applyBorder="1" applyFont="1">
      <alignment horizontal="left" readingOrder="0" shrinkToFit="0" vertical="bottom" wrapText="1"/>
    </xf>
    <xf borderId="5" fillId="0" fontId="4" numFmtId="0" xfId="0" applyAlignment="1" applyBorder="1" applyFont="1">
      <alignment horizontal="center"/>
    </xf>
    <xf borderId="5" fillId="9" fontId="2" numFmtId="0" xfId="0" applyAlignment="1" applyBorder="1" applyFont="1">
      <alignment horizontal="center" shrinkToFit="0" vertical="center" wrapText="1"/>
    </xf>
    <xf borderId="5" fillId="0" fontId="16" numFmtId="0" xfId="0" applyAlignment="1" applyBorder="1" applyFont="1">
      <alignment horizontal="left" readingOrder="0" shrinkToFit="0" vertical="bottom" wrapText="1"/>
    </xf>
    <xf borderId="5" fillId="0" fontId="16" numFmtId="0" xfId="0" applyAlignment="1" applyBorder="1" applyFont="1">
      <alignment horizontal="center" readingOrder="0" shrinkToFit="0" vertical="center" wrapText="1"/>
    </xf>
    <xf borderId="5" fillId="0" fontId="5" numFmtId="0" xfId="0" applyAlignment="1" applyBorder="1" applyFont="1">
      <alignment horizontal="center" readingOrder="0" shrinkToFit="0" vertical="center" wrapText="1"/>
    </xf>
    <xf borderId="5" fillId="10" fontId="5" numFmtId="0" xfId="0" applyAlignment="1" applyBorder="1" applyFont="1">
      <alignment horizontal="center" shrinkToFit="0" vertical="center" wrapText="1"/>
    </xf>
    <xf borderId="0" fillId="0" fontId="4" numFmtId="0" xfId="0" applyAlignment="1" applyFont="1">
      <alignment readingOrder="0" shrinkToFit="0" wrapText="1"/>
    </xf>
    <xf borderId="5" fillId="0" fontId="0" numFmtId="0" xfId="0" applyAlignment="1" applyBorder="1" applyFont="1">
      <alignment horizontal="center" readingOrder="0" shrinkToFit="0" vertical="center" wrapText="1"/>
    </xf>
    <xf borderId="5" fillId="0" fontId="9" numFmtId="0" xfId="0" applyAlignment="1" applyBorder="1" applyFont="1">
      <alignment horizontal="left" readingOrder="0" shrinkToFit="0" vertical="bottom" wrapText="1"/>
    </xf>
    <xf borderId="6" fillId="9" fontId="17" numFmtId="0" xfId="0" applyAlignment="1" applyBorder="1" applyFont="1">
      <alignment horizontal="center" readingOrder="0" shrinkToFit="0" vertical="center" wrapText="1"/>
    </xf>
    <xf borderId="5" fillId="0" fontId="16" numFmtId="0" xfId="0" applyAlignment="1" applyBorder="1" applyFont="1">
      <alignment horizontal="center" readingOrder="0" shrinkToFit="0" vertical="center" wrapText="1"/>
    </xf>
    <xf borderId="5" fillId="0" fontId="5" numFmtId="0" xfId="0" applyAlignment="1" applyBorder="1" applyFont="1">
      <alignment readingOrder="0" shrinkToFit="0" vertical="center" wrapText="1"/>
    </xf>
    <xf borderId="5" fillId="0" fontId="4" numFmtId="0" xfId="0" applyAlignment="1" applyBorder="1" applyFont="1">
      <alignment shrinkToFit="0" vertical="center" wrapText="1"/>
    </xf>
    <xf borderId="5" fillId="0" fontId="16" numFmtId="0" xfId="0" applyAlignment="1" applyBorder="1" applyFont="1">
      <alignment horizontal="left" readingOrder="0" shrinkToFit="0" vertical="bottom" wrapText="1"/>
    </xf>
    <xf borderId="5" fillId="0" fontId="4" numFmtId="0" xfId="0" applyBorder="1" applyFont="1"/>
    <xf borderId="0" fillId="0" fontId="4" numFmtId="0" xfId="0" applyAlignment="1" applyFont="1">
      <alignment horizontal="left" vertical="bottom"/>
    </xf>
    <xf borderId="0" fillId="11" fontId="1" numFmtId="0" xfId="0" applyAlignment="1" applyFill="1" applyFont="1">
      <alignment horizontal="left" readingOrder="0" shrinkToFit="0" vertical="center" wrapText="1"/>
    </xf>
    <xf borderId="5" fillId="0" fontId="5" numFmtId="0" xfId="0" applyAlignment="1" applyBorder="1" applyFont="1">
      <alignment horizontal="left" readingOrder="0" shrinkToFit="0" vertical="center" wrapText="1"/>
    </xf>
    <xf borderId="5" fillId="0" fontId="5" numFmtId="0" xfId="0" applyAlignment="1" applyBorder="1" applyFont="1">
      <alignment horizontal="left" shrinkToFit="0" vertical="center" wrapText="1"/>
    </xf>
    <xf borderId="5" fillId="0" fontId="5" numFmtId="0" xfId="0" applyAlignment="1" applyBorder="1" applyFont="1">
      <alignment readingOrder="0" shrinkToFit="0" wrapText="1"/>
    </xf>
    <xf borderId="5" fillId="0" fontId="5" numFmtId="0" xfId="0" applyAlignment="1" applyBorder="1" applyFont="1">
      <alignment shrinkToFit="0" wrapText="1"/>
    </xf>
    <xf borderId="5" fillId="0" fontId="5" numFmtId="0" xfId="0" applyAlignment="1" applyBorder="1" applyFont="1">
      <alignment shrinkToFit="0" wrapText="1"/>
    </xf>
    <xf borderId="5" fillId="0" fontId="4" numFmtId="0" xfId="0" applyAlignment="1" applyBorder="1" applyFont="1">
      <alignment shrinkToFit="0" wrapText="1"/>
    </xf>
    <xf borderId="0" fillId="10" fontId="14" numFmtId="0" xfId="0" applyAlignment="1" applyFont="1">
      <alignment horizontal="center" readingOrder="0" shrinkToFit="0" vertical="center" wrapText="1"/>
    </xf>
    <xf borderId="0" fillId="0" fontId="5" numFmtId="0" xfId="0" applyAlignment="1" applyFont="1">
      <alignment readingOrder="0" shrinkToFit="0" wrapText="1"/>
    </xf>
    <xf borderId="0" fillId="0" fontId="5" numFmtId="0" xfId="0" applyAlignment="1" applyFont="1">
      <alignment shrinkToFit="0" wrapText="1"/>
    </xf>
    <xf borderId="0" fillId="0" fontId="6" numFmtId="0" xfId="0" applyAlignment="1" applyFont="1">
      <alignment horizontal="center" readingOrder="0" vertical="center"/>
    </xf>
    <xf borderId="6" fillId="12" fontId="2" numFmtId="0" xfId="0" applyAlignment="1" applyBorder="1" applyFill="1" applyFont="1">
      <alignment horizontal="center" shrinkToFit="0" vertical="center" wrapText="1"/>
    </xf>
    <xf borderId="5" fillId="8" fontId="2"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5" fillId="0" fontId="18" numFmtId="0" xfId="0" applyAlignment="1" applyBorder="1" applyFont="1">
      <alignment horizontal="center" shrinkToFit="0" vertical="center" wrapText="1"/>
    </xf>
    <xf borderId="5" fillId="0" fontId="19" numFmtId="0" xfId="0" applyAlignment="1" applyBorder="1" applyFont="1">
      <alignment horizontal="center" shrinkToFit="0" vertical="center" wrapText="1"/>
    </xf>
    <xf borderId="5" fillId="0" fontId="5" numFmtId="0" xfId="0" applyAlignment="1" applyBorder="1" applyFont="1">
      <alignment vertical="bottom"/>
    </xf>
    <xf borderId="0" fillId="0" fontId="4" numFmtId="0" xfId="0" applyAlignment="1" applyFont="1">
      <alignment shrinkToFit="0" vertical="center" wrapText="1"/>
    </xf>
    <xf borderId="0" fillId="0" fontId="4" numFmtId="0" xfId="0" applyAlignment="1" applyFont="1">
      <alignment readingOrder="0" shrinkToFit="0" vertical="center" wrapText="1"/>
    </xf>
    <xf borderId="1" fillId="0" fontId="1" numFmtId="0" xfId="0" applyAlignment="1" applyBorder="1" applyFont="1">
      <alignment horizontal="center"/>
    </xf>
    <xf borderId="11" fillId="0" fontId="2" numFmtId="0" xfId="0" applyAlignment="1" applyBorder="1" applyFont="1">
      <alignment horizontal="center" vertical="bottom"/>
    </xf>
    <xf borderId="11" fillId="0" fontId="5" numFmtId="0" xfId="0" applyAlignment="1" applyBorder="1" applyFont="1">
      <alignment horizontal="center" vertical="bottom"/>
    </xf>
    <xf borderId="5" fillId="13" fontId="20" numFmtId="0" xfId="0" applyAlignment="1" applyBorder="1" applyFill="1" applyFont="1">
      <alignment horizontal="center" vertical="top"/>
    </xf>
    <xf borderId="5" fillId="0" fontId="5" numFmtId="0" xfId="0" applyAlignment="1" applyBorder="1" applyFont="1">
      <alignment horizontal="left" vertical="bottom"/>
    </xf>
    <xf borderId="5" fillId="14" fontId="20" numFmtId="0" xfId="0" applyAlignment="1" applyBorder="1" applyFill="1" applyFont="1">
      <alignment horizontal="center" vertical="top"/>
    </xf>
    <xf borderId="5" fillId="15" fontId="20" numFmtId="0" xfId="0" applyAlignment="1" applyBorder="1" applyFill="1" applyFont="1">
      <alignment horizontal="center" vertical="top"/>
    </xf>
    <xf borderId="5" fillId="16" fontId="21" numFmtId="0" xfId="0" applyAlignment="1" applyBorder="1" applyFill="1" applyFont="1">
      <alignment horizontal="center" shrinkToFit="0" vertical="top" wrapText="1"/>
    </xf>
    <xf borderId="5" fillId="0" fontId="5" numFmtId="0" xfId="0" applyAlignment="1" applyBorder="1" applyFont="1">
      <alignment horizontal="left" shrinkToFit="0" vertical="bottom" wrapText="1"/>
    </xf>
    <xf borderId="5" fillId="3" fontId="8" numFmtId="0" xfId="0" applyAlignment="1" applyBorder="1" applyFont="1">
      <alignment horizontal="center" vertical="bottom"/>
    </xf>
    <xf borderId="8" fillId="3" fontId="8" numFmtId="0" xfId="0" applyAlignment="1" applyBorder="1" applyFont="1">
      <alignment horizontal="center" vertical="bottom"/>
    </xf>
    <xf borderId="5" fillId="4" fontId="9" numFmtId="0" xfId="0" applyAlignment="1" applyBorder="1" applyFont="1">
      <alignment horizontal="center" readingOrder="0" vertical="top"/>
    </xf>
    <xf borderId="5" fillId="0" fontId="5" numFmtId="0" xfId="0" applyAlignment="1" applyBorder="1" applyFont="1">
      <alignment horizontal="left" readingOrder="0" vertical="bottom"/>
    </xf>
    <xf borderId="5" fillId="0" fontId="4" numFmtId="0" xfId="0" applyAlignment="1" applyBorder="1" applyFont="1">
      <alignment horizontal="center" readingOrder="0"/>
    </xf>
    <xf borderId="5" fillId="0" fontId="4" numFmtId="14" xfId="0" applyAlignment="1" applyBorder="1" applyFont="1" applyNumberFormat="1">
      <alignment horizontal="center" readingOrder="0" vertical="bottom"/>
    </xf>
    <xf borderId="5" fillId="0" fontId="4" numFmtId="164" xfId="0" applyAlignment="1" applyBorder="1" applyFont="1" applyNumberFormat="1">
      <alignment horizontal="center" readingOrder="0"/>
    </xf>
    <xf borderId="0" fillId="0" fontId="5" numFmtId="0" xfId="0" applyAlignment="1" applyFont="1">
      <alignment horizontal="center" vertical="bottom"/>
    </xf>
    <xf borderId="0" fillId="0" fontId="4" numFmtId="0" xfId="0" applyAlignment="1" applyFont="1">
      <alignment horizontal="center"/>
    </xf>
    <xf borderId="0" fillId="10" fontId="22" numFmtId="0" xfId="0" applyAlignment="1" applyFont="1">
      <alignment horizontal="center" readingOrder="0" vertical="center"/>
    </xf>
    <xf borderId="5" fillId="3" fontId="23" numFmtId="0" xfId="0" applyAlignment="1" applyBorder="1" applyFont="1">
      <alignment horizontal="center" readingOrder="0"/>
    </xf>
    <xf borderId="5" fillId="0" fontId="24" numFmtId="0" xfId="0" applyAlignment="1" applyBorder="1" applyFont="1">
      <alignment horizontal="center" readingOrder="0" shrinkToFit="0" vertical="top" wrapText="1"/>
    </xf>
    <xf borderId="0" fillId="3" fontId="23" numFmtId="0" xfId="0" applyAlignment="1" applyFont="1">
      <alignment horizontal="center" readingOrder="0"/>
    </xf>
    <xf borderId="1" fillId="3" fontId="23" numFmtId="0" xfId="0" applyAlignment="1" applyBorder="1" applyFont="1">
      <alignment horizontal="center" readingOrder="0" vertical="center"/>
    </xf>
    <xf borderId="5" fillId="13" fontId="16" numFmtId="0" xfId="0" applyAlignment="1" applyBorder="1" applyFont="1">
      <alignment horizontal="center"/>
    </xf>
    <xf borderId="5" fillId="13" fontId="16" numFmtId="0" xfId="0" applyAlignment="1" applyBorder="1" applyFont="1">
      <alignment horizontal="center" readingOrder="0"/>
    </xf>
    <xf borderId="5" fillId="13" fontId="16" numFmtId="0" xfId="0" applyAlignment="1" applyBorder="1" applyFont="1">
      <alignment horizontal="center" vertical="center"/>
    </xf>
    <xf borderId="5" fillId="14" fontId="14" numFmtId="0" xfId="0" applyAlignment="1" applyBorder="1" applyFont="1">
      <alignment horizontal="center"/>
    </xf>
    <xf borderId="5" fillId="14" fontId="14" numFmtId="0" xfId="0" applyAlignment="1" applyBorder="1" applyFont="1">
      <alignment horizontal="center" readingOrder="0"/>
    </xf>
    <xf borderId="5" fillId="14" fontId="14" numFmtId="0" xfId="0" applyAlignment="1" applyBorder="1" applyFont="1">
      <alignment horizontal="center" vertical="center"/>
    </xf>
    <xf borderId="5" fillId="17" fontId="14" numFmtId="0" xfId="0" applyAlignment="1" applyBorder="1" applyFill="1" applyFont="1">
      <alignment horizontal="center" readingOrder="0"/>
    </xf>
    <xf borderId="5" fillId="17" fontId="14" numFmtId="0" xfId="0" applyAlignment="1" applyBorder="1" applyFont="1">
      <alignment horizontal="center"/>
    </xf>
    <xf borderId="5" fillId="17" fontId="14" numFmtId="0" xfId="0" applyAlignment="1" applyBorder="1" applyFont="1">
      <alignment horizontal="center" vertical="center"/>
    </xf>
    <xf borderId="5" fillId="18" fontId="14" numFmtId="0" xfId="0" applyAlignment="1" applyBorder="1" applyFill="1" applyFont="1">
      <alignment horizontal="center"/>
    </xf>
    <xf borderId="5" fillId="18" fontId="14" numFmtId="0" xfId="0" applyAlignment="1" applyBorder="1" applyFont="1">
      <alignment horizontal="center" readingOrder="0"/>
    </xf>
    <xf borderId="5" fillId="18" fontId="14" numFmtId="0" xfId="0" applyAlignment="1" applyBorder="1" applyFont="1">
      <alignment horizontal="center" vertical="center"/>
    </xf>
    <xf borderId="13" fillId="10" fontId="22" numFmtId="0" xfId="0" applyAlignment="1" applyBorder="1" applyFont="1">
      <alignment horizontal="center" readingOrder="0" vertical="center"/>
    </xf>
    <xf borderId="14" fillId="0" fontId="4" numFmtId="0" xfId="0" applyAlignment="1" applyBorder="1" applyFont="1">
      <alignment vertical="center"/>
    </xf>
    <xf borderId="0" fillId="3" fontId="23" numFmtId="0" xfId="0" applyAlignment="1" applyFont="1">
      <alignment horizontal="center" readingOrder="0" vertical="center"/>
    </xf>
  </cellXfs>
  <cellStyles count="1">
    <cellStyle xfId="0" name="Normal"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8f7c3ab8-decc-469f-9c75-d14627cbaaf5}">
    <Anchor>
      <Comment id="{646b1379-0c87-4da4-a725-4373db8c647e}"/>
    </Anchor>
    <History>
      <Event time="2025-10-17T07:32:17.00" id="{1aa8c007-a549-4afb-a620-503d50aef687}">
        <Attribution userId="placeholder@email.com" userName="Nitin Saxena" userProvider="google-sheets"/>
        <Anchor>
          <Comment id="{646b1379-0c87-4da4-a725-4373db8c647e}"/>
        </Anchor>
        <Create/>
      </Event>
      <Event time="2025-10-17T07:32:17.00" id="{0f8f5e6b-c477-4150-aa86-bd53383b45e5}">
        <Attribution userId="placeholder@email.com" userName="Nitin Saxena" userProvider="google-sheets"/>
        <Anchor>
          <Comment id="{646b1379-0c87-4da4-a725-4373db8c647e}"/>
        </Anchor>
        <Assign userId="anshu.shaik@fissionlabs.com" userName="anshu.shaik@fissionlabs.com" userProvider="google-sheets"/>
      </Event>
    </History>
  </Task>
  <Task id="{858aa7cf-e1cb-480e-bd71-ff8ef699105a}">
    <Anchor>
      <Comment id="{b97b0b50-0c7b-483f-ac1a-bbcb341c8c51}"/>
    </Anchor>
    <History>
      <Event time="2025-10-17T07:31:39.00" id="{e0b03652-80e6-404e-9024-a6c5e4ff4fc2}">
        <Attribution userId="placeholder@email.com" userName="Nitin Saxena" userProvider="google-sheets"/>
        <Anchor>
          <Comment id="{b97b0b50-0c7b-483f-ac1a-bbcb341c8c51}"/>
        </Anchor>
        <Create/>
      </Event>
      <Event time="2025-10-17T07:31:39.00" id="{88a8b2c9-0a3d-4579-b1e1-7b9d410f5fa8}">
        <Attribution userId="placeholder@email.com" userName="Nitin Saxena" userProvider="google-sheets"/>
        <Anchor>
          <Comment id="{b97b0b50-0c7b-483f-ac1a-bbcb341c8c51}"/>
        </Anchor>
        <Assign userId="anshu.shaik@fissionlabs.com" userName="anshu.shaik@fissionlabs.com" userProvider="google-sheets"/>
      </Event>
    </History>
  </Task>
  <Task id="{08615106-7e21-43e0-9316-d5333c6a0076}">
    <Anchor>
      <Comment id="{12340706-3ce2-461f-9d82-ddbb559446a1}"/>
    </Anchor>
    <History>
      <Event time="2025-12-16T07:23:34.00" id="{4f62a031-4b56-48a9-bf4d-edf98bdf0742}">
        <Attribution userId="placeholder@email.com" userName="Anshu Shaik" userProvider="google-sheets"/>
        <Anchor>
          <Comment id="{99843f4c-dc28-4203-80e9-8556876967ca}"/>
        </Anchor>
        <Create/>
      </Event>
      <Event time="2025-12-16T07:23:34.00" id="{8d800647-dd7f-421b-84dd-f8bb9074e085}">
        <Attribution userId="placeholder@email.com" userName="Anshu Shaik" userProvider="google-sheets"/>
        <Anchor>
          <Comment id="{99843f4c-dc28-4203-80e9-8556876967ca}"/>
        </Anchor>
        <Assign userId="nsaxena@dimagi.com" userName="nsaxena@dimagi.com" userProvider="google-sheets"/>
      </Event>
    </History>
  </Task>
  <Task id="{3d3f918c-a782-43a4-b612-af18a79d4bb1}">
    <Anchor>
      <Comment id="{831ba086-60be-4efa-aeee-3273fd7e9aa4}"/>
    </Anchor>
    <History>
      <Event time="2026-02-18T13:19:14.00" id="{7cd383a1-5a32-4c9b-b800-8f2de5920d62}">
        <Attribution userId="placeholder@email.com" userName="Nitin Saxena" userProvider="google-sheets"/>
        <Anchor>
          <Comment id="{831ba086-60be-4efa-aeee-3273fd7e9aa4}"/>
        </Anchor>
        <Create/>
      </Event>
      <Event time="2026-02-18T13:19:14.00" id="{eceda719-c199-4d5d-8d7b-8caa29aa66d9}">
        <Attribution userId="placeholder@email.com" userName="Nitin Saxena" userProvider="google-sheets"/>
        <Anchor>
          <Comment id="{831ba086-60be-4efa-aeee-3273fd7e9aa4}"/>
        </Anchor>
        <Assign userId="anshu.shaik@fissionlabs.com" userName="anshu.shaik@fissionlabs.com" userProvider="google-sheets"/>
      </Event>
    </History>
  </Task>
  <Task id="{e9c06fbd-e899-4168-a049-f690acf08daa}">
    <Anchor>
      <Comment id="{fa34f92b-f147-4bb9-b1d8-6429b045b09b}"/>
    </Anchor>
    <History>
      <Event time="2025-12-16T10:08:55.00" id="{b0bcf8e3-7103-4bfa-802b-49ac5a28297e}">
        <Attribution userId="placeholder@email.com" userName="Nitin Saxena" userProvider="google-sheets"/>
        <Anchor>
          <Comment id="{fa34f92b-f147-4bb9-b1d8-6429b045b09b}"/>
        </Anchor>
        <Create/>
      </Event>
      <Event time="2025-12-16T10:08:55.00" id="{8a40e2fd-97ca-48a9-b2c8-5c278f9d6191}">
        <Attribution userId="placeholder@email.com" userName="Nitin Saxena" userProvider="google-sheets"/>
        <Anchor>
          <Comment id="{fa34f92b-f147-4bb9-b1d8-6429b045b09b}"/>
        </Anchor>
        <Assign userId="anshu.shaik@fissionlabs.com" userName="anshu.shaik@fissionlabs.com" userProvider="google-sheets"/>
      </Event>
    </History>
  </Task>
  <Task id="{6fd67092-fa89-468c-9e78-09a51861423d}">
    <Anchor>
      <Comment id="{15845d1f-1f4e-4c4c-8bc9-648fce0cbcc6}"/>
    </Anchor>
    <History>
      <Event time="2025-10-17T08:48:24.00" id="{e0d4b20e-7686-4bfc-9f58-151a4931a0c1}">
        <Attribution userId="placeholder@email.com" userName="Anshu Shaik" userProvider="google-sheets"/>
        <Anchor>
          <Comment id="{f748029b-8baf-41b9-b2fe-34a2c7d98e74}"/>
        </Anchor>
        <Create/>
      </Event>
      <Event time="2025-10-17T08:48:24.00" id="{66f8f176-1310-4446-bbe3-8fe0741d0646}">
        <Attribution userId="placeholder@email.com" userName="Anshu Shaik" userProvider="google-sheets"/>
        <Anchor>
          <Comment id="{f748029b-8baf-41b9-b2fe-34a2c7d98e74}"/>
        </Anchor>
        <Assign userId="nsaxena@dimagi.com" userName="nsaxena@dimagi.com" userProvider="google-sheets"/>
      </Event>
    </History>
  </Task>
</Tasks>
</file>

<file path=xl/documenttasks/documenttask2.xml><?xml version="1.0" encoding="utf-8"?>
<Tasks xmlns="http://schemas.microsoft.com/office/tasks/2019/documenttasks">
  <Task id="{712212a7-184f-4128-8b0b-afe315200478}">
    <Anchor>
      <Comment id="{14f3ba34-df99-4d1d-8482-0aae100cc6b7}"/>
    </Anchor>
    <History>
      <Event time="2026-03-23T10:55:58.00" id="{385dec57-4e72-4b2a-9a74-417244b1f899}">
        <Attribution userId="placeholder@email.com" userName="Anshu Shaik" userProvider="google-sheets"/>
        <Anchor>
          <Comment id="{b19db2cd-81ec-418f-ada3-83f937618c4d}"/>
        </Anchor>
        <Create/>
      </Event>
      <Event time="2026-03-23T10:55:58.00" id="{7802e776-f74c-4a0f-8fbe-e8cf4d662cce}">
        <Attribution userId="placeholder@email.com" userName="Anshu Shaik" userProvider="google-sheets"/>
        <Anchor>
          <Comment id="{b19db2cd-81ec-418f-ada3-83f937618c4d}"/>
        </Anchor>
        <Assign userId="nsaxena@dimagi.com" userName="nsaxena@dimagi.com" userProvider="google-sheets"/>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352425</xdr:colOff>
      <xdr:row>1</xdr:row>
      <xdr:rowOff>219075</xdr:rowOff>
    </xdr:from>
    <xdr:ext cx="1885950" cy="6191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76200</xdr:colOff>
      <xdr:row>1</xdr:row>
      <xdr:rowOff>28575</xdr:rowOff>
    </xdr:from>
    <xdr:ext cx="2581275" cy="7905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anshu.shaik@fissionlabs.com" id="{dc41ad88-6ed4-470a-aceb-408ae60a2bc8}" userId="anshu.shaik@fissionlabs.com" providerId="google-sheets"/>
  <x18tc:person displayName="Nitin Saxena" id="{92d84525-47c2-4137-9619-643e3753e77b}" providerId="google-sheets"/>
  <x18tc:person displayName="nsaxena@dimagi.com" id="{8522af22-bf76-444f-bec2-1f8b50bc04c1}" userId="nsaxena@dimagi.com" providerId="google-sheets"/>
  <x18tc:person displayName="Anshu Shaik" id="{a0ecbf3d-060a-4af6-b652-5f3ea3ec5aa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7T07:32:17.00" personId="{92d84525-47c2-4137-9619-643e3753e77b}" id="{646b1379-0c87-4da4-a725-4373db8c647e}" done="1">
    <x18tc:text xml:space="preserve">Can you also add TCs related to keywords change that was recently done? @anshu.shaik@fissionlabs.com
Assigned to anshu.shaik@fissionlabs.com</x18tc:text>
    <x18tc:mentions>
      <x18tc:mention mentionpersonId="{dc41ad88-6ed4-470a-aceb-408ae60a2bc8}" mentionId="{2478504a-73f7-4f05-b8d4-1a918e244c02}" startIndex="72" length="28"/>
    </x18tc:mentions>
  </x18tc:threadedComment>
  <x18tc:threadedComment ref="A1" dT="2025-10-17T08:49:40.00" personId="{a0ecbf3d-060a-4af6-b652-5f3ea3ec5aa4}" id="{a7a75fed-f5d6-4865-8b3d-08ade11de04b}" parentId="{646b1379-0c87-4da4-a725-4373db8c647e}">
    <x18tc:text xml:space="preserve">Added Keyword related TCs @nsaxena@dimagi.com !</x18tc:text>
    <x18tc:mentions>
      <x18tc:mention mentionpersonId="{8522af22-bf76-444f-bec2-1f8b50bc04c1}" mentionId="{9d240700-083c-4e66-b068-eab80668cafa}" startIndex="26" length="19"/>
    </x18tc:mentions>
  </x18tc:threadedComment>
  <x18tc:threadedComment ref="A1" dT="2025-10-17T07:31:39.00" personId="{92d84525-47c2-4137-9619-643e3753e77b}" id="{b97b0b50-0c7b-483f-ac1a-bbcb341c8c51}" done="1">
    <x18tc:text xml:space="preserve">@anshu.shaik@fissionlabs.com This is also applicable for Broadcast messages as well so, let's add this scenario for broadcast messages.
Assigned to anshu.shaik@fissionlabs.com</x18tc:text>
    <x18tc:mentions>
      <x18tc:mention mentionpersonId="{dc41ad88-6ed4-470a-aceb-408ae60a2bc8}" mentionId="{07a994e4-efe8-47f3-8625-45ba54c284e1}" startIndex="0" length="28"/>
    </x18tc:mentions>
  </x18tc:threadedComment>
  <x18tc:threadedComment ref="A1" dT="2025-10-17T08:49:05.00" personId="{a0ecbf3d-060a-4af6-b652-5f3ea3ec5aa4}" id="{314c1303-1dd5-4e76-bbe0-b01c7a95c4e2}" parentId="{b97b0b50-0c7b-483f-ac1a-bbcb341c8c51}">
    <x18tc:text xml:space="preserve">@nsaxena@dimagi.com Added for broadcast messages as well. Thank you!</x18tc:text>
    <x18tc:mentions>
      <x18tc:mention mentionpersonId="{8522af22-bf76-444f-bec2-1f8b50bc04c1}" mentionId="{3695e984-ac0c-4319-bff1-52ad6fcba294}" startIndex="0" length="19"/>
    </x18tc:mentions>
  </x18tc:threadedComment>
  <x18tc:threadedComment ref="A1" dT="2025-12-16T05:39:12.00" personId="{92d84525-47c2-4137-9619-643e3753e77b}" id="{12340706-3ce2-461f-9d82-ddbb559446a1}" done="1">
    <x18tc:text xml:space="preserve">@anshu.shaik@fissionlabs.com Could you please add a couple more tests which would tell the user how they can make sure the invoices do get generated and what values they would see in the generated invoices.
Assigned to anshu.shaik@fissionlabs.com</x18tc:text>
    <x18tc:mentions>
      <x18tc:mention mentionpersonId="{dc41ad88-6ed4-470a-aceb-408ae60a2bc8}" mentionId="{340c23ef-ff52-4f91-824e-e41f702f7de4}" startIndex="0" length="28"/>
    </x18tc:mentions>
  </x18tc:threadedComment>
  <x18tc:threadedComment ref="A1" dT="2025-12-16T07:23:34.00" personId="{a0ecbf3d-060a-4af6-b652-5f3ea3ec5aa4}" id="{99843f4c-dc28-4203-80e9-8556876967ca}" parentId="{12340706-3ce2-461f-9d82-ddbb559446a1}">
    <x18tc:text xml:space="preserve">@nsaxena@dimagi.com Updated please verify from test case Id: OD_18 to OD_30.[https://docs.google.com/spreadsheets/d/1LR3lwohgocXSlRa_qPFmxuJnPaG5F2TIFZIHU22smuo/edit?gid=1238100453#gid=1238100453&amp;range=78:90 ]Thanks!
Reassigned to nsaxena@dimagi.com</x18tc:text>
    <x18tc:mentions>
      <x18tc:mention mentionpersonId="{8522af22-bf76-444f-bec2-1f8b50bc04c1}" mentionId="{2d34b2bc-f276-4e7a-be34-7180db7177bf}" startIndex="0" length="19"/>
    </x18tc:mentions>
    <x18tc:extLst>
      <ext uri="{F7C98A9C-CBB3-438F-8F68-D28B6AF4A901}">
        <xltc2:checksum/>
        <xltc2:hyperlink startIndex="77" length="130" url="https://docs.google.com/spreadsheets/d/1LR3lwohgocXSlRa_qPFmxuJnPaG5F2TIFZIHU22smuo/edit?gid=1238100453#gid=1238100453&amp;range=78:90"/>
      </ext>
    </x18tc:extLst>
  </x18tc:threadedComment>
  <x18tc:threadedComment ref="A1" dT="2025-12-16T13:34:46.00" personId="{92d84525-47c2-4137-9619-643e3753e77b}" id="{3018aa8f-9d57-4eb1-9a2c-f03d53efb810}" parentId="{12340706-3ce2-461f-9d82-ddbb559446a1}">
    <x18tc:text xml:space="preserve">Thank you Anshu!</x18tc:text>
  </x18tc:threadedComment>
  <x18tc:threadedComment ref="A1" dT="2026-02-18T13:19:14.00" personId="{92d84525-47c2-4137-9619-643e3753e77b}" id="{831ba086-60be-4efa-aeee-3273fd7e9aa4}" done="0">
    <x18tc:text xml:space="preserve">Hi @anshu.shaik@fissionlabs.com Did we add decrease visits tests as well here? If not could you please add those tests as well.
Assigned to anshu.shaik@fissionlabs.com</x18tc:text>
    <x18tc:mentions>
      <x18tc:mention mentionpersonId="{dc41ad88-6ed4-470a-aceb-408ae60a2bc8}" mentionId="{0a13ec10-7e63-4d50-b434-063ae43e1af6}" startIndex="3" length="28"/>
    </x18tc:mentions>
  </x18tc:threadedComment>
  <x18tc:threadedComment ref="A1" dT="2026-02-18T14:09:31.00" personId="{a0ecbf3d-060a-4af6-b652-5f3ea3ec5aa4}" id="{06c2ed52-19b5-4db4-bb30-fc831fe2bbc5}" parentId="{831ba086-60be-4efa-aeee-3273fd7e9aa4}">
    <x18tc:text xml:space="preserve">Hey Nitin, Added the increase/decrease visits scenarios. Please check!</x18tc:text>
  </x18tc:threadedComment>
  <x18tc:threadedComment ref="A1" dT="2025-12-16T10:08:55.00" personId="{92d84525-47c2-4137-9619-643e3753e77b}" id="{fa34f92b-f147-4bb9-b1d8-6429b045b09b}" done="1">
    <x18tc:text xml:space="preserve">@anshu.shaik@fissionlabs.com Please add what fields are we verifying/checking for and what should be the values
Assigned to anshu.shaik@fissionlabs.com</x18tc:text>
    <x18tc:mentions>
      <x18tc:mention mentionpersonId="{dc41ad88-6ed4-470a-aceb-408ae60a2bc8}" mentionId="{11c8dce3-9925-467c-b651-1c487071dc8a}" startIndex="0" length="28"/>
    </x18tc:mentions>
  </x18tc:threadedComment>
  <x18tc:threadedComment ref="A1" dT="2025-12-16T11:05:23.00" personId="{a0ecbf3d-060a-4af6-b652-5f3ea3ec5aa4}" id="{2d02afb1-2cfd-41cc-8e37-946dd50edea0}" parentId="{fa34f92b-f147-4bb9-b1d8-6429b045b09b}">
    <x18tc:text xml:space="preserve">Added!</x18tc:text>
  </x18tc:threadedComment>
  <x18tc:threadedComment ref="A1" dT="2025-10-17T07:33:10.00" personId="{92d84525-47c2-4137-9619-643e3753e77b}" id="{15845d1f-1f4e-4c4c-8bc9-648fce0cbcc6}" done="1">
    <x18tc:text xml:space="preserve">@anshu.shaik@fissionlabs.com Let's add a couple of scenarios related to requesting user consent for a message channel from HQ. And how only once the user gives consent we can send messages from HQ to mobile.
Assigned to anshu.shaik@fissionlabs.com</x18tc:text>
    <x18tc:mentions>
      <x18tc:mention mentionpersonId="{dc41ad88-6ed4-470a-aceb-408ae60a2bc8}" mentionId="{fb7d913c-1dde-4e65-960d-b802a0e198ad}" startIndex="0" length="28"/>
    </x18tc:mentions>
  </x18tc:threadedComment>
  <x18tc:threadedComment ref="A1" dT="2025-10-17T08:48:24.00" personId="{a0ecbf3d-060a-4af6-b652-5f3ea3ec5aa4}" id="{f748029b-8baf-41b9-b2fe-34a2c7d98e74}" parentId="{15845d1f-1f4e-4c4c-8bc9-648fce0cbcc6}">
    <x18tc:text xml:space="preserve">@nsaxena@dimagi.com Added the scenarios for requesting user consent. Please review and let me know is there anything needs to be added! Thank You.
Reassigned to nsaxena@dimagi.com</x18tc:text>
    <x18tc:mentions>
      <x18tc:mention mentionpersonId="{8522af22-bf76-444f-bec2-1f8b50bc04c1}" mentionId="{7b507acc-5e39-49bf-b3f9-cdc2e1f23b43}" startIndex="0" length="19"/>
    </x18tc:mentions>
  </x18tc:threadedComment>
  <x18tc:threadedComment ref="A1" dT="2025-10-27T05:09:49.00" personId="{92d84525-47c2-4137-9619-643e3753e77b}" id="{23a9e0b6-2224-4255-9164-8ebad1416ccb}" parentId="{15845d1f-1f4e-4c4c-8bc9-648fce0cbcc6}">
    <x18tc:text xml:space="preserve">Thanks Anshu!</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9" dT="2026-03-02T05:41:53.00" personId="{92d84525-47c2-4137-9619-643e3753e77b}" id="{14f3ba34-df99-4d1d-8482-0aae100cc6b7}" done="0">
    <x18tc:text xml:space="preserve">Hi @anshu.shaik@fissionlabs.com just like payments tab, could you also add tests for Connect Wrokers and Learn tab tests in this sheet? 
I believe for the Deliver tab we have coverage but if not do add that as well.
Assigned to anshu.shaik@fissionlabs.com</x18tc:text>
    <x18tc:mentions>
      <x18tc:mention mentionpersonId="{dc41ad88-6ed4-470a-aceb-408ae60a2bc8}" mentionId="{96e3ab27-f053-4ea0-b70a-ead0429d5f4f}" startIndex="3" length="28"/>
    </x18tc:mentions>
  </x18tc:threadedComment>
  <x18tc:threadedComment ref="B39" dT="2026-03-23T10:55:58.00" personId="{a0ecbf3d-060a-4af6-b652-5f3ea3ec5aa4}" id="{b19db2cd-81ec-418f-ada3-83f937618c4d}" parentId="{14f3ba34-df99-4d1d-8482-0aae100cc6b7}">
    <x18tc:text xml:space="preserve">Hi @nsaxena@dimagi.com , I've separated and added missed TCs for learn tab. Could you please refer and let me know if anything else needs to be added?
Reassigned to nsaxena@dimagi.com</x18tc:text>
    <x18tc:mentions>
      <x18tc:mention mentionpersonId="{8522af22-bf76-444f-bec2-1f8b50bc04c1}" mentionId="{3fd6c936-7788-43b3-99c2-67e457a7e0dd}" startIndex="3" length="19"/>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connect-staging.dimagi.com/accounts/login"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connect-staging.dimagi.com/accounts/login"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8"/>
    <col customWidth="1" min="2" max="2" width="21.75"/>
    <col customWidth="1" min="3" max="3" width="17.38"/>
    <col customWidth="1" min="4" max="4" width="15.63"/>
    <col customWidth="1" min="5" max="5" width="6.38"/>
    <col customWidth="1" min="6" max="12" width="5.38"/>
    <col customWidth="1" min="13" max="13" width="22.5"/>
    <col customWidth="1" min="14" max="28" width="11.88"/>
  </cols>
  <sheetData>
    <row r="1">
      <c r="A1" s="1"/>
      <c r="B1" s="2" t="s">
        <v>0</v>
      </c>
      <c r="C1" s="3"/>
      <c r="D1" s="4"/>
      <c r="E1" s="5"/>
      <c r="F1" s="6" t="s">
        <v>1</v>
      </c>
      <c r="G1" s="7"/>
      <c r="H1" s="7"/>
      <c r="I1" s="7"/>
      <c r="J1" s="7"/>
      <c r="K1" s="7"/>
      <c r="L1" s="8"/>
      <c r="M1" s="9"/>
      <c r="N1" s="9"/>
      <c r="O1" s="9"/>
      <c r="P1" s="9"/>
      <c r="Q1" s="9"/>
      <c r="R1" s="9"/>
      <c r="S1" s="9"/>
      <c r="T1" s="9"/>
      <c r="U1" s="9"/>
      <c r="V1" s="9"/>
      <c r="W1" s="9"/>
      <c r="X1" s="9"/>
      <c r="Y1" s="9"/>
      <c r="Z1" s="9"/>
      <c r="AA1" s="9"/>
      <c r="AB1" s="9"/>
    </row>
    <row r="2" ht="20.25" customHeight="1">
      <c r="A2" s="10"/>
      <c r="B2" s="11"/>
      <c r="C2" s="12"/>
      <c r="D2" s="13"/>
      <c r="E2" s="5"/>
      <c r="F2" s="14" t="s">
        <v>2</v>
      </c>
      <c r="G2" s="8"/>
      <c r="H2" s="15" t="s">
        <v>3</v>
      </c>
      <c r="I2" s="7"/>
      <c r="J2" s="7"/>
      <c r="K2" s="7"/>
      <c r="L2" s="8"/>
      <c r="M2" s="9"/>
      <c r="N2" s="9"/>
      <c r="O2" s="9"/>
      <c r="P2" s="9"/>
      <c r="Q2" s="9"/>
      <c r="R2" s="9"/>
      <c r="S2" s="9"/>
      <c r="T2" s="9"/>
      <c r="U2" s="9"/>
      <c r="V2" s="9"/>
      <c r="W2" s="16"/>
      <c r="X2" s="16"/>
      <c r="Y2" s="16"/>
      <c r="Z2" s="16"/>
      <c r="AA2" s="16"/>
      <c r="AB2" s="16"/>
    </row>
    <row r="3" ht="27.0" customHeight="1">
      <c r="A3" s="10"/>
      <c r="B3" s="17"/>
      <c r="C3" s="3"/>
      <c r="D3" s="4"/>
      <c r="E3" s="5"/>
      <c r="F3" s="14" t="s">
        <v>4</v>
      </c>
      <c r="G3" s="8"/>
      <c r="H3" s="15" t="s">
        <v>5</v>
      </c>
      <c r="I3" s="7"/>
      <c r="J3" s="7"/>
      <c r="K3" s="7"/>
      <c r="L3" s="8"/>
      <c r="M3" s="9"/>
      <c r="N3" s="9"/>
      <c r="O3" s="9"/>
      <c r="P3" s="9"/>
      <c r="Q3" s="9"/>
      <c r="R3" s="9"/>
      <c r="S3" s="9"/>
      <c r="T3" s="9"/>
      <c r="U3" s="9"/>
      <c r="V3" s="9"/>
      <c r="W3" s="16"/>
      <c r="X3" s="16"/>
      <c r="Y3" s="16"/>
      <c r="Z3" s="16"/>
      <c r="AA3" s="16"/>
      <c r="AB3" s="16"/>
    </row>
    <row r="4" ht="27.0" customHeight="1">
      <c r="A4" s="10"/>
      <c r="B4" s="18"/>
      <c r="D4" s="19"/>
      <c r="E4" s="5"/>
      <c r="F4" s="14" t="s">
        <v>6</v>
      </c>
      <c r="G4" s="8"/>
      <c r="H4" s="16" t="s">
        <v>7</v>
      </c>
      <c r="I4" s="16"/>
      <c r="J4" s="16"/>
      <c r="K4" s="16"/>
      <c r="L4" s="16"/>
      <c r="M4" s="9"/>
      <c r="N4" s="9"/>
      <c r="O4" s="9"/>
      <c r="P4" s="9"/>
      <c r="Q4" s="9"/>
      <c r="R4" s="9"/>
      <c r="S4" s="9"/>
      <c r="T4" s="9"/>
      <c r="U4" s="9"/>
      <c r="V4" s="9"/>
      <c r="W4" s="16"/>
      <c r="X4" s="16"/>
      <c r="Y4" s="16"/>
      <c r="Z4" s="16"/>
      <c r="AA4" s="16"/>
      <c r="AB4" s="16"/>
    </row>
    <row r="5" ht="27.0" customHeight="1">
      <c r="A5" s="20"/>
      <c r="B5" s="11"/>
      <c r="C5" s="12"/>
      <c r="D5" s="13"/>
      <c r="E5" s="5"/>
      <c r="F5" s="21" t="s">
        <v>8</v>
      </c>
      <c r="G5" s="8"/>
      <c r="H5" s="15" t="s">
        <v>9</v>
      </c>
      <c r="I5" s="7"/>
      <c r="J5" s="7"/>
      <c r="K5" s="7"/>
      <c r="L5" s="8"/>
      <c r="M5" s="9"/>
      <c r="N5" s="9"/>
      <c r="O5" s="9"/>
      <c r="P5" s="9"/>
      <c r="Q5" s="9"/>
      <c r="R5" s="9"/>
      <c r="S5" s="9"/>
      <c r="T5" s="9"/>
      <c r="U5" s="9"/>
      <c r="V5" s="9"/>
      <c r="W5" s="22"/>
      <c r="X5" s="22"/>
      <c r="Y5" s="22"/>
      <c r="Z5" s="22"/>
      <c r="AA5" s="22"/>
      <c r="AB5" s="22"/>
    </row>
    <row r="6" ht="17.25" customHeight="1">
      <c r="A6" s="23" t="s">
        <v>10</v>
      </c>
      <c r="B6" s="23" t="s">
        <v>11</v>
      </c>
      <c r="C6" s="23" t="s">
        <v>12</v>
      </c>
      <c r="D6" s="5"/>
      <c r="E6" s="5"/>
      <c r="F6" s="24" t="s">
        <v>13</v>
      </c>
      <c r="G6" s="8"/>
      <c r="H6" s="15" t="s">
        <v>14</v>
      </c>
      <c r="I6" s="7"/>
      <c r="J6" s="7"/>
      <c r="K6" s="7"/>
      <c r="L6" s="8"/>
      <c r="M6" s="25"/>
      <c r="N6" s="25"/>
      <c r="O6" s="25"/>
      <c r="P6" s="25"/>
      <c r="Q6" s="25"/>
      <c r="R6" s="25"/>
      <c r="S6" s="25"/>
      <c r="T6" s="25"/>
      <c r="U6" s="25"/>
      <c r="V6" s="25"/>
      <c r="W6" s="25"/>
      <c r="X6" s="25"/>
      <c r="Y6" s="25"/>
      <c r="Z6" s="25"/>
      <c r="AA6" s="25"/>
      <c r="AB6" s="25"/>
    </row>
    <row r="7">
      <c r="A7" s="26"/>
      <c r="B7" s="27"/>
      <c r="C7" s="28"/>
      <c r="D7" s="5"/>
      <c r="E7" s="5"/>
      <c r="F7" s="29"/>
      <c r="G7" s="29"/>
      <c r="H7" s="29"/>
      <c r="I7" s="29"/>
      <c r="J7" s="29"/>
      <c r="K7" s="29"/>
      <c r="L7" s="29"/>
      <c r="M7" s="29"/>
      <c r="N7" s="29"/>
      <c r="O7" s="29"/>
      <c r="P7" s="29"/>
      <c r="Q7" s="29"/>
      <c r="R7" s="29"/>
      <c r="S7" s="29"/>
      <c r="T7" s="29"/>
      <c r="U7" s="29"/>
      <c r="V7" s="29"/>
      <c r="W7" s="29"/>
      <c r="X7" s="29"/>
      <c r="Y7" s="29"/>
      <c r="Z7" s="29"/>
      <c r="AA7" s="29"/>
      <c r="AB7" s="29"/>
    </row>
    <row r="8">
      <c r="A8" s="26"/>
      <c r="B8" s="27"/>
      <c r="C8" s="28"/>
      <c r="D8" s="5"/>
      <c r="E8" s="5"/>
      <c r="F8" s="29"/>
      <c r="G8" s="29"/>
      <c r="H8" s="29"/>
      <c r="I8" s="29"/>
      <c r="J8" s="29"/>
      <c r="K8" s="29"/>
      <c r="L8" s="29"/>
      <c r="M8" s="29"/>
      <c r="N8" s="29"/>
      <c r="O8" s="29"/>
      <c r="P8" s="29"/>
      <c r="Q8" s="29"/>
      <c r="R8" s="29"/>
      <c r="S8" s="29"/>
      <c r="T8" s="29"/>
      <c r="U8" s="29"/>
      <c r="V8" s="29"/>
      <c r="W8" s="29"/>
      <c r="X8" s="29"/>
      <c r="Y8" s="29"/>
      <c r="Z8" s="29"/>
      <c r="AA8" s="29"/>
      <c r="AB8" s="29"/>
    </row>
    <row r="9">
      <c r="A9" s="30" t="s">
        <v>15</v>
      </c>
      <c r="B9" s="30" t="s">
        <v>16</v>
      </c>
      <c r="C9" s="31" t="s">
        <v>17</v>
      </c>
      <c r="D9" s="32" t="s">
        <v>18</v>
      </c>
      <c r="E9" s="5"/>
      <c r="F9" s="33" t="s">
        <v>19</v>
      </c>
      <c r="G9" s="7"/>
      <c r="H9" s="7"/>
      <c r="I9" s="7"/>
      <c r="J9" s="8"/>
      <c r="K9" s="32" t="s">
        <v>20</v>
      </c>
      <c r="L9" s="34"/>
      <c r="M9" s="33" t="s">
        <v>21</v>
      </c>
      <c r="N9" s="7"/>
      <c r="O9" s="7"/>
      <c r="P9" s="7"/>
      <c r="Q9" s="8"/>
      <c r="R9" s="32"/>
      <c r="S9" s="32"/>
      <c r="T9" s="32"/>
      <c r="U9" s="32"/>
      <c r="V9" s="32"/>
      <c r="W9" s="32"/>
      <c r="X9" s="32"/>
      <c r="Y9" s="32"/>
      <c r="Z9" s="32"/>
      <c r="AA9" s="32"/>
      <c r="AB9" s="32"/>
    </row>
    <row r="10">
      <c r="A10" s="35" t="str">
        <f>sheetName(2)</f>
        <v>Login page</v>
      </c>
      <c r="B10" s="36"/>
      <c r="C10" s="37"/>
      <c r="D10" s="34"/>
      <c r="E10" s="5"/>
      <c r="F10" s="38">
        <f t="shared" ref="F10:F20" si="1">countif(INDIRECT("'"&amp;A10&amp;"'!"&amp;"F2:F1000"), "Pass")</f>
        <v>0</v>
      </c>
      <c r="G10" s="39">
        <f t="shared" ref="G10:G20" si="2">countif(INDIRECT("'"&amp;A10&amp;"'!"&amp;"F2:F1000"), "Fail")</f>
        <v>0</v>
      </c>
      <c r="H10" s="40">
        <f t="shared" ref="H10:H20" si="3">countif(INDIRECT("'"&amp;A10&amp;"'!"&amp;"F2:F1000"), "N/A")</f>
        <v>0</v>
      </c>
      <c r="I10" s="41">
        <f t="shared" ref="I10:I20" si="4">countif(INDIRECT("'"&amp;A10&amp;"'!"&amp;"F2:F1000"), "Blocking")</f>
        <v>0</v>
      </c>
      <c r="J10" s="42">
        <f t="shared" ref="J10:J20" si="5">countif(INDIRECT("'"&amp;A10&amp;"'!"&amp;"F2:F1000"), "")</f>
        <v>10</v>
      </c>
      <c r="K10" s="43">
        <f t="shared" ref="K10:K20" si="6">sum(F10:J10)</f>
        <v>10</v>
      </c>
      <c r="L10" s="34"/>
      <c r="M10" s="43" t="str">
        <f>IFERROR(__xludf.DUMMYFUNCTION(" TRANSPOSE(UNIQUE( FILTER( INDIRECT(""'""&amp;A10&amp;""'!""&amp;""G3:G200"") , NOT(ISBLANK(INDIRECT(""'""&amp;A10&amp;""'!""&amp;""G3:G200""))) ) ))"),"#N/A")</f>
        <v>#N/A</v>
      </c>
      <c r="N10" s="43"/>
      <c r="O10" s="43"/>
      <c r="P10" s="43"/>
      <c r="Q10" s="43"/>
      <c r="R10" s="43"/>
      <c r="S10" s="43"/>
      <c r="T10" s="43"/>
      <c r="U10" s="43"/>
      <c r="V10" s="43"/>
      <c r="W10" s="43"/>
      <c r="X10" s="43"/>
      <c r="Y10" s="43"/>
      <c r="Z10" s="43"/>
      <c r="AA10" s="43"/>
      <c r="AB10" s="43"/>
    </row>
    <row r="11">
      <c r="A11" s="35" t="str">
        <f>sheetName(3)</f>
        <v>Programs List page</v>
      </c>
      <c r="B11" s="36"/>
      <c r="C11" s="37"/>
      <c r="D11" s="34"/>
      <c r="E11" s="5"/>
      <c r="F11" s="38">
        <f t="shared" si="1"/>
        <v>0</v>
      </c>
      <c r="G11" s="39">
        <f t="shared" si="2"/>
        <v>0</v>
      </c>
      <c r="H11" s="40">
        <f t="shared" si="3"/>
        <v>0</v>
      </c>
      <c r="I11" s="41">
        <f t="shared" si="4"/>
        <v>0</v>
      </c>
      <c r="J11" s="42">
        <f t="shared" si="5"/>
        <v>16</v>
      </c>
      <c r="K11" s="43">
        <f t="shared" si="6"/>
        <v>16</v>
      </c>
      <c r="L11" s="34"/>
      <c r="M11" s="43"/>
      <c r="N11" s="43"/>
      <c r="O11" s="43"/>
      <c r="P11" s="43"/>
      <c r="Q11" s="43"/>
      <c r="R11" s="43"/>
      <c r="S11" s="43"/>
      <c r="T11" s="43"/>
      <c r="U11" s="43"/>
      <c r="V11" s="43"/>
      <c r="W11" s="43"/>
      <c r="X11" s="43"/>
      <c r="Y11" s="43"/>
      <c r="Z11" s="43"/>
      <c r="AA11" s="43"/>
      <c r="AB11" s="43"/>
    </row>
    <row r="12">
      <c r="A12" s="35" t="str">
        <f>sheetName(4)</f>
        <v>Opportunity creation</v>
      </c>
      <c r="B12" s="36"/>
      <c r="C12" s="37"/>
      <c r="D12" s="34"/>
      <c r="E12" s="5"/>
      <c r="F12" s="38">
        <f t="shared" si="1"/>
        <v>0</v>
      </c>
      <c r="G12" s="39">
        <f t="shared" si="2"/>
        <v>0</v>
      </c>
      <c r="H12" s="40">
        <f t="shared" si="3"/>
        <v>0</v>
      </c>
      <c r="I12" s="41">
        <f t="shared" si="4"/>
        <v>0</v>
      </c>
      <c r="J12" s="42">
        <f t="shared" si="5"/>
        <v>28</v>
      </c>
      <c r="K12" s="43">
        <f t="shared" si="6"/>
        <v>28</v>
      </c>
      <c r="L12" s="34"/>
      <c r="M12" s="43"/>
      <c r="N12" s="43"/>
      <c r="O12" s="43"/>
      <c r="P12" s="43"/>
      <c r="Q12" s="43"/>
      <c r="R12" s="43"/>
      <c r="S12" s="43"/>
      <c r="T12" s="43"/>
      <c r="U12" s="43"/>
      <c r="V12" s="43"/>
      <c r="W12" s="43"/>
      <c r="X12" s="43"/>
      <c r="Y12" s="43"/>
      <c r="Z12" s="43"/>
      <c r="AA12" s="43"/>
      <c r="AB12" s="43"/>
    </row>
    <row r="13">
      <c r="A13" s="35" t="str">
        <f>sheetName(5)</f>
        <v>Opportunity List page</v>
      </c>
      <c r="B13" s="36"/>
      <c r="C13" s="37"/>
      <c r="D13" s="34"/>
      <c r="E13" s="5"/>
      <c r="F13" s="38">
        <f t="shared" si="1"/>
        <v>0</v>
      </c>
      <c r="G13" s="39">
        <f t="shared" si="2"/>
        <v>0</v>
      </c>
      <c r="H13" s="40">
        <f t="shared" si="3"/>
        <v>0</v>
      </c>
      <c r="I13" s="41">
        <f t="shared" si="4"/>
        <v>0</v>
      </c>
      <c r="J13" s="42">
        <f t="shared" si="5"/>
        <v>28</v>
      </c>
      <c r="K13" s="43">
        <f t="shared" si="6"/>
        <v>28</v>
      </c>
      <c r="L13" s="34"/>
      <c r="M13" s="43"/>
      <c r="N13" s="43"/>
      <c r="O13" s="43"/>
      <c r="P13" s="43"/>
      <c r="Q13" s="43"/>
      <c r="R13" s="43"/>
      <c r="S13" s="43"/>
      <c r="T13" s="43"/>
      <c r="U13" s="43"/>
      <c r="V13" s="43"/>
      <c r="W13" s="43"/>
      <c r="X13" s="43"/>
      <c r="Y13" s="43"/>
      <c r="Z13" s="43"/>
      <c r="AA13" s="43"/>
      <c r="AB13" s="43"/>
    </row>
    <row r="14">
      <c r="A14" s="35" t="str">
        <f>sheetName(3)</f>
        <v>Programs List page</v>
      </c>
      <c r="B14" s="36"/>
      <c r="C14" s="37"/>
      <c r="D14" s="34"/>
      <c r="E14" s="5"/>
      <c r="F14" s="38">
        <f t="shared" si="1"/>
        <v>0</v>
      </c>
      <c r="G14" s="39">
        <f t="shared" si="2"/>
        <v>0</v>
      </c>
      <c r="H14" s="40">
        <f t="shared" si="3"/>
        <v>0</v>
      </c>
      <c r="I14" s="41">
        <f t="shared" si="4"/>
        <v>0</v>
      </c>
      <c r="J14" s="42">
        <f t="shared" si="5"/>
        <v>16</v>
      </c>
      <c r="K14" s="43">
        <f t="shared" si="6"/>
        <v>16</v>
      </c>
      <c r="L14" s="34"/>
      <c r="M14" s="43"/>
      <c r="N14" s="43"/>
      <c r="O14" s="43"/>
      <c r="P14" s="43"/>
      <c r="Q14" s="43"/>
      <c r="R14" s="43"/>
      <c r="S14" s="43"/>
      <c r="T14" s="43"/>
      <c r="U14" s="43"/>
      <c r="V14" s="43"/>
      <c r="W14" s="43"/>
      <c r="X14" s="43"/>
      <c r="Y14" s="43"/>
      <c r="Z14" s="43"/>
      <c r="AA14" s="43"/>
      <c r="AB14" s="43"/>
    </row>
    <row r="15">
      <c r="A15" s="35" t="str">
        <f>sheetName(7)</f>
        <v>Connect workers page</v>
      </c>
      <c r="B15" s="36"/>
      <c r="C15" s="37"/>
      <c r="D15" s="34"/>
      <c r="E15" s="5"/>
      <c r="F15" s="38">
        <f t="shared" si="1"/>
        <v>0</v>
      </c>
      <c r="G15" s="39">
        <f t="shared" si="2"/>
        <v>0</v>
      </c>
      <c r="H15" s="40">
        <f t="shared" si="3"/>
        <v>0</v>
      </c>
      <c r="I15" s="41">
        <f t="shared" si="4"/>
        <v>0</v>
      </c>
      <c r="J15" s="42">
        <f t="shared" si="5"/>
        <v>42</v>
      </c>
      <c r="K15" s="43">
        <f t="shared" si="6"/>
        <v>42</v>
      </c>
      <c r="L15" s="34"/>
      <c r="M15" s="43"/>
      <c r="N15" s="43"/>
      <c r="O15" s="43"/>
      <c r="P15" s="43"/>
      <c r="Q15" s="43"/>
      <c r="R15" s="43"/>
      <c r="S15" s="43"/>
      <c r="T15" s="43"/>
      <c r="U15" s="43"/>
      <c r="V15" s="43"/>
      <c r="W15" s="43"/>
      <c r="X15" s="43"/>
      <c r="Y15" s="43"/>
      <c r="Z15" s="43"/>
      <c r="AA15" s="43"/>
      <c r="AB15" s="43"/>
    </row>
    <row r="16">
      <c r="A16" s="35" t="str">
        <f>sheetName(8)</f>
        <v>Visit verification page</v>
      </c>
      <c r="B16" s="36"/>
      <c r="C16" s="37"/>
      <c r="D16" s="34"/>
      <c r="E16" s="5"/>
      <c r="F16" s="38">
        <f t="shared" si="1"/>
        <v>0</v>
      </c>
      <c r="G16" s="39">
        <f t="shared" si="2"/>
        <v>0</v>
      </c>
      <c r="H16" s="40">
        <f t="shared" si="3"/>
        <v>0</v>
      </c>
      <c r="I16" s="41">
        <f t="shared" si="4"/>
        <v>0</v>
      </c>
      <c r="J16" s="42">
        <f t="shared" si="5"/>
        <v>45</v>
      </c>
      <c r="K16" s="43">
        <f t="shared" si="6"/>
        <v>45</v>
      </c>
      <c r="L16" s="34"/>
      <c r="M16" s="43"/>
      <c r="N16" s="43"/>
      <c r="O16" s="43"/>
      <c r="P16" s="43"/>
      <c r="Q16" s="43"/>
      <c r="R16" s="43"/>
      <c r="S16" s="43"/>
      <c r="T16" s="43"/>
      <c r="U16" s="43"/>
      <c r="V16" s="43"/>
      <c r="W16" s="43"/>
      <c r="X16" s="43"/>
      <c r="Y16" s="43"/>
      <c r="Z16" s="43"/>
      <c r="AA16" s="43"/>
      <c r="AB16" s="43"/>
    </row>
    <row r="17">
      <c r="A17" s="35" t="str">
        <f>sheetName(9)</f>
        <v>Invoices List page</v>
      </c>
      <c r="B17" s="36"/>
      <c r="C17" s="37"/>
      <c r="D17" s="34"/>
      <c r="E17" s="5"/>
      <c r="F17" s="38">
        <f t="shared" si="1"/>
        <v>0</v>
      </c>
      <c r="G17" s="39">
        <f t="shared" si="2"/>
        <v>0</v>
      </c>
      <c r="H17" s="40">
        <f t="shared" si="3"/>
        <v>0</v>
      </c>
      <c r="I17" s="41">
        <f t="shared" si="4"/>
        <v>0</v>
      </c>
      <c r="J17" s="42">
        <f t="shared" si="5"/>
        <v>40</v>
      </c>
      <c r="K17" s="43">
        <f t="shared" si="6"/>
        <v>40</v>
      </c>
      <c r="L17" s="34"/>
      <c r="M17" s="43"/>
      <c r="N17" s="43"/>
      <c r="O17" s="43"/>
      <c r="P17" s="43"/>
      <c r="Q17" s="43"/>
      <c r="R17" s="43"/>
      <c r="S17" s="43"/>
      <c r="T17" s="43"/>
      <c r="U17" s="43"/>
      <c r="V17" s="43"/>
      <c r="W17" s="43"/>
      <c r="X17" s="43"/>
      <c r="Y17" s="43"/>
      <c r="Z17" s="43"/>
      <c r="AA17" s="43"/>
      <c r="AB17" s="43"/>
    </row>
    <row r="18">
      <c r="A18" s="35" t="str">
        <f>sheetName(10)</f>
        <v>Connect Messaging</v>
      </c>
      <c r="B18" s="36"/>
      <c r="C18" s="37"/>
      <c r="D18" s="34"/>
      <c r="E18" s="5"/>
      <c r="F18" s="38">
        <f t="shared" si="1"/>
        <v>0</v>
      </c>
      <c r="G18" s="39">
        <f t="shared" si="2"/>
        <v>0</v>
      </c>
      <c r="H18" s="40">
        <f t="shared" si="3"/>
        <v>0</v>
      </c>
      <c r="I18" s="41">
        <f t="shared" si="4"/>
        <v>0</v>
      </c>
      <c r="J18" s="42">
        <f t="shared" si="5"/>
        <v>10</v>
      </c>
      <c r="K18" s="43">
        <f t="shared" si="6"/>
        <v>10</v>
      </c>
      <c r="L18" s="34"/>
      <c r="M18" s="43"/>
      <c r="N18" s="43"/>
      <c r="O18" s="43"/>
      <c r="P18" s="43"/>
      <c r="Q18" s="43"/>
      <c r="R18" s="43"/>
      <c r="S18" s="43"/>
      <c r="T18" s="43"/>
      <c r="U18" s="43"/>
      <c r="V18" s="43"/>
      <c r="W18" s="43"/>
      <c r="X18" s="43"/>
      <c r="Y18" s="43"/>
      <c r="Z18" s="43"/>
      <c r="AA18" s="43"/>
      <c r="AB18" s="43"/>
    </row>
    <row r="19">
      <c r="A19" s="35" t="str">
        <f>sheetName(11)</f>
        <v>Delivery Reminder Mails</v>
      </c>
      <c r="B19" s="36"/>
      <c r="C19" s="37"/>
      <c r="D19" s="34"/>
      <c r="E19" s="5"/>
      <c r="F19" s="38">
        <f t="shared" si="1"/>
        <v>0</v>
      </c>
      <c r="G19" s="39">
        <f t="shared" si="2"/>
        <v>0</v>
      </c>
      <c r="H19" s="40">
        <f t="shared" si="3"/>
        <v>0</v>
      </c>
      <c r="I19" s="41">
        <f t="shared" si="4"/>
        <v>0</v>
      </c>
      <c r="J19" s="42">
        <f t="shared" si="5"/>
        <v>8</v>
      </c>
      <c r="K19" s="43">
        <f t="shared" si="6"/>
        <v>8</v>
      </c>
      <c r="L19" s="34"/>
      <c r="M19" s="43"/>
      <c r="N19" s="43"/>
      <c r="O19" s="43"/>
      <c r="P19" s="43"/>
      <c r="Q19" s="43"/>
      <c r="R19" s="43"/>
      <c r="S19" s="43"/>
      <c r="T19" s="43"/>
      <c r="U19" s="43"/>
      <c r="V19" s="43"/>
      <c r="W19" s="43"/>
      <c r="X19" s="43"/>
      <c r="Y19" s="43"/>
      <c r="Z19" s="43"/>
      <c r="AA19" s="43"/>
      <c r="AB19" s="43"/>
    </row>
    <row r="20">
      <c r="A20" s="35" t="str">
        <f>sheetName(12)</f>
        <v>App Credentials</v>
      </c>
      <c r="B20" s="36"/>
      <c r="C20" s="37"/>
      <c r="D20" s="34"/>
      <c r="E20" s="5"/>
      <c r="F20" s="38">
        <f t="shared" si="1"/>
        <v>0</v>
      </c>
      <c r="G20" s="39">
        <f t="shared" si="2"/>
        <v>0</v>
      </c>
      <c r="H20" s="40">
        <f t="shared" si="3"/>
        <v>0</v>
      </c>
      <c r="I20" s="41">
        <f t="shared" si="4"/>
        <v>0</v>
      </c>
      <c r="J20" s="42">
        <f t="shared" si="5"/>
        <v>3</v>
      </c>
      <c r="K20" s="43">
        <f t="shared" si="6"/>
        <v>3</v>
      </c>
      <c r="L20" s="34"/>
      <c r="M20" s="43"/>
      <c r="N20" s="43"/>
      <c r="O20" s="43"/>
      <c r="P20" s="43"/>
      <c r="Q20" s="43"/>
      <c r="R20" s="43"/>
      <c r="S20" s="43"/>
      <c r="T20" s="43"/>
      <c r="U20" s="43"/>
      <c r="V20" s="43"/>
      <c r="W20" s="43"/>
      <c r="X20" s="43"/>
      <c r="Y20" s="43"/>
      <c r="Z20" s="43"/>
      <c r="AA20" s="43"/>
      <c r="AB20" s="43"/>
    </row>
    <row r="21">
      <c r="A21" s="35" t="str">
        <f>sheetName(13)</f>
        <v>Re-Learn Task</v>
      </c>
      <c r="B21" s="44"/>
      <c r="C21" s="45"/>
      <c r="D21" s="46"/>
      <c r="E21" s="47"/>
      <c r="F21" s="48"/>
      <c r="G21" s="49"/>
      <c r="H21" s="50"/>
      <c r="I21" s="51"/>
      <c r="J21" s="52"/>
      <c r="K21" s="53"/>
      <c r="L21" s="46"/>
      <c r="M21" s="53"/>
      <c r="N21" s="53"/>
      <c r="O21" s="53"/>
      <c r="P21" s="53"/>
      <c r="Q21" s="53"/>
      <c r="R21" s="53"/>
      <c r="S21" s="53"/>
      <c r="T21" s="53"/>
      <c r="U21" s="53"/>
      <c r="V21" s="53"/>
      <c r="W21" s="53"/>
      <c r="X21" s="53"/>
      <c r="Y21" s="53"/>
      <c r="Z21" s="53"/>
      <c r="AA21" s="53"/>
      <c r="AB21" s="53"/>
    </row>
  </sheetData>
  <mergeCells count="15">
    <mergeCell ref="F3:G3"/>
    <mergeCell ref="F4:G4"/>
    <mergeCell ref="F6:G6"/>
    <mergeCell ref="F5:G5"/>
    <mergeCell ref="H5:L5"/>
    <mergeCell ref="H6:L6"/>
    <mergeCell ref="F9:J9"/>
    <mergeCell ref="M9:Q9"/>
    <mergeCell ref="A1:A5"/>
    <mergeCell ref="B1:D2"/>
    <mergeCell ref="F1:L1"/>
    <mergeCell ref="F2:G2"/>
    <mergeCell ref="H2:L2"/>
    <mergeCell ref="B3:D5"/>
    <mergeCell ref="H3:L3"/>
  </mergeCells>
  <conditionalFormatting sqref="F2:F5">
    <cfRule type="cellIs" dxfId="0" priority="1" operator="equal">
      <formula>"Blocking"</formula>
    </cfRule>
  </conditionalFormatting>
  <conditionalFormatting sqref="F2:F5">
    <cfRule type="cellIs" dxfId="1" priority="2" operator="equal">
      <formula>"Fail"</formula>
    </cfRule>
  </conditionalFormatting>
  <conditionalFormatting sqref="F2:F5">
    <cfRule type="cellIs" dxfId="2" priority="3" operator="equal">
      <formula>"N/A"</formula>
    </cfRule>
  </conditionalFormatting>
  <conditionalFormatting sqref="F2:F5">
    <cfRule type="cellIs" dxfId="3" priority="4" operator="equal">
      <formula>"Blocking"</formula>
    </cfRule>
  </conditionalFormatting>
  <conditionalFormatting sqref="F2:F5">
    <cfRule type="cellIs" dxfId="4" priority="5" operator="equal">
      <formula>"Pass"</formula>
    </cfRule>
  </conditionalFormatting>
  <conditionalFormatting sqref="F2:F5">
    <cfRule type="cellIs" dxfId="5" priority="6" operator="equal">
      <formula>"Fail"</formula>
    </cfRule>
  </conditionalFormatting>
  <conditionalFormatting sqref="F2:F5">
    <cfRule type="cellIs" dxfId="6" priority="7" operator="equal">
      <formula>"N/A"</formula>
    </cfRule>
  </conditionalFormatting>
  <conditionalFormatting sqref="F2:F5">
    <cfRule type="cellIs" dxfId="7" priority="8" operator="equal">
      <formula>"Blocking"</formula>
    </cfRule>
  </conditionalFormatting>
  <dataValidations>
    <dataValidation type="list" allowBlank="1" showErrorMessage="1" sqref="F2:F5">
      <formula1>"Pass,Fail,N/A,Blocking"</formula1>
    </dataValidation>
    <dataValidation type="list" allowBlank="1" showErrorMessage="1" sqref="B10:B21">
      <formula1>"In Progress,Done,Blocked,Not Started"</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5"/>
    <col customWidth="1" min="2" max="3" width="43.88"/>
    <col customWidth="1" min="4" max="4" width="41.38"/>
    <col customWidth="1" min="5" max="5" width="14.88"/>
    <col customWidth="1" min="6" max="8" width="17.5"/>
  </cols>
  <sheetData>
    <row r="1" ht="15.0" customHeight="1">
      <c r="A1" s="54" t="s">
        <v>22</v>
      </c>
      <c r="B1" s="54" t="s">
        <v>23</v>
      </c>
      <c r="C1" s="54" t="s">
        <v>24</v>
      </c>
      <c r="D1" s="55" t="s">
        <v>25</v>
      </c>
      <c r="E1" s="54" t="s">
        <v>26</v>
      </c>
      <c r="F1" s="55" t="s">
        <v>27</v>
      </c>
      <c r="G1" s="55" t="s">
        <v>28</v>
      </c>
      <c r="H1" s="55"/>
    </row>
    <row r="2" ht="12.75" customHeight="1">
      <c r="A2" s="56" t="s">
        <v>29</v>
      </c>
      <c r="B2" s="7"/>
      <c r="C2" s="7"/>
      <c r="D2" s="7"/>
      <c r="E2" s="7"/>
      <c r="F2" s="7"/>
      <c r="G2" s="8"/>
      <c r="H2" s="57"/>
    </row>
    <row r="3" ht="12.75" customHeight="1">
      <c r="A3" s="58" t="s">
        <v>30</v>
      </c>
      <c r="B3" s="59" t="s">
        <v>31</v>
      </c>
      <c r="C3" s="60" t="s">
        <v>32</v>
      </c>
      <c r="D3" s="61" t="s">
        <v>33</v>
      </c>
      <c r="E3" s="62"/>
      <c r="F3" s="63"/>
      <c r="G3" s="63"/>
      <c r="H3" s="63"/>
    </row>
    <row r="4" ht="12.75" customHeight="1">
      <c r="A4" s="58" t="s">
        <v>34</v>
      </c>
      <c r="B4" s="59" t="s">
        <v>35</v>
      </c>
      <c r="C4" s="61" t="s">
        <v>36</v>
      </c>
      <c r="D4" s="61" t="s">
        <v>37</v>
      </c>
      <c r="E4" s="62"/>
      <c r="F4" s="63"/>
      <c r="G4" s="63"/>
      <c r="H4" s="63"/>
    </row>
    <row r="5" ht="12.75" customHeight="1">
      <c r="A5" s="58" t="s">
        <v>38</v>
      </c>
      <c r="B5" s="59" t="s">
        <v>39</v>
      </c>
      <c r="C5" s="61" t="s">
        <v>40</v>
      </c>
      <c r="D5" s="61" t="s">
        <v>41</v>
      </c>
      <c r="E5" s="62"/>
      <c r="F5" s="63"/>
      <c r="G5" s="63"/>
      <c r="H5" s="63"/>
    </row>
    <row r="6" ht="12.75" customHeight="1">
      <c r="A6" s="58" t="s">
        <v>42</v>
      </c>
      <c r="B6" s="59" t="s">
        <v>43</v>
      </c>
      <c r="C6" s="61" t="s">
        <v>44</v>
      </c>
      <c r="D6" s="61"/>
      <c r="E6" s="62"/>
      <c r="F6" s="63"/>
      <c r="G6" s="63"/>
      <c r="H6" s="63"/>
    </row>
    <row r="7" ht="12.75" customHeight="1">
      <c r="A7" s="58" t="s">
        <v>45</v>
      </c>
      <c r="B7" s="59" t="s">
        <v>46</v>
      </c>
      <c r="C7" s="61" t="s">
        <v>47</v>
      </c>
      <c r="D7" s="61" t="s">
        <v>48</v>
      </c>
      <c r="E7" s="62"/>
      <c r="F7" s="63"/>
      <c r="G7" s="63"/>
      <c r="H7" s="63"/>
    </row>
    <row r="8" ht="12.75" customHeight="1">
      <c r="A8" s="58" t="s">
        <v>49</v>
      </c>
      <c r="B8" s="59" t="s">
        <v>50</v>
      </c>
      <c r="C8" s="61" t="s">
        <v>51</v>
      </c>
      <c r="D8" s="61" t="s">
        <v>52</v>
      </c>
      <c r="E8" s="62"/>
      <c r="F8" s="63"/>
      <c r="G8" s="63"/>
      <c r="H8" s="63"/>
    </row>
    <row r="9" ht="12.75" customHeight="1">
      <c r="A9" s="58" t="s">
        <v>53</v>
      </c>
      <c r="B9" s="59" t="s">
        <v>54</v>
      </c>
      <c r="C9" s="61" t="s">
        <v>55</v>
      </c>
      <c r="D9" s="61" t="s">
        <v>56</v>
      </c>
      <c r="E9" s="62"/>
      <c r="F9" s="63"/>
      <c r="G9" s="63"/>
      <c r="H9" s="63"/>
    </row>
    <row r="10" ht="12.75" customHeight="1">
      <c r="A10" s="58" t="s">
        <v>57</v>
      </c>
      <c r="B10" s="59" t="s">
        <v>58</v>
      </c>
      <c r="C10" s="61" t="s">
        <v>59</v>
      </c>
      <c r="D10" s="61" t="s">
        <v>60</v>
      </c>
      <c r="E10" s="62"/>
      <c r="F10" s="63"/>
      <c r="G10" s="63"/>
      <c r="H10" s="63"/>
    </row>
    <row r="11" ht="12.75" customHeight="1">
      <c r="A11" s="58" t="s">
        <v>61</v>
      </c>
      <c r="B11" s="59" t="s">
        <v>62</v>
      </c>
      <c r="C11" s="61" t="s">
        <v>63</v>
      </c>
      <c r="D11" s="61" t="s">
        <v>64</v>
      </c>
      <c r="E11" s="62"/>
      <c r="F11" s="63"/>
      <c r="G11" s="63"/>
      <c r="H11" s="63"/>
    </row>
  </sheetData>
  <mergeCells count="1">
    <mergeCell ref="A2:G2"/>
  </mergeCells>
  <conditionalFormatting sqref="E3:E11">
    <cfRule type="cellIs" dxfId="4" priority="1" operator="equal">
      <formula>"Pass"</formula>
    </cfRule>
  </conditionalFormatting>
  <conditionalFormatting sqref="E3:E11">
    <cfRule type="cellIs" dxfId="5" priority="2" operator="equal">
      <formula>"Fail"</formula>
    </cfRule>
  </conditionalFormatting>
  <conditionalFormatting sqref="E3:E11">
    <cfRule type="cellIs" dxfId="6" priority="3" operator="equal">
      <formula>"N/A"</formula>
    </cfRule>
  </conditionalFormatting>
  <conditionalFormatting sqref="E3:E11">
    <cfRule type="cellIs" dxfId="7" priority="4" operator="equal">
      <formula>"Blocking"</formula>
    </cfRule>
  </conditionalFormatting>
  <dataValidations>
    <dataValidation type="list" allowBlank="1" showErrorMessage="1" sqref="E3:E11">
      <formula1>"Pass,Fail,N/A,Blocking"</formula1>
    </dataValidation>
  </dataValidations>
  <hyperlinks>
    <hyperlink r:id="rId1" ref="C3"/>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3.38"/>
    <col customWidth="1" min="3" max="3" width="47.88"/>
    <col customWidth="1" min="4" max="4" width="48.25"/>
  </cols>
  <sheetData>
    <row r="1" ht="15.0" customHeight="1">
      <c r="A1" s="54" t="s">
        <v>22</v>
      </c>
      <c r="B1" s="54" t="s">
        <v>23</v>
      </c>
      <c r="C1" s="54" t="s">
        <v>24</v>
      </c>
      <c r="D1" s="55" t="s">
        <v>25</v>
      </c>
      <c r="E1" s="54" t="s">
        <v>26</v>
      </c>
      <c r="F1" s="55" t="s">
        <v>27</v>
      </c>
      <c r="G1" s="55" t="s">
        <v>28</v>
      </c>
    </row>
    <row r="2">
      <c r="A2" s="64" t="s">
        <v>65</v>
      </c>
      <c r="B2" s="65" t="s">
        <v>66</v>
      </c>
      <c r="C2" s="65" t="s">
        <v>67</v>
      </c>
      <c r="D2" s="65" t="s">
        <v>68</v>
      </c>
      <c r="E2" s="66"/>
      <c r="F2" s="67"/>
      <c r="G2" s="67"/>
    </row>
    <row r="3">
      <c r="A3" s="64" t="s">
        <v>69</v>
      </c>
      <c r="B3" s="61" t="s">
        <v>70</v>
      </c>
      <c r="C3" s="68" t="s">
        <v>71</v>
      </c>
      <c r="D3" s="61" t="s">
        <v>72</v>
      </c>
      <c r="E3" s="66"/>
      <c r="F3" s="67"/>
      <c r="G3" s="67"/>
    </row>
    <row r="4">
      <c r="A4" s="64" t="s">
        <v>73</v>
      </c>
      <c r="B4" s="61" t="s">
        <v>74</v>
      </c>
      <c r="C4" s="68" t="s">
        <v>75</v>
      </c>
      <c r="D4" s="61" t="s">
        <v>76</v>
      </c>
      <c r="E4" s="66"/>
      <c r="F4" s="67"/>
      <c r="G4" s="67"/>
    </row>
    <row r="5">
      <c r="A5" s="64" t="s">
        <v>77</v>
      </c>
      <c r="B5" s="61" t="s">
        <v>78</v>
      </c>
      <c r="C5" s="61"/>
      <c r="D5" s="61" t="s">
        <v>79</v>
      </c>
      <c r="E5" s="66"/>
      <c r="F5" s="67"/>
      <c r="G5" s="67"/>
    </row>
    <row r="6">
      <c r="A6" s="64" t="s">
        <v>80</v>
      </c>
      <c r="B6" s="61" t="s">
        <v>81</v>
      </c>
      <c r="C6" s="68" t="s">
        <v>82</v>
      </c>
      <c r="D6" s="61" t="s">
        <v>83</v>
      </c>
      <c r="E6" s="66"/>
      <c r="F6" s="67"/>
      <c r="G6" s="67"/>
    </row>
    <row r="7">
      <c r="A7" s="64" t="s">
        <v>84</v>
      </c>
      <c r="B7" s="61" t="s">
        <v>85</v>
      </c>
      <c r="C7" s="68" t="s">
        <v>82</v>
      </c>
      <c r="D7" s="61" t="s">
        <v>86</v>
      </c>
      <c r="E7" s="66"/>
      <c r="F7" s="67"/>
      <c r="G7" s="67"/>
    </row>
    <row r="8">
      <c r="A8" s="64" t="s">
        <v>87</v>
      </c>
      <c r="B8" s="61" t="s">
        <v>88</v>
      </c>
      <c r="C8" s="68" t="s">
        <v>89</v>
      </c>
      <c r="D8" s="61" t="s">
        <v>90</v>
      </c>
      <c r="E8" s="66"/>
      <c r="F8" s="67"/>
      <c r="G8" s="67"/>
    </row>
    <row r="9">
      <c r="A9" s="64" t="s">
        <v>91</v>
      </c>
      <c r="B9" s="61" t="s">
        <v>92</v>
      </c>
      <c r="C9" s="61"/>
      <c r="D9" s="61" t="s">
        <v>93</v>
      </c>
      <c r="E9" s="66"/>
      <c r="F9" s="67"/>
      <c r="G9" s="67"/>
    </row>
    <row r="10">
      <c r="A10" s="64" t="s">
        <v>94</v>
      </c>
      <c r="B10" s="61" t="s">
        <v>95</v>
      </c>
      <c r="C10" s="61"/>
      <c r="D10" s="61" t="s">
        <v>96</v>
      </c>
      <c r="E10" s="66"/>
      <c r="F10" s="67"/>
      <c r="G10" s="67"/>
    </row>
    <row r="11">
      <c r="A11" s="64" t="s">
        <v>97</v>
      </c>
      <c r="B11" s="61" t="s">
        <v>98</v>
      </c>
      <c r="C11" s="61"/>
      <c r="D11" s="61" t="s">
        <v>99</v>
      </c>
      <c r="E11" s="66"/>
      <c r="F11" s="67"/>
      <c r="G11" s="67"/>
    </row>
    <row r="12">
      <c r="A12" s="64" t="s">
        <v>100</v>
      </c>
      <c r="B12" s="61" t="s">
        <v>101</v>
      </c>
      <c r="C12" s="61" t="s">
        <v>102</v>
      </c>
      <c r="D12" s="61" t="s">
        <v>103</v>
      </c>
      <c r="E12" s="66"/>
      <c r="F12" s="67"/>
      <c r="G12" s="67"/>
    </row>
    <row r="13">
      <c r="A13" s="64" t="s">
        <v>104</v>
      </c>
      <c r="B13" s="61" t="s">
        <v>105</v>
      </c>
      <c r="C13" s="61"/>
      <c r="D13" s="61" t="s">
        <v>106</v>
      </c>
      <c r="E13" s="66"/>
      <c r="F13" s="67"/>
      <c r="G13" s="67"/>
    </row>
    <row r="14">
      <c r="A14" s="64" t="s">
        <v>107</v>
      </c>
      <c r="B14" s="61" t="s">
        <v>108</v>
      </c>
      <c r="C14" s="61" t="s">
        <v>109</v>
      </c>
      <c r="D14" s="61" t="s">
        <v>110</v>
      </c>
      <c r="E14" s="66"/>
      <c r="F14" s="67"/>
      <c r="G14" s="67"/>
    </row>
    <row r="15">
      <c r="A15" s="64" t="s">
        <v>111</v>
      </c>
      <c r="B15" s="61" t="s">
        <v>112</v>
      </c>
      <c r="C15" s="61" t="s">
        <v>113</v>
      </c>
      <c r="D15" s="61" t="s">
        <v>114</v>
      </c>
      <c r="E15" s="66"/>
      <c r="F15" s="67"/>
      <c r="G15" s="67"/>
    </row>
    <row r="16">
      <c r="A16" s="64" t="s">
        <v>115</v>
      </c>
      <c r="B16" s="61" t="s">
        <v>116</v>
      </c>
      <c r="C16" s="61" t="s">
        <v>117</v>
      </c>
      <c r="D16" s="61" t="s">
        <v>118</v>
      </c>
      <c r="E16" s="66"/>
      <c r="F16" s="67"/>
      <c r="G16" s="67"/>
    </row>
    <row r="17">
      <c r="A17" s="64" t="s">
        <v>119</v>
      </c>
      <c r="B17" s="61" t="s">
        <v>120</v>
      </c>
      <c r="C17" s="61" t="s">
        <v>121</v>
      </c>
      <c r="D17" s="61" t="s">
        <v>122</v>
      </c>
      <c r="E17" s="66"/>
      <c r="F17" s="67"/>
      <c r="G17" s="67"/>
    </row>
  </sheetData>
  <conditionalFormatting sqref="E2:E17">
    <cfRule type="cellIs" dxfId="4" priority="1" operator="equal">
      <formula>"Pass"</formula>
    </cfRule>
  </conditionalFormatting>
  <conditionalFormatting sqref="E2:E17">
    <cfRule type="cellIs" dxfId="5" priority="2" operator="equal">
      <formula>"Fail"</formula>
    </cfRule>
  </conditionalFormatting>
  <conditionalFormatting sqref="E2:E17">
    <cfRule type="cellIs" dxfId="6" priority="3" operator="equal">
      <formula>"N/A"</formula>
    </cfRule>
  </conditionalFormatting>
  <conditionalFormatting sqref="E2:E17">
    <cfRule type="cellIs" dxfId="7" priority="4" operator="equal">
      <formula>"Blocking"</formula>
    </cfRule>
  </conditionalFormatting>
  <dataValidations>
    <dataValidation type="list" allowBlank="1" showErrorMessage="1" sqref="E2:E17">
      <formula1>"Pass,Fail,N/A,Blocking"</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63"/>
    <col customWidth="1" min="2" max="2" width="50.75"/>
    <col customWidth="1" min="3" max="3" width="42.0"/>
    <col customWidth="1" min="4" max="4" width="53.63"/>
    <col customWidth="1" min="5" max="5" width="17.5"/>
    <col customWidth="1" min="6" max="6" width="19.13"/>
    <col customWidth="1" min="7" max="7" width="20.0"/>
  </cols>
  <sheetData>
    <row r="1" ht="15.0" customHeight="1">
      <c r="A1" s="54" t="s">
        <v>22</v>
      </c>
      <c r="B1" s="54" t="s">
        <v>23</v>
      </c>
      <c r="C1" s="54" t="s">
        <v>24</v>
      </c>
      <c r="D1" s="55" t="s">
        <v>25</v>
      </c>
      <c r="E1" s="54" t="s">
        <v>26</v>
      </c>
      <c r="F1" s="55" t="s">
        <v>27</v>
      </c>
      <c r="G1" s="55" t="s">
        <v>28</v>
      </c>
    </row>
    <row r="2">
      <c r="A2" s="63" t="s">
        <v>123</v>
      </c>
      <c r="B2" s="61" t="s">
        <v>124</v>
      </c>
      <c r="C2" s="61"/>
      <c r="D2" s="61" t="s">
        <v>125</v>
      </c>
      <c r="E2" s="69"/>
      <c r="F2" s="63"/>
      <c r="G2" s="63"/>
    </row>
    <row r="3">
      <c r="A3" s="63" t="s">
        <v>126</v>
      </c>
      <c r="B3" s="61" t="s">
        <v>127</v>
      </c>
      <c r="C3" s="61"/>
      <c r="D3" s="61" t="s">
        <v>128</v>
      </c>
      <c r="E3" s="69"/>
      <c r="F3" s="63"/>
      <c r="G3" s="63"/>
    </row>
    <row r="4">
      <c r="A4" s="63" t="s">
        <v>129</v>
      </c>
      <c r="B4" s="61" t="s">
        <v>130</v>
      </c>
      <c r="C4" s="61"/>
      <c r="D4" s="61" t="s">
        <v>131</v>
      </c>
      <c r="E4" s="69"/>
      <c r="F4" s="63"/>
      <c r="G4" s="63"/>
    </row>
    <row r="5">
      <c r="A5" s="63" t="s">
        <v>132</v>
      </c>
      <c r="B5" s="61" t="s">
        <v>133</v>
      </c>
      <c r="C5" s="61" t="s">
        <v>134</v>
      </c>
      <c r="D5" s="61" t="s">
        <v>135</v>
      </c>
      <c r="E5" s="69"/>
      <c r="F5" s="63"/>
      <c r="G5" s="63"/>
    </row>
    <row r="6">
      <c r="A6" s="63" t="s">
        <v>136</v>
      </c>
      <c r="B6" s="61" t="s">
        <v>137</v>
      </c>
      <c r="C6" s="61" t="s">
        <v>138</v>
      </c>
      <c r="D6" s="61" t="s">
        <v>139</v>
      </c>
      <c r="E6" s="69"/>
      <c r="F6" s="63"/>
      <c r="G6" s="63"/>
    </row>
    <row r="7">
      <c r="A7" s="63" t="s">
        <v>140</v>
      </c>
      <c r="B7" s="70" t="s">
        <v>141</v>
      </c>
      <c r="C7" s="70" t="s">
        <v>142</v>
      </c>
      <c r="D7" s="70" t="s">
        <v>143</v>
      </c>
      <c r="E7" s="69"/>
      <c r="F7" s="71"/>
      <c r="G7" s="71"/>
    </row>
    <row r="8">
      <c r="A8" s="63" t="s">
        <v>144</v>
      </c>
      <c r="B8" s="70" t="s">
        <v>145</v>
      </c>
      <c r="C8" s="70" t="s">
        <v>146</v>
      </c>
      <c r="D8" s="70" t="s">
        <v>147</v>
      </c>
      <c r="E8" s="69"/>
      <c r="F8" s="71"/>
      <c r="G8" s="71"/>
    </row>
    <row r="9">
      <c r="A9" s="63" t="s">
        <v>148</v>
      </c>
      <c r="B9" s="70" t="s">
        <v>149</v>
      </c>
      <c r="C9" s="70" t="s">
        <v>150</v>
      </c>
      <c r="D9" s="70" t="s">
        <v>151</v>
      </c>
      <c r="E9" s="69"/>
      <c r="F9" s="71"/>
      <c r="G9" s="71"/>
    </row>
    <row r="10">
      <c r="A10" s="63" t="s">
        <v>152</v>
      </c>
      <c r="B10" s="70" t="s">
        <v>153</v>
      </c>
      <c r="C10" s="70" t="s">
        <v>154</v>
      </c>
      <c r="D10" s="70" t="s">
        <v>155</v>
      </c>
      <c r="E10" s="69"/>
      <c r="F10" s="71"/>
      <c r="G10" s="71"/>
    </row>
    <row r="11">
      <c r="A11" s="63" t="s">
        <v>156</v>
      </c>
      <c r="B11" s="70" t="s">
        <v>157</v>
      </c>
      <c r="C11" s="70" t="s">
        <v>158</v>
      </c>
      <c r="D11" s="70" t="s">
        <v>159</v>
      </c>
      <c r="E11" s="69"/>
      <c r="F11" s="71"/>
      <c r="G11" s="71"/>
    </row>
    <row r="12">
      <c r="A12" s="63" t="s">
        <v>160</v>
      </c>
      <c r="B12" s="70" t="s">
        <v>161</v>
      </c>
      <c r="C12" s="70" t="s">
        <v>162</v>
      </c>
      <c r="D12" s="70" t="s">
        <v>163</v>
      </c>
      <c r="E12" s="69"/>
      <c r="F12" s="71"/>
      <c r="G12" s="71"/>
    </row>
    <row r="13">
      <c r="A13" s="63" t="s">
        <v>164</v>
      </c>
      <c r="B13" s="70" t="s">
        <v>165</v>
      </c>
      <c r="C13" s="70" t="s">
        <v>166</v>
      </c>
      <c r="D13" s="70" t="s">
        <v>167</v>
      </c>
      <c r="E13" s="69"/>
      <c r="F13" s="71"/>
      <c r="G13" s="71"/>
    </row>
    <row r="14">
      <c r="A14" s="63" t="s">
        <v>168</v>
      </c>
      <c r="B14" s="70" t="s">
        <v>169</v>
      </c>
      <c r="C14" s="70" t="s">
        <v>170</v>
      </c>
      <c r="D14" s="70" t="s">
        <v>171</v>
      </c>
      <c r="E14" s="69"/>
      <c r="F14" s="71"/>
      <c r="G14" s="71"/>
    </row>
    <row r="15">
      <c r="A15" s="63" t="s">
        <v>172</v>
      </c>
      <c r="B15" s="70" t="s">
        <v>173</v>
      </c>
      <c r="C15" s="70" t="s">
        <v>174</v>
      </c>
      <c r="D15" s="70" t="s">
        <v>175</v>
      </c>
      <c r="E15" s="69"/>
      <c r="F15" s="71"/>
      <c r="G15" s="71"/>
    </row>
    <row r="16">
      <c r="A16" s="63" t="s">
        <v>176</v>
      </c>
      <c r="B16" s="70" t="s">
        <v>177</v>
      </c>
      <c r="C16" s="70" t="s">
        <v>178</v>
      </c>
      <c r="D16" s="70" t="s">
        <v>179</v>
      </c>
      <c r="E16" s="69"/>
      <c r="F16" s="71"/>
      <c r="G16" s="71"/>
    </row>
    <row r="17">
      <c r="A17" s="63" t="s">
        <v>180</v>
      </c>
      <c r="B17" s="70" t="s">
        <v>181</v>
      </c>
      <c r="C17" s="70" t="s">
        <v>182</v>
      </c>
      <c r="D17" s="70" t="s">
        <v>183</v>
      </c>
      <c r="E17" s="69"/>
      <c r="F17" s="71"/>
      <c r="G17" s="71"/>
    </row>
    <row r="18">
      <c r="A18" s="63" t="s">
        <v>184</v>
      </c>
      <c r="B18" s="70" t="s">
        <v>185</v>
      </c>
      <c r="C18" s="70" t="s">
        <v>186</v>
      </c>
      <c r="D18" s="70" t="s">
        <v>187</v>
      </c>
      <c r="E18" s="69"/>
      <c r="F18" s="71"/>
      <c r="G18" s="71"/>
    </row>
    <row r="19">
      <c r="A19" s="63" t="s">
        <v>188</v>
      </c>
      <c r="B19" s="70" t="s">
        <v>189</v>
      </c>
      <c r="C19" s="70" t="s">
        <v>190</v>
      </c>
      <c r="D19" s="70" t="s">
        <v>191</v>
      </c>
      <c r="E19" s="69"/>
      <c r="F19" s="71"/>
      <c r="G19" s="71"/>
    </row>
    <row r="20">
      <c r="A20" s="63" t="s">
        <v>192</v>
      </c>
      <c r="B20" s="70" t="s">
        <v>193</v>
      </c>
      <c r="C20" s="70" t="s">
        <v>194</v>
      </c>
      <c r="D20" s="70" t="s">
        <v>195</v>
      </c>
      <c r="E20" s="69"/>
      <c r="F20" s="71"/>
      <c r="G20" s="71"/>
    </row>
    <row r="21">
      <c r="A21" s="63" t="s">
        <v>196</v>
      </c>
      <c r="B21" s="70" t="s">
        <v>197</v>
      </c>
      <c r="C21" s="70" t="s">
        <v>198</v>
      </c>
      <c r="D21" s="70" t="s">
        <v>199</v>
      </c>
      <c r="E21" s="69"/>
      <c r="F21" s="71"/>
      <c r="G21" s="71"/>
    </row>
    <row r="22">
      <c r="A22" s="63" t="s">
        <v>200</v>
      </c>
      <c r="B22" s="61" t="s">
        <v>201</v>
      </c>
      <c r="C22" s="61" t="s">
        <v>202</v>
      </c>
      <c r="D22" s="61" t="s">
        <v>203</v>
      </c>
      <c r="E22" s="69"/>
      <c r="F22" s="63"/>
      <c r="G22" s="63"/>
    </row>
    <row r="23">
      <c r="A23" s="63" t="s">
        <v>204</v>
      </c>
      <c r="B23" s="61" t="s">
        <v>205</v>
      </c>
      <c r="C23" s="61" t="s">
        <v>206</v>
      </c>
      <c r="D23" s="61" t="s">
        <v>207</v>
      </c>
      <c r="E23" s="69"/>
      <c r="F23" s="63"/>
      <c r="G23" s="63"/>
    </row>
    <row r="24">
      <c r="A24" s="63" t="s">
        <v>208</v>
      </c>
      <c r="B24" s="61" t="s">
        <v>209</v>
      </c>
      <c r="C24" s="61" t="s">
        <v>210</v>
      </c>
      <c r="D24" s="61" t="s">
        <v>211</v>
      </c>
      <c r="E24" s="69"/>
      <c r="F24" s="63"/>
      <c r="G24" s="63"/>
    </row>
    <row r="25">
      <c r="A25" s="63" t="s">
        <v>212</v>
      </c>
      <c r="B25" s="61" t="s">
        <v>213</v>
      </c>
      <c r="C25" s="61" t="s">
        <v>214</v>
      </c>
      <c r="D25" s="61" t="s">
        <v>215</v>
      </c>
      <c r="E25" s="69"/>
      <c r="F25" s="63"/>
      <c r="G25" s="63"/>
    </row>
    <row r="26">
      <c r="A26" s="63" t="s">
        <v>216</v>
      </c>
      <c r="B26" s="61" t="s">
        <v>217</v>
      </c>
      <c r="C26" s="61" t="s">
        <v>218</v>
      </c>
      <c r="D26" s="61" t="s">
        <v>219</v>
      </c>
      <c r="E26" s="69"/>
      <c r="F26" s="63"/>
      <c r="G26" s="63"/>
    </row>
    <row r="27">
      <c r="A27" s="63" t="s">
        <v>220</v>
      </c>
      <c r="B27" s="61" t="s">
        <v>221</v>
      </c>
      <c r="C27" s="61" t="s">
        <v>222</v>
      </c>
      <c r="D27" s="61" t="s">
        <v>223</v>
      </c>
      <c r="E27" s="69"/>
      <c r="F27" s="63"/>
      <c r="G27" s="63"/>
    </row>
    <row r="28">
      <c r="A28" s="63" t="s">
        <v>224</v>
      </c>
      <c r="B28" s="70" t="s">
        <v>225</v>
      </c>
      <c r="C28" s="70" t="s">
        <v>226</v>
      </c>
      <c r="D28" s="70" t="s">
        <v>227</v>
      </c>
      <c r="E28" s="69"/>
      <c r="F28" s="71"/>
      <c r="G28" s="71"/>
    </row>
    <row r="29">
      <c r="A29" s="63" t="s">
        <v>228</v>
      </c>
      <c r="B29" s="61" t="s">
        <v>229</v>
      </c>
      <c r="C29" s="61" t="s">
        <v>230</v>
      </c>
      <c r="D29" s="61" t="s">
        <v>231</v>
      </c>
      <c r="E29" s="69"/>
      <c r="F29" s="63"/>
      <c r="G29" s="63"/>
    </row>
  </sheetData>
  <conditionalFormatting sqref="E2:E29">
    <cfRule type="cellIs" dxfId="4" priority="1" operator="equal">
      <formula>"Pass"</formula>
    </cfRule>
  </conditionalFormatting>
  <conditionalFormatting sqref="E2:E29">
    <cfRule type="cellIs" dxfId="5" priority="2" operator="equal">
      <formula>"Fail"</formula>
    </cfRule>
  </conditionalFormatting>
  <conditionalFormatting sqref="E2:E29">
    <cfRule type="cellIs" dxfId="6" priority="3" operator="equal">
      <formula>"N/A"</formula>
    </cfRule>
  </conditionalFormatting>
  <conditionalFormatting sqref="E2:E29">
    <cfRule type="cellIs" dxfId="7" priority="4" operator="equal">
      <formula>"Blocking"</formula>
    </cfRule>
  </conditionalFormatting>
  <dataValidations>
    <dataValidation type="list" allowBlank="1" showErrorMessage="1" sqref="E2:E29">
      <formula1>"Pass,Fail,N/A,Blocking"</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3"/>
    <col customWidth="1" min="2" max="2" width="43.38"/>
    <col customWidth="1" min="3" max="3" width="52.38"/>
    <col customWidth="1" min="4" max="4" width="49.63"/>
  </cols>
  <sheetData>
    <row r="1" ht="15.0" customHeight="1">
      <c r="A1" s="54" t="s">
        <v>22</v>
      </c>
      <c r="B1" s="54" t="s">
        <v>23</v>
      </c>
      <c r="C1" s="54" t="s">
        <v>24</v>
      </c>
      <c r="D1" s="55" t="s">
        <v>25</v>
      </c>
      <c r="E1" s="54" t="s">
        <v>26</v>
      </c>
      <c r="F1" s="55" t="s">
        <v>27</v>
      </c>
      <c r="G1" s="55" t="s">
        <v>28</v>
      </c>
    </row>
    <row r="2">
      <c r="A2" s="72" t="s">
        <v>232</v>
      </c>
      <c r="B2" s="61" t="s">
        <v>233</v>
      </c>
      <c r="C2" s="60" t="s">
        <v>234</v>
      </c>
      <c r="D2" s="61" t="s">
        <v>235</v>
      </c>
      <c r="E2" s="69"/>
      <c r="F2" s="73"/>
      <c r="G2" s="73"/>
    </row>
    <row r="3">
      <c r="A3" s="72" t="s">
        <v>236</v>
      </c>
      <c r="B3" s="61" t="s">
        <v>124</v>
      </c>
      <c r="C3" s="61"/>
      <c r="D3" s="61" t="s">
        <v>125</v>
      </c>
      <c r="E3" s="69"/>
      <c r="F3" s="73"/>
      <c r="G3" s="73"/>
    </row>
    <row r="4">
      <c r="A4" s="72" t="s">
        <v>237</v>
      </c>
      <c r="B4" s="61" t="s">
        <v>238</v>
      </c>
      <c r="C4" s="68" t="s">
        <v>239</v>
      </c>
      <c r="D4" s="61" t="s">
        <v>240</v>
      </c>
      <c r="E4" s="69"/>
      <c r="F4" s="73"/>
      <c r="G4" s="73"/>
    </row>
    <row r="5">
      <c r="A5" s="72" t="s">
        <v>241</v>
      </c>
      <c r="B5" s="61" t="s">
        <v>242</v>
      </c>
      <c r="C5" s="68" t="s">
        <v>243</v>
      </c>
      <c r="D5" s="61" t="s">
        <v>244</v>
      </c>
      <c r="E5" s="69"/>
      <c r="F5" s="73"/>
      <c r="G5" s="73"/>
    </row>
    <row r="6">
      <c r="A6" s="72"/>
      <c r="B6" s="61" t="s">
        <v>245</v>
      </c>
      <c r="C6" s="68" t="s">
        <v>243</v>
      </c>
      <c r="D6" s="61" t="s">
        <v>246</v>
      </c>
      <c r="E6" s="69"/>
      <c r="F6" s="73"/>
      <c r="G6" s="73"/>
    </row>
    <row r="7">
      <c r="A7" s="72" t="s">
        <v>247</v>
      </c>
      <c r="B7" s="61" t="s">
        <v>248</v>
      </c>
      <c r="C7" s="68" t="s">
        <v>249</v>
      </c>
      <c r="D7" s="61" t="s">
        <v>250</v>
      </c>
      <c r="E7" s="69"/>
      <c r="F7" s="73"/>
      <c r="G7" s="73"/>
    </row>
    <row r="8">
      <c r="A8" s="72" t="s">
        <v>251</v>
      </c>
      <c r="B8" s="61" t="s">
        <v>252</v>
      </c>
      <c r="C8" s="68" t="s">
        <v>253</v>
      </c>
      <c r="D8" s="61" t="s">
        <v>254</v>
      </c>
      <c r="E8" s="69"/>
      <c r="F8" s="73"/>
      <c r="G8" s="73"/>
    </row>
    <row r="9">
      <c r="A9" s="72" t="s">
        <v>255</v>
      </c>
      <c r="B9" s="61" t="s">
        <v>256</v>
      </c>
      <c r="C9" s="68" t="s">
        <v>257</v>
      </c>
      <c r="D9" s="61"/>
      <c r="E9" s="69"/>
      <c r="F9" s="73"/>
      <c r="G9" s="73"/>
    </row>
    <row r="10">
      <c r="A10" s="72" t="s">
        <v>258</v>
      </c>
      <c r="B10" s="74" t="s">
        <v>259</v>
      </c>
      <c r="C10" s="74" t="s">
        <v>260</v>
      </c>
      <c r="D10" s="70" t="s">
        <v>261</v>
      </c>
      <c r="E10" s="69"/>
      <c r="F10" s="73"/>
      <c r="G10" s="73"/>
    </row>
    <row r="11">
      <c r="A11" s="72" t="s">
        <v>262</v>
      </c>
      <c r="B11" s="70" t="s">
        <v>263</v>
      </c>
      <c r="C11" s="74" t="s">
        <v>264</v>
      </c>
      <c r="D11" s="70" t="s">
        <v>265</v>
      </c>
      <c r="E11" s="69"/>
      <c r="F11" s="73"/>
      <c r="G11" s="73"/>
    </row>
    <row r="12">
      <c r="A12" s="72" t="s">
        <v>266</v>
      </c>
      <c r="B12" s="70" t="s">
        <v>267</v>
      </c>
      <c r="C12" s="74" t="s">
        <v>268</v>
      </c>
      <c r="D12" s="70" t="s">
        <v>269</v>
      </c>
      <c r="E12" s="69"/>
      <c r="F12" s="73"/>
      <c r="G12" s="73"/>
    </row>
    <row r="13">
      <c r="A13" s="72" t="s">
        <v>270</v>
      </c>
      <c r="B13" s="70" t="s">
        <v>271</v>
      </c>
      <c r="C13" s="74" t="s">
        <v>272</v>
      </c>
      <c r="D13" s="70" t="s">
        <v>273</v>
      </c>
      <c r="E13" s="69"/>
      <c r="F13" s="73"/>
      <c r="G13" s="73"/>
    </row>
    <row r="14">
      <c r="A14" s="72" t="s">
        <v>274</v>
      </c>
      <c r="B14" s="70" t="s">
        <v>275</v>
      </c>
      <c r="C14" s="74" t="s">
        <v>276</v>
      </c>
      <c r="D14" s="70" t="s">
        <v>277</v>
      </c>
      <c r="E14" s="69"/>
      <c r="F14" s="73"/>
      <c r="G14" s="73"/>
    </row>
    <row r="15">
      <c r="A15" s="72" t="s">
        <v>278</v>
      </c>
      <c r="B15" s="70" t="s">
        <v>279</v>
      </c>
      <c r="C15" s="74" t="s">
        <v>280</v>
      </c>
      <c r="D15" s="70" t="s">
        <v>281</v>
      </c>
      <c r="E15" s="69"/>
      <c r="F15" s="73"/>
      <c r="G15" s="73"/>
    </row>
    <row r="16">
      <c r="A16" s="72" t="s">
        <v>282</v>
      </c>
      <c r="B16" s="70" t="s">
        <v>283</v>
      </c>
      <c r="C16" s="74" t="s">
        <v>284</v>
      </c>
      <c r="D16" s="70" t="s">
        <v>285</v>
      </c>
      <c r="E16" s="69"/>
      <c r="F16" s="73"/>
      <c r="G16" s="73"/>
    </row>
    <row r="17">
      <c r="A17" s="72" t="s">
        <v>286</v>
      </c>
      <c r="B17" s="70" t="s">
        <v>287</v>
      </c>
      <c r="C17" s="74" t="s">
        <v>288</v>
      </c>
      <c r="D17" s="70" t="s">
        <v>289</v>
      </c>
      <c r="E17" s="69"/>
      <c r="F17" s="73"/>
      <c r="G17" s="73"/>
    </row>
    <row r="18">
      <c r="A18" s="72" t="s">
        <v>290</v>
      </c>
      <c r="B18" s="74" t="s">
        <v>291</v>
      </c>
      <c r="C18" s="74" t="s">
        <v>292</v>
      </c>
      <c r="D18" s="74" t="s">
        <v>293</v>
      </c>
      <c r="E18" s="69"/>
      <c r="F18" s="73"/>
      <c r="G18" s="73"/>
    </row>
    <row r="19">
      <c r="A19" s="72" t="s">
        <v>294</v>
      </c>
      <c r="B19" s="70" t="s">
        <v>295</v>
      </c>
      <c r="C19" s="74" t="s">
        <v>296</v>
      </c>
      <c r="D19" s="70" t="s">
        <v>297</v>
      </c>
      <c r="E19" s="69"/>
      <c r="F19" s="73"/>
      <c r="G19" s="73"/>
    </row>
    <row r="20">
      <c r="A20" s="72" t="s">
        <v>298</v>
      </c>
      <c r="B20" s="70" t="s">
        <v>299</v>
      </c>
      <c r="C20" s="74" t="s">
        <v>300</v>
      </c>
      <c r="D20" s="70" t="s">
        <v>301</v>
      </c>
      <c r="E20" s="69"/>
      <c r="F20" s="73"/>
      <c r="G20" s="73"/>
    </row>
    <row r="21">
      <c r="A21" s="72" t="s">
        <v>302</v>
      </c>
      <c r="B21" s="70" t="s">
        <v>303</v>
      </c>
      <c r="C21" s="74" t="s">
        <v>304</v>
      </c>
      <c r="D21" s="70" t="s">
        <v>305</v>
      </c>
      <c r="E21" s="69"/>
      <c r="F21" s="73"/>
      <c r="G21" s="73"/>
    </row>
    <row r="22">
      <c r="A22" s="72" t="s">
        <v>306</v>
      </c>
      <c r="B22" s="70" t="s">
        <v>307</v>
      </c>
      <c r="C22" s="74" t="s">
        <v>308</v>
      </c>
      <c r="D22" s="70" t="s">
        <v>309</v>
      </c>
      <c r="E22" s="69"/>
      <c r="F22" s="73"/>
      <c r="G22" s="73"/>
    </row>
    <row r="23">
      <c r="A23" s="72" t="s">
        <v>310</v>
      </c>
      <c r="B23" s="70" t="s">
        <v>311</v>
      </c>
      <c r="C23" s="74" t="s">
        <v>312</v>
      </c>
      <c r="D23" s="70" t="s">
        <v>313</v>
      </c>
      <c r="E23" s="69"/>
      <c r="F23" s="73"/>
      <c r="G23" s="73"/>
    </row>
    <row r="24">
      <c r="A24" s="72" t="s">
        <v>314</v>
      </c>
      <c r="B24" s="70" t="s">
        <v>315</v>
      </c>
      <c r="C24" s="74" t="s">
        <v>316</v>
      </c>
      <c r="D24" s="70" t="s">
        <v>317</v>
      </c>
      <c r="E24" s="69"/>
      <c r="F24" s="73"/>
      <c r="G24" s="73"/>
    </row>
    <row r="25">
      <c r="A25" s="72" t="s">
        <v>318</v>
      </c>
      <c r="B25" s="70" t="s">
        <v>319</v>
      </c>
      <c r="C25" s="74" t="s">
        <v>320</v>
      </c>
      <c r="D25" s="70" t="s">
        <v>321</v>
      </c>
      <c r="E25" s="69"/>
      <c r="F25" s="73"/>
      <c r="G25" s="73"/>
    </row>
    <row r="26">
      <c r="A26" s="72" t="s">
        <v>322</v>
      </c>
      <c r="B26" s="70" t="s">
        <v>323</v>
      </c>
      <c r="C26" s="74" t="s">
        <v>324</v>
      </c>
      <c r="D26" s="70" t="s">
        <v>325</v>
      </c>
      <c r="E26" s="69"/>
      <c r="F26" s="73"/>
      <c r="G26" s="73"/>
    </row>
    <row r="27">
      <c r="A27" s="72" t="s">
        <v>326</v>
      </c>
      <c r="B27" s="70" t="s">
        <v>327</v>
      </c>
      <c r="C27" s="74" t="s">
        <v>328</v>
      </c>
      <c r="D27" s="70" t="s">
        <v>329</v>
      </c>
      <c r="E27" s="69"/>
      <c r="F27" s="73"/>
      <c r="G27" s="73"/>
    </row>
    <row r="28">
      <c r="A28" s="72" t="s">
        <v>330</v>
      </c>
      <c r="B28" s="70" t="s">
        <v>331</v>
      </c>
      <c r="C28" s="74" t="s">
        <v>332</v>
      </c>
      <c r="D28" s="70" t="s">
        <v>333</v>
      </c>
      <c r="E28" s="69"/>
      <c r="F28" s="73"/>
      <c r="G28" s="73"/>
    </row>
    <row r="29">
      <c r="A29" s="72" t="s">
        <v>334</v>
      </c>
      <c r="B29" s="70" t="s">
        <v>335</v>
      </c>
      <c r="C29" s="74" t="s">
        <v>336</v>
      </c>
      <c r="D29" s="70" t="s">
        <v>337</v>
      </c>
      <c r="E29" s="69"/>
      <c r="F29" s="73"/>
      <c r="G29" s="73"/>
    </row>
  </sheetData>
  <conditionalFormatting sqref="E2:E29">
    <cfRule type="cellIs" dxfId="4" priority="1" operator="equal">
      <formula>"Pass"</formula>
    </cfRule>
  </conditionalFormatting>
  <conditionalFormatting sqref="E2:E29">
    <cfRule type="cellIs" dxfId="5" priority="2" operator="equal">
      <formula>"Fail"</formula>
    </cfRule>
  </conditionalFormatting>
  <conditionalFormatting sqref="E2:E29">
    <cfRule type="cellIs" dxfId="6" priority="3" operator="equal">
      <formula>"N/A"</formula>
    </cfRule>
  </conditionalFormatting>
  <conditionalFormatting sqref="E2:E29">
    <cfRule type="cellIs" dxfId="7" priority="4" operator="equal">
      <formula>"Blocking"</formula>
    </cfRule>
  </conditionalFormatting>
  <dataValidations>
    <dataValidation type="list" allowBlank="1" showErrorMessage="1" sqref="E2:E29">
      <formula1>"Pass,Fail,N/A,Blocking"</formula1>
    </dataValidation>
  </dataValidations>
  <hyperlinks>
    <hyperlink r:id="rId1" ref="C2"/>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1.5"/>
    <col customWidth="1" min="3" max="3" width="49.0"/>
    <col customWidth="1" min="4" max="4" width="53.5"/>
  </cols>
  <sheetData>
    <row r="1" ht="15.0" customHeight="1">
      <c r="A1" s="54" t="s">
        <v>22</v>
      </c>
      <c r="B1" s="54" t="s">
        <v>23</v>
      </c>
      <c r="C1" s="54" t="s">
        <v>24</v>
      </c>
      <c r="D1" s="55" t="s">
        <v>25</v>
      </c>
      <c r="E1" s="54" t="s">
        <v>26</v>
      </c>
      <c r="F1" s="55" t="s">
        <v>27</v>
      </c>
      <c r="G1" s="55" t="s">
        <v>28</v>
      </c>
      <c r="H1" s="75"/>
      <c r="I1" s="75"/>
    </row>
    <row r="2">
      <c r="A2" s="58" t="s">
        <v>338</v>
      </c>
      <c r="B2" s="61" t="s">
        <v>339</v>
      </c>
      <c r="C2" s="61" t="s">
        <v>257</v>
      </c>
      <c r="D2" s="61" t="s">
        <v>340</v>
      </c>
      <c r="E2" s="66"/>
      <c r="F2" s="75"/>
      <c r="G2" s="75"/>
      <c r="H2" s="75"/>
      <c r="I2" s="75"/>
    </row>
    <row r="3">
      <c r="A3" s="58" t="s">
        <v>341</v>
      </c>
      <c r="B3" s="61" t="s">
        <v>342</v>
      </c>
      <c r="C3" s="61"/>
      <c r="D3" s="61" t="s">
        <v>343</v>
      </c>
      <c r="E3" s="66"/>
      <c r="F3" s="75"/>
      <c r="G3" s="75"/>
      <c r="H3" s="75"/>
      <c r="I3" s="75"/>
    </row>
    <row r="4">
      <c r="A4" s="58" t="s">
        <v>344</v>
      </c>
      <c r="B4" s="61" t="s">
        <v>345</v>
      </c>
      <c r="C4" s="61" t="s">
        <v>346</v>
      </c>
      <c r="D4" s="61" t="s">
        <v>347</v>
      </c>
      <c r="E4" s="66"/>
      <c r="F4" s="75"/>
      <c r="G4" s="75"/>
      <c r="H4" s="75"/>
      <c r="I4" s="75"/>
    </row>
    <row r="5">
      <c r="A5" s="58" t="s">
        <v>348</v>
      </c>
      <c r="B5" s="61" t="s">
        <v>349</v>
      </c>
      <c r="C5" s="68" t="s">
        <v>350</v>
      </c>
      <c r="D5" s="61" t="s">
        <v>351</v>
      </c>
      <c r="E5" s="66"/>
      <c r="F5" s="75"/>
      <c r="G5" s="75"/>
      <c r="H5" s="75"/>
      <c r="I5" s="75"/>
    </row>
    <row r="6">
      <c r="A6" s="58" t="s">
        <v>352</v>
      </c>
      <c r="B6" s="61" t="s">
        <v>353</v>
      </c>
      <c r="C6" s="68" t="s">
        <v>354</v>
      </c>
      <c r="D6" s="61" t="s">
        <v>355</v>
      </c>
      <c r="E6" s="66"/>
      <c r="F6" s="75"/>
      <c r="G6" s="75"/>
      <c r="H6" s="75"/>
      <c r="I6" s="75"/>
    </row>
    <row r="7">
      <c r="A7" s="58" t="s">
        <v>356</v>
      </c>
      <c r="B7" s="61" t="s">
        <v>357</v>
      </c>
      <c r="C7" s="68" t="s">
        <v>358</v>
      </c>
      <c r="D7" s="61" t="s">
        <v>359</v>
      </c>
      <c r="E7" s="66"/>
      <c r="F7" s="75"/>
      <c r="G7" s="75"/>
      <c r="H7" s="75"/>
      <c r="I7" s="75"/>
    </row>
    <row r="8">
      <c r="A8" s="58" t="s">
        <v>360</v>
      </c>
      <c r="B8" s="61" t="s">
        <v>361</v>
      </c>
      <c r="C8" s="68" t="s">
        <v>362</v>
      </c>
      <c r="D8" s="61" t="s">
        <v>363</v>
      </c>
      <c r="E8" s="66"/>
      <c r="F8" s="75"/>
      <c r="G8" s="75"/>
      <c r="H8" s="75"/>
      <c r="I8" s="75"/>
    </row>
    <row r="9">
      <c r="A9" s="58" t="s">
        <v>364</v>
      </c>
      <c r="B9" s="61" t="s">
        <v>365</v>
      </c>
      <c r="C9" s="61" t="s">
        <v>366</v>
      </c>
      <c r="D9" s="61" t="s">
        <v>367</v>
      </c>
      <c r="E9" s="66"/>
      <c r="F9" s="75"/>
      <c r="G9" s="75"/>
      <c r="H9" s="75"/>
      <c r="I9" s="75"/>
    </row>
    <row r="10">
      <c r="A10" s="58" t="s">
        <v>368</v>
      </c>
      <c r="B10" s="61" t="s">
        <v>369</v>
      </c>
      <c r="C10" s="68" t="s">
        <v>370</v>
      </c>
      <c r="D10" s="61" t="s">
        <v>371</v>
      </c>
      <c r="E10" s="66"/>
      <c r="F10" s="75"/>
      <c r="G10" s="75"/>
      <c r="H10" s="75"/>
      <c r="I10" s="75"/>
    </row>
    <row r="11">
      <c r="A11" s="58" t="s">
        <v>372</v>
      </c>
      <c r="B11" s="61" t="s">
        <v>373</v>
      </c>
      <c r="C11" s="61" t="s">
        <v>374</v>
      </c>
      <c r="D11" s="61" t="s">
        <v>375</v>
      </c>
      <c r="E11" s="66"/>
      <c r="F11" s="75"/>
      <c r="G11" s="75"/>
      <c r="H11" s="75"/>
      <c r="I11" s="75"/>
    </row>
    <row r="12">
      <c r="A12" s="58" t="s">
        <v>376</v>
      </c>
      <c r="B12" s="61" t="s">
        <v>377</v>
      </c>
      <c r="C12" s="61" t="s">
        <v>378</v>
      </c>
      <c r="D12" s="61" t="s">
        <v>379</v>
      </c>
      <c r="E12" s="66"/>
      <c r="F12" s="75"/>
      <c r="G12" s="75"/>
      <c r="H12" s="75"/>
      <c r="I12" s="75"/>
    </row>
    <row r="13">
      <c r="A13" s="58" t="s">
        <v>380</v>
      </c>
      <c r="B13" s="61" t="s">
        <v>377</v>
      </c>
      <c r="C13" s="61" t="s">
        <v>381</v>
      </c>
      <c r="D13" s="61" t="s">
        <v>382</v>
      </c>
      <c r="E13" s="66"/>
      <c r="F13" s="75"/>
      <c r="G13" s="75"/>
      <c r="H13" s="75"/>
      <c r="I13" s="75"/>
    </row>
    <row r="14">
      <c r="A14" s="58" t="s">
        <v>383</v>
      </c>
      <c r="B14" s="61" t="s">
        <v>384</v>
      </c>
      <c r="C14" s="61" t="s">
        <v>385</v>
      </c>
      <c r="D14" s="61" t="s">
        <v>386</v>
      </c>
      <c r="E14" s="66"/>
      <c r="F14" s="75"/>
      <c r="G14" s="75"/>
      <c r="H14" s="75"/>
      <c r="I14" s="75"/>
    </row>
    <row r="15">
      <c r="A15" s="58" t="s">
        <v>387</v>
      </c>
      <c r="B15" s="61" t="s">
        <v>388</v>
      </c>
      <c r="C15" s="61" t="s">
        <v>389</v>
      </c>
      <c r="D15" s="61" t="s">
        <v>390</v>
      </c>
      <c r="E15" s="66"/>
      <c r="F15" s="75"/>
      <c r="G15" s="75"/>
      <c r="H15" s="75"/>
      <c r="I15" s="75"/>
    </row>
    <row r="16">
      <c r="A16" s="58" t="s">
        <v>391</v>
      </c>
      <c r="B16" s="61" t="s">
        <v>392</v>
      </c>
      <c r="C16" s="61" t="s">
        <v>393</v>
      </c>
      <c r="D16" s="61" t="s">
        <v>394</v>
      </c>
      <c r="E16" s="66"/>
      <c r="F16" s="75"/>
      <c r="G16" s="75"/>
      <c r="H16" s="75"/>
      <c r="I16" s="75"/>
    </row>
    <row r="17">
      <c r="A17" s="58" t="s">
        <v>395</v>
      </c>
      <c r="B17" s="61" t="s">
        <v>396</v>
      </c>
      <c r="C17" s="61" t="s">
        <v>397</v>
      </c>
      <c r="D17" s="61" t="s">
        <v>398</v>
      </c>
      <c r="E17" s="66"/>
      <c r="F17" s="75"/>
      <c r="G17" s="75"/>
      <c r="H17" s="75"/>
      <c r="I17" s="75"/>
    </row>
    <row r="18">
      <c r="A18" s="58" t="s">
        <v>399</v>
      </c>
      <c r="B18" s="61" t="s">
        <v>400</v>
      </c>
      <c r="C18" s="61" t="s">
        <v>401</v>
      </c>
      <c r="D18" s="61" t="s">
        <v>402</v>
      </c>
      <c r="E18" s="66"/>
      <c r="F18" s="75"/>
      <c r="G18" s="75"/>
      <c r="H18" s="75"/>
      <c r="I18" s="75"/>
    </row>
    <row r="19">
      <c r="A19" s="58" t="s">
        <v>403</v>
      </c>
      <c r="B19" s="61" t="s">
        <v>404</v>
      </c>
      <c r="C19" s="68" t="s">
        <v>405</v>
      </c>
      <c r="D19" s="61" t="s">
        <v>406</v>
      </c>
      <c r="E19" s="66"/>
      <c r="F19" s="75"/>
      <c r="G19" s="75"/>
      <c r="H19" s="75"/>
      <c r="I19" s="75"/>
    </row>
    <row r="20">
      <c r="A20" s="58" t="s">
        <v>407</v>
      </c>
      <c r="B20" s="61" t="s">
        <v>408</v>
      </c>
      <c r="C20" s="68" t="s">
        <v>405</v>
      </c>
      <c r="D20" s="61" t="s">
        <v>409</v>
      </c>
      <c r="E20" s="66"/>
      <c r="F20" s="75"/>
      <c r="G20" s="75"/>
      <c r="H20" s="75"/>
      <c r="I20" s="75"/>
    </row>
    <row r="21">
      <c r="A21" s="58" t="s">
        <v>403</v>
      </c>
      <c r="B21" s="70" t="s">
        <v>410</v>
      </c>
      <c r="C21" s="70" t="s">
        <v>411</v>
      </c>
      <c r="D21" s="70" t="s">
        <v>412</v>
      </c>
      <c r="E21" s="66"/>
      <c r="F21" s="75"/>
      <c r="G21" s="75"/>
      <c r="H21" s="75"/>
      <c r="I21" s="75"/>
    </row>
  </sheetData>
  <conditionalFormatting sqref="E2:E21">
    <cfRule type="cellIs" dxfId="4" priority="1" operator="equal">
      <formula>"Pass"</formula>
    </cfRule>
  </conditionalFormatting>
  <conditionalFormatting sqref="E2:E21">
    <cfRule type="cellIs" dxfId="5" priority="2" operator="equal">
      <formula>"Fail"</formula>
    </cfRule>
  </conditionalFormatting>
  <conditionalFormatting sqref="E2:E21">
    <cfRule type="cellIs" dxfId="6" priority="3" operator="equal">
      <formula>"N/A"</formula>
    </cfRule>
  </conditionalFormatting>
  <conditionalFormatting sqref="E2:E21">
    <cfRule type="cellIs" dxfId="7" priority="4" operator="equal">
      <formula>"Blocking"</formula>
    </cfRule>
  </conditionalFormatting>
  <dataValidations>
    <dataValidation type="list" allowBlank="1" showErrorMessage="1" sqref="E2:E21">
      <formula1>"Pass,Fail,N/A,Blocking"</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63"/>
    <col customWidth="1" min="2" max="2" width="51.63"/>
    <col customWidth="1" min="3" max="3" width="45.0"/>
    <col customWidth="1" min="4" max="4" width="56.38"/>
  </cols>
  <sheetData>
    <row r="1" ht="15.0" customHeight="1">
      <c r="A1" s="54" t="s">
        <v>22</v>
      </c>
      <c r="B1" s="54" t="s">
        <v>23</v>
      </c>
      <c r="C1" s="54" t="s">
        <v>24</v>
      </c>
      <c r="D1" s="55" t="s">
        <v>25</v>
      </c>
      <c r="E1" s="54" t="s">
        <v>26</v>
      </c>
      <c r="F1" s="55" t="s">
        <v>27</v>
      </c>
      <c r="G1" s="55" t="s">
        <v>28</v>
      </c>
    </row>
    <row r="2" ht="12.75" customHeight="1">
      <c r="A2" s="76"/>
      <c r="B2" s="56" t="s">
        <v>413</v>
      </c>
      <c r="C2" s="7"/>
      <c r="D2" s="7"/>
      <c r="E2" s="7"/>
      <c r="F2" s="7"/>
      <c r="G2" s="8"/>
    </row>
    <row r="3">
      <c r="A3" s="72" t="s">
        <v>414</v>
      </c>
      <c r="B3" s="61" t="s">
        <v>415</v>
      </c>
      <c r="C3" s="61" t="s">
        <v>416</v>
      </c>
      <c r="D3" s="61" t="s">
        <v>417</v>
      </c>
      <c r="E3" s="66"/>
      <c r="F3" s="63"/>
      <c r="G3" s="63"/>
    </row>
    <row r="4">
      <c r="A4" s="72"/>
      <c r="B4" s="61" t="s">
        <v>418</v>
      </c>
      <c r="C4" s="61" t="s">
        <v>416</v>
      </c>
      <c r="D4" s="61" t="s">
        <v>419</v>
      </c>
      <c r="E4" s="66"/>
      <c r="F4" s="63"/>
      <c r="G4" s="63"/>
    </row>
    <row r="5">
      <c r="A5" s="72" t="s">
        <v>420</v>
      </c>
      <c r="B5" s="77" t="s">
        <v>421</v>
      </c>
      <c r="C5" s="77"/>
      <c r="D5" s="65" t="s">
        <v>422</v>
      </c>
      <c r="E5" s="66"/>
      <c r="F5" s="78"/>
      <c r="G5" s="78"/>
    </row>
    <row r="6">
      <c r="A6" s="72" t="s">
        <v>423</v>
      </c>
      <c r="B6" s="61" t="s">
        <v>424</v>
      </c>
      <c r="C6" s="61" t="s">
        <v>425</v>
      </c>
      <c r="D6" s="61" t="s">
        <v>426</v>
      </c>
      <c r="E6" s="66"/>
      <c r="F6" s="63"/>
      <c r="G6" s="63"/>
    </row>
    <row r="7">
      <c r="A7" s="72" t="s">
        <v>427</v>
      </c>
      <c r="B7" s="70" t="s">
        <v>428</v>
      </c>
      <c r="C7" s="70"/>
      <c r="D7" s="70" t="s">
        <v>429</v>
      </c>
      <c r="E7" s="66"/>
      <c r="F7" s="71"/>
      <c r="G7" s="71"/>
    </row>
    <row r="8">
      <c r="A8" s="72" t="s">
        <v>430</v>
      </c>
      <c r="B8" s="70" t="s">
        <v>431</v>
      </c>
      <c r="C8" s="61" t="s">
        <v>432</v>
      </c>
      <c r="D8" s="70" t="s">
        <v>433</v>
      </c>
      <c r="E8" s="66"/>
      <c r="F8" s="71"/>
      <c r="G8" s="63"/>
    </row>
    <row r="9">
      <c r="A9" s="72" t="s">
        <v>434</v>
      </c>
      <c r="B9" s="70" t="s">
        <v>435</v>
      </c>
      <c r="C9" s="61" t="s">
        <v>436</v>
      </c>
      <c r="D9" s="70" t="s">
        <v>437</v>
      </c>
      <c r="E9" s="66"/>
      <c r="F9" s="71"/>
      <c r="G9" s="63"/>
    </row>
    <row r="10">
      <c r="A10" s="72" t="s">
        <v>438</v>
      </c>
      <c r="B10" s="77" t="s">
        <v>439</v>
      </c>
      <c r="C10" s="77" t="s">
        <v>440</v>
      </c>
      <c r="D10" s="77" t="s">
        <v>441</v>
      </c>
      <c r="E10" s="66"/>
      <c r="F10" s="78"/>
      <c r="G10" s="78"/>
    </row>
    <row r="11">
      <c r="A11" s="72" t="s">
        <v>442</v>
      </c>
      <c r="B11" s="77" t="s">
        <v>443</v>
      </c>
      <c r="C11" s="77" t="s">
        <v>444</v>
      </c>
      <c r="D11" s="61" t="s">
        <v>445</v>
      </c>
      <c r="E11" s="66"/>
      <c r="F11" s="78"/>
      <c r="G11" s="78"/>
    </row>
    <row r="12">
      <c r="A12" s="72" t="s">
        <v>446</v>
      </c>
      <c r="B12" s="77" t="s">
        <v>447</v>
      </c>
      <c r="C12" s="77" t="s">
        <v>448</v>
      </c>
      <c r="D12" s="77" t="s">
        <v>449</v>
      </c>
      <c r="E12" s="66"/>
      <c r="F12" s="78"/>
      <c r="G12" s="78"/>
    </row>
    <row r="13">
      <c r="A13" s="72" t="s">
        <v>450</v>
      </c>
      <c r="B13" s="61" t="s">
        <v>451</v>
      </c>
      <c r="C13" s="77" t="s">
        <v>452</v>
      </c>
      <c r="D13" s="77" t="s">
        <v>453</v>
      </c>
      <c r="E13" s="66"/>
      <c r="F13" s="63"/>
      <c r="G13" s="78"/>
    </row>
    <row r="14">
      <c r="A14" s="72" t="s">
        <v>454</v>
      </c>
      <c r="B14" s="77" t="s">
        <v>455</v>
      </c>
      <c r="C14" s="77" t="s">
        <v>456</v>
      </c>
      <c r="D14" s="77" t="s">
        <v>457</v>
      </c>
      <c r="E14" s="66"/>
      <c r="F14" s="78"/>
      <c r="G14" s="78"/>
    </row>
    <row r="15">
      <c r="A15" s="72" t="s">
        <v>458</v>
      </c>
      <c r="B15" s="77" t="s">
        <v>459</v>
      </c>
      <c r="C15" s="77" t="s">
        <v>460</v>
      </c>
      <c r="D15" s="77" t="s">
        <v>461</v>
      </c>
      <c r="E15" s="66"/>
      <c r="F15" s="78"/>
      <c r="G15" s="78"/>
    </row>
    <row r="16">
      <c r="A16" s="72" t="s">
        <v>462</v>
      </c>
      <c r="B16" s="77" t="s">
        <v>463</v>
      </c>
      <c r="C16" s="77" t="s">
        <v>464</v>
      </c>
      <c r="D16" s="77" t="s">
        <v>465</v>
      </c>
      <c r="E16" s="66"/>
      <c r="F16" s="78"/>
      <c r="G16" s="78"/>
    </row>
    <row r="17">
      <c r="A17" s="72" t="s">
        <v>466</v>
      </c>
      <c r="B17" s="77" t="s">
        <v>467</v>
      </c>
      <c r="C17" s="77" t="s">
        <v>468</v>
      </c>
      <c r="D17" s="77" t="s">
        <v>457</v>
      </c>
      <c r="E17" s="66"/>
      <c r="F17" s="78"/>
      <c r="G17" s="78"/>
    </row>
    <row r="18">
      <c r="A18" s="72" t="s">
        <v>469</v>
      </c>
      <c r="B18" s="70" t="s">
        <v>470</v>
      </c>
      <c r="C18" s="74" t="s">
        <v>448</v>
      </c>
      <c r="D18" s="70" t="s">
        <v>471</v>
      </c>
      <c r="E18" s="66"/>
      <c r="F18" s="71"/>
      <c r="G18" s="79"/>
    </row>
    <row r="19">
      <c r="A19" s="72" t="s">
        <v>472</v>
      </c>
      <c r="B19" s="70" t="s">
        <v>473</v>
      </c>
      <c r="C19" s="74" t="s">
        <v>444</v>
      </c>
      <c r="D19" s="70" t="s">
        <v>474</v>
      </c>
      <c r="E19" s="66"/>
      <c r="F19" s="71"/>
      <c r="G19" s="79"/>
    </row>
    <row r="20">
      <c r="A20" s="72" t="s">
        <v>475</v>
      </c>
      <c r="B20" s="61" t="s">
        <v>476</v>
      </c>
      <c r="C20" s="61" t="s">
        <v>477</v>
      </c>
      <c r="D20" s="61" t="s">
        <v>478</v>
      </c>
      <c r="E20" s="66"/>
      <c r="F20" s="63"/>
      <c r="G20" s="63"/>
    </row>
    <row r="21" ht="12.75" customHeight="1">
      <c r="A21" s="76"/>
      <c r="B21" s="56" t="s">
        <v>479</v>
      </c>
      <c r="C21" s="7"/>
      <c r="D21" s="7"/>
      <c r="E21" s="7"/>
      <c r="F21" s="7"/>
      <c r="G21" s="8"/>
    </row>
    <row r="22">
      <c r="A22" s="72" t="s">
        <v>480</v>
      </c>
      <c r="B22" s="61" t="s">
        <v>481</v>
      </c>
      <c r="C22" s="68" t="s">
        <v>482</v>
      </c>
      <c r="D22" s="61" t="s">
        <v>483</v>
      </c>
      <c r="E22" s="66"/>
      <c r="F22" s="63"/>
      <c r="G22" s="80"/>
    </row>
    <row r="23">
      <c r="A23" s="72" t="s">
        <v>484</v>
      </c>
      <c r="B23" s="61" t="s">
        <v>485</v>
      </c>
      <c r="C23" s="68" t="s">
        <v>482</v>
      </c>
      <c r="D23" s="61" t="s">
        <v>486</v>
      </c>
      <c r="E23" s="66"/>
      <c r="F23" s="63"/>
      <c r="G23" s="80"/>
    </row>
    <row r="24">
      <c r="A24" s="72" t="s">
        <v>487</v>
      </c>
      <c r="B24" s="61" t="s">
        <v>488</v>
      </c>
      <c r="C24" s="68" t="s">
        <v>482</v>
      </c>
      <c r="D24" s="61" t="s">
        <v>489</v>
      </c>
      <c r="E24" s="66"/>
      <c r="F24" s="63"/>
      <c r="G24" s="80"/>
    </row>
    <row r="25">
      <c r="A25" s="72" t="s">
        <v>490</v>
      </c>
      <c r="B25" s="61" t="s">
        <v>491</v>
      </c>
      <c r="C25" s="68" t="s">
        <v>482</v>
      </c>
      <c r="D25" s="61" t="s">
        <v>492</v>
      </c>
      <c r="E25" s="66"/>
      <c r="F25" s="63"/>
      <c r="G25" s="80"/>
    </row>
    <row r="26" ht="12.75" customHeight="1">
      <c r="A26" s="76"/>
      <c r="B26" s="56" t="s">
        <v>493</v>
      </c>
      <c r="C26" s="7"/>
      <c r="D26" s="7"/>
      <c r="E26" s="7"/>
      <c r="F26" s="7"/>
      <c r="G26" s="8"/>
    </row>
    <row r="27">
      <c r="A27" s="72" t="s">
        <v>494</v>
      </c>
      <c r="B27" s="61" t="s">
        <v>495</v>
      </c>
      <c r="C27" s="68" t="s">
        <v>496</v>
      </c>
      <c r="D27" s="61" t="s">
        <v>497</v>
      </c>
      <c r="E27" s="66"/>
      <c r="F27" s="63"/>
      <c r="G27" s="80"/>
    </row>
    <row r="28">
      <c r="A28" s="72" t="s">
        <v>498</v>
      </c>
      <c r="B28" s="61" t="s">
        <v>499</v>
      </c>
      <c r="C28" s="61" t="s">
        <v>496</v>
      </c>
      <c r="D28" s="61" t="s">
        <v>500</v>
      </c>
      <c r="E28" s="66"/>
      <c r="F28" s="63"/>
      <c r="G28" s="63"/>
    </row>
    <row r="29">
      <c r="A29" s="72" t="s">
        <v>501</v>
      </c>
      <c r="B29" s="61" t="s">
        <v>502</v>
      </c>
      <c r="C29" s="68" t="s">
        <v>503</v>
      </c>
      <c r="D29" s="61" t="s">
        <v>504</v>
      </c>
      <c r="E29" s="66"/>
      <c r="F29" s="63"/>
      <c r="G29" s="80"/>
    </row>
    <row r="30">
      <c r="A30" s="72" t="s">
        <v>505</v>
      </c>
      <c r="B30" s="61" t="s">
        <v>506</v>
      </c>
      <c r="C30" s="68" t="s">
        <v>503</v>
      </c>
      <c r="D30" s="61" t="s">
        <v>507</v>
      </c>
      <c r="E30" s="66"/>
      <c r="F30" s="63"/>
      <c r="G30" s="80"/>
    </row>
    <row r="31">
      <c r="A31" s="72" t="s">
        <v>508</v>
      </c>
      <c r="B31" s="81" t="s">
        <v>509</v>
      </c>
      <c r="C31" s="61" t="s">
        <v>510</v>
      </c>
      <c r="D31" s="61" t="s">
        <v>511</v>
      </c>
      <c r="E31" s="66"/>
      <c r="F31" s="63"/>
      <c r="G31" s="80"/>
    </row>
    <row r="32">
      <c r="A32" s="72" t="s">
        <v>512</v>
      </c>
      <c r="B32" s="61" t="s">
        <v>513</v>
      </c>
      <c r="C32" s="61" t="s">
        <v>514</v>
      </c>
      <c r="D32" s="61" t="s">
        <v>515</v>
      </c>
      <c r="E32" s="66"/>
      <c r="F32" s="63"/>
      <c r="G32" s="80"/>
    </row>
    <row r="33">
      <c r="A33" s="72" t="s">
        <v>516</v>
      </c>
      <c r="B33" s="61" t="s">
        <v>517</v>
      </c>
      <c r="C33" s="68" t="s">
        <v>503</v>
      </c>
      <c r="D33" s="61" t="s">
        <v>518</v>
      </c>
      <c r="E33" s="66"/>
      <c r="F33" s="63"/>
      <c r="G33" s="80"/>
    </row>
    <row r="34">
      <c r="A34" s="72" t="s">
        <v>519</v>
      </c>
      <c r="B34" s="74" t="s">
        <v>520</v>
      </c>
      <c r="C34" s="68" t="s">
        <v>521</v>
      </c>
      <c r="D34" s="70" t="s">
        <v>522</v>
      </c>
      <c r="E34" s="66"/>
      <c r="F34" s="79"/>
      <c r="G34" s="80"/>
    </row>
    <row r="35">
      <c r="A35" s="72" t="s">
        <v>523</v>
      </c>
      <c r="B35" s="70" t="s">
        <v>524</v>
      </c>
      <c r="C35" s="74" t="s">
        <v>525</v>
      </c>
      <c r="D35" s="70" t="s">
        <v>526</v>
      </c>
      <c r="E35" s="66"/>
      <c r="F35" s="71"/>
      <c r="G35" s="79"/>
    </row>
    <row r="36">
      <c r="A36" s="72" t="s">
        <v>527</v>
      </c>
      <c r="B36" s="70" t="s">
        <v>528</v>
      </c>
      <c r="C36" s="74" t="s">
        <v>529</v>
      </c>
      <c r="D36" s="70" t="s">
        <v>530</v>
      </c>
      <c r="E36" s="66"/>
      <c r="F36" s="71"/>
      <c r="G36" s="79"/>
    </row>
    <row r="37">
      <c r="A37" s="72" t="s">
        <v>531</v>
      </c>
      <c r="B37" s="70" t="s">
        <v>532</v>
      </c>
      <c r="C37" s="74" t="s">
        <v>533</v>
      </c>
      <c r="D37" s="70" t="s">
        <v>534</v>
      </c>
      <c r="E37" s="66"/>
      <c r="F37" s="71"/>
      <c r="G37" s="79"/>
    </row>
    <row r="38">
      <c r="A38" s="72" t="s">
        <v>535</v>
      </c>
      <c r="B38" s="70" t="s">
        <v>307</v>
      </c>
      <c r="C38" s="74" t="s">
        <v>536</v>
      </c>
      <c r="D38" s="70" t="s">
        <v>537</v>
      </c>
      <c r="E38" s="66"/>
      <c r="F38" s="71"/>
      <c r="G38" s="79"/>
    </row>
    <row r="39" ht="12.75" customHeight="1">
      <c r="A39" s="76"/>
      <c r="B39" s="56" t="s">
        <v>538</v>
      </c>
      <c r="C39" s="7"/>
      <c r="D39" s="7"/>
      <c r="E39" s="7"/>
      <c r="F39" s="7"/>
      <c r="G39" s="8"/>
    </row>
    <row r="40">
      <c r="A40" s="82" t="s">
        <v>539</v>
      </c>
      <c r="B40" s="83" t="s">
        <v>540</v>
      </c>
      <c r="C40" s="61" t="s">
        <v>541</v>
      </c>
      <c r="D40" s="61" t="s">
        <v>542</v>
      </c>
      <c r="E40" s="66"/>
    </row>
    <row r="41">
      <c r="A41" s="82" t="s">
        <v>543</v>
      </c>
      <c r="B41" s="61" t="s">
        <v>544</v>
      </c>
      <c r="C41" s="61"/>
      <c r="D41" s="61" t="s">
        <v>545</v>
      </c>
      <c r="E41" s="66"/>
    </row>
    <row r="42">
      <c r="A42" s="82" t="s">
        <v>546</v>
      </c>
      <c r="B42" s="61" t="s">
        <v>547</v>
      </c>
      <c r="C42" s="68" t="s">
        <v>548</v>
      </c>
      <c r="D42" s="61" t="s">
        <v>549</v>
      </c>
      <c r="E42" s="66"/>
    </row>
    <row r="43">
      <c r="A43" s="82" t="s">
        <v>550</v>
      </c>
      <c r="B43" s="61" t="s">
        <v>551</v>
      </c>
      <c r="C43" s="68" t="s">
        <v>552</v>
      </c>
      <c r="D43" s="61" t="s">
        <v>553</v>
      </c>
      <c r="E43" s="66"/>
    </row>
  </sheetData>
  <mergeCells count="4">
    <mergeCell ref="B2:G2"/>
    <mergeCell ref="B21:G21"/>
    <mergeCell ref="B26:G26"/>
    <mergeCell ref="B39:G39"/>
  </mergeCells>
  <conditionalFormatting sqref="E3:E20 E22:E25 E27:E38 E40:E43">
    <cfRule type="cellIs" dxfId="4" priority="1" operator="equal">
      <formula>"Pass"</formula>
    </cfRule>
  </conditionalFormatting>
  <conditionalFormatting sqref="E3:E20 E22:E25 E27:E38 E40:E43">
    <cfRule type="cellIs" dxfId="5" priority="2" operator="equal">
      <formula>"Fail"</formula>
    </cfRule>
  </conditionalFormatting>
  <conditionalFormatting sqref="E3:E20 E22:E25 E27:E38 E40:E43">
    <cfRule type="cellIs" dxfId="6" priority="3" operator="equal">
      <formula>"N/A"</formula>
    </cfRule>
  </conditionalFormatting>
  <conditionalFormatting sqref="E3:E20 E22:E25 E27:E38 E40:E43">
    <cfRule type="cellIs" dxfId="7" priority="4" operator="equal">
      <formula>"Blocking"</formula>
    </cfRule>
  </conditionalFormatting>
  <dataValidations>
    <dataValidation type="list" allowBlank="1" showErrorMessage="1" sqref="E3:E20 E22:E25 E27:E38 E40:E43">
      <formula1>"Pass,Fail,N/A,Blocking"</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47.0"/>
    <col customWidth="1" min="3" max="3" width="45.13"/>
    <col customWidth="1" min="4" max="4" width="49.38"/>
  </cols>
  <sheetData>
    <row r="1">
      <c r="A1" s="84" t="s">
        <v>554</v>
      </c>
      <c r="B1" s="7"/>
      <c r="C1" s="7"/>
      <c r="D1" s="7"/>
      <c r="E1" s="7"/>
      <c r="F1" s="7"/>
      <c r="G1" s="8"/>
    </row>
    <row r="2" ht="15.0" customHeight="1">
      <c r="A2" s="54" t="s">
        <v>22</v>
      </c>
      <c r="B2" s="54" t="s">
        <v>23</v>
      </c>
      <c r="C2" s="54" t="s">
        <v>24</v>
      </c>
      <c r="D2" s="55" t="s">
        <v>25</v>
      </c>
      <c r="E2" s="54" t="s">
        <v>26</v>
      </c>
      <c r="F2" s="55" t="s">
        <v>27</v>
      </c>
      <c r="G2" s="55" t="s">
        <v>28</v>
      </c>
    </row>
    <row r="3">
      <c r="A3" s="85" t="s">
        <v>555</v>
      </c>
      <c r="B3" s="72" t="s">
        <v>556</v>
      </c>
      <c r="C3" s="71" t="s">
        <v>557</v>
      </c>
      <c r="D3" s="72" t="s">
        <v>558</v>
      </c>
      <c r="E3" s="66"/>
      <c r="F3" s="73"/>
      <c r="G3" s="73"/>
    </row>
    <row r="4">
      <c r="A4" s="85" t="s">
        <v>559</v>
      </c>
      <c r="B4" s="72" t="s">
        <v>560</v>
      </c>
      <c r="C4" s="72" t="s">
        <v>561</v>
      </c>
      <c r="D4" s="72" t="s">
        <v>562</v>
      </c>
      <c r="E4" s="66"/>
      <c r="F4" s="73"/>
      <c r="G4" s="72"/>
    </row>
    <row r="5">
      <c r="A5" s="85" t="s">
        <v>563</v>
      </c>
      <c r="B5" s="72" t="s">
        <v>564</v>
      </c>
      <c r="C5" s="72" t="s">
        <v>565</v>
      </c>
      <c r="D5" s="72" t="s">
        <v>566</v>
      </c>
      <c r="E5" s="66"/>
      <c r="F5" s="73"/>
      <c r="G5" s="73"/>
    </row>
    <row r="6">
      <c r="A6" s="85" t="s">
        <v>567</v>
      </c>
      <c r="B6" s="63" t="s">
        <v>568</v>
      </c>
      <c r="C6" s="79" t="s">
        <v>569</v>
      </c>
      <c r="D6" s="63" t="s">
        <v>570</v>
      </c>
      <c r="E6" s="66"/>
      <c r="F6" s="73"/>
      <c r="G6" s="73"/>
    </row>
    <row r="7">
      <c r="A7" s="85" t="s">
        <v>571</v>
      </c>
      <c r="B7" s="63" t="s">
        <v>572</v>
      </c>
      <c r="C7" s="79" t="s">
        <v>561</v>
      </c>
      <c r="D7" s="63" t="s">
        <v>573</v>
      </c>
      <c r="E7" s="66"/>
      <c r="F7" s="73"/>
      <c r="G7" s="73"/>
    </row>
    <row r="8">
      <c r="A8" s="85" t="s">
        <v>574</v>
      </c>
      <c r="B8" s="63" t="s">
        <v>575</v>
      </c>
      <c r="C8" s="79" t="s">
        <v>576</v>
      </c>
      <c r="D8" s="63" t="s">
        <v>577</v>
      </c>
      <c r="E8" s="66"/>
      <c r="F8" s="73"/>
      <c r="G8" s="73"/>
    </row>
    <row r="9">
      <c r="A9" s="85" t="s">
        <v>578</v>
      </c>
      <c r="B9" s="63" t="s">
        <v>579</v>
      </c>
      <c r="C9" s="79" t="s">
        <v>580</v>
      </c>
      <c r="D9" s="63" t="s">
        <v>581</v>
      </c>
      <c r="E9" s="66"/>
      <c r="F9" s="73"/>
      <c r="G9" s="73"/>
    </row>
    <row r="10">
      <c r="A10" s="85" t="s">
        <v>582</v>
      </c>
      <c r="B10" s="63" t="s">
        <v>583</v>
      </c>
      <c r="C10" s="79" t="s">
        <v>584</v>
      </c>
      <c r="D10" s="63" t="s">
        <v>585</v>
      </c>
      <c r="E10" s="66"/>
      <c r="F10" s="73"/>
      <c r="G10" s="73"/>
    </row>
    <row r="11">
      <c r="A11" s="85" t="s">
        <v>586</v>
      </c>
      <c r="B11" s="63" t="s">
        <v>587</v>
      </c>
      <c r="C11" s="72" t="s">
        <v>588</v>
      </c>
      <c r="D11" s="63" t="s">
        <v>589</v>
      </c>
      <c r="E11" s="66"/>
      <c r="F11" s="73"/>
      <c r="G11" s="73"/>
    </row>
    <row r="12">
      <c r="A12" s="85" t="s">
        <v>590</v>
      </c>
      <c r="B12" s="71" t="s">
        <v>591</v>
      </c>
      <c r="C12" s="71" t="s">
        <v>592</v>
      </c>
      <c r="D12" s="71" t="s">
        <v>593</v>
      </c>
      <c r="E12" s="66"/>
      <c r="F12" s="73"/>
      <c r="G12" s="73"/>
    </row>
    <row r="13">
      <c r="A13" s="85" t="s">
        <v>594</v>
      </c>
      <c r="B13" s="71" t="s">
        <v>595</v>
      </c>
      <c r="C13" s="71" t="s">
        <v>592</v>
      </c>
      <c r="D13" s="71" t="s">
        <v>593</v>
      </c>
      <c r="E13" s="66"/>
      <c r="F13" s="73"/>
      <c r="G13" s="73"/>
    </row>
    <row r="14">
      <c r="A14" s="85" t="s">
        <v>596</v>
      </c>
      <c r="B14" s="71" t="s">
        <v>597</v>
      </c>
      <c r="C14" s="71" t="s">
        <v>598</v>
      </c>
      <c r="D14" s="71" t="s">
        <v>599</v>
      </c>
      <c r="E14" s="66"/>
      <c r="F14" s="73"/>
      <c r="G14" s="73"/>
    </row>
    <row r="15">
      <c r="A15" s="85" t="s">
        <v>600</v>
      </c>
      <c r="B15" s="71" t="s">
        <v>601</v>
      </c>
      <c r="C15" s="71" t="s">
        <v>598</v>
      </c>
      <c r="D15" s="71" t="s">
        <v>599</v>
      </c>
      <c r="E15" s="66"/>
      <c r="F15" s="73"/>
      <c r="G15" s="73"/>
    </row>
    <row r="16">
      <c r="A16" s="85" t="s">
        <v>602</v>
      </c>
      <c r="B16" s="71" t="s">
        <v>603</v>
      </c>
      <c r="C16" s="72" t="s">
        <v>604</v>
      </c>
      <c r="D16" s="71" t="s">
        <v>605</v>
      </c>
      <c r="E16" s="66"/>
      <c r="F16" s="73"/>
      <c r="G16" s="73"/>
    </row>
    <row r="17">
      <c r="A17" s="85" t="s">
        <v>606</v>
      </c>
      <c r="B17" s="71" t="s">
        <v>607</v>
      </c>
      <c r="C17" s="79" t="s">
        <v>608</v>
      </c>
      <c r="D17" s="71" t="s">
        <v>609</v>
      </c>
      <c r="E17" s="66"/>
      <c r="F17" s="73"/>
      <c r="G17" s="73"/>
    </row>
    <row r="18">
      <c r="A18" s="85" t="s">
        <v>610</v>
      </c>
      <c r="B18" s="71" t="s">
        <v>611</v>
      </c>
      <c r="C18" s="79" t="s">
        <v>612</v>
      </c>
      <c r="D18" s="71" t="s">
        <v>613</v>
      </c>
      <c r="E18" s="66"/>
      <c r="F18" s="73"/>
      <c r="G18" s="73"/>
    </row>
    <row r="19">
      <c r="A19" s="85" t="s">
        <v>614</v>
      </c>
      <c r="B19" s="71" t="s">
        <v>615</v>
      </c>
      <c r="C19" s="79" t="s">
        <v>616</v>
      </c>
      <c r="D19" s="71" t="s">
        <v>613</v>
      </c>
      <c r="E19" s="66"/>
      <c r="F19" s="73"/>
      <c r="G19" s="73"/>
    </row>
    <row r="20">
      <c r="A20" s="85" t="s">
        <v>617</v>
      </c>
      <c r="B20" s="71" t="s">
        <v>618</v>
      </c>
      <c r="C20" s="79" t="s">
        <v>619</v>
      </c>
      <c r="D20" s="71" t="s">
        <v>613</v>
      </c>
      <c r="E20" s="66"/>
      <c r="F20" s="73"/>
      <c r="G20" s="73"/>
    </row>
    <row r="21">
      <c r="A21" s="85" t="s">
        <v>620</v>
      </c>
      <c r="B21" s="71" t="s">
        <v>621</v>
      </c>
      <c r="C21" s="79" t="s">
        <v>622</v>
      </c>
      <c r="D21" s="79" t="s">
        <v>623</v>
      </c>
      <c r="E21" s="66"/>
      <c r="F21" s="73"/>
      <c r="G21" s="73"/>
    </row>
    <row r="22">
      <c r="A22" s="85" t="s">
        <v>624</v>
      </c>
      <c r="B22" s="71" t="s">
        <v>625</v>
      </c>
      <c r="C22" s="79" t="s">
        <v>626</v>
      </c>
      <c r="D22" s="79" t="s">
        <v>627</v>
      </c>
      <c r="E22" s="66"/>
      <c r="F22" s="73"/>
      <c r="G22" s="73"/>
    </row>
    <row r="23">
      <c r="A23" s="85" t="s">
        <v>628</v>
      </c>
      <c r="B23" s="79" t="s">
        <v>629</v>
      </c>
      <c r="C23" s="79" t="s">
        <v>630</v>
      </c>
      <c r="D23" s="79" t="s">
        <v>631</v>
      </c>
      <c r="E23" s="66"/>
      <c r="F23" s="73"/>
      <c r="G23" s="73"/>
    </row>
    <row r="24">
      <c r="A24" s="85" t="s">
        <v>632</v>
      </c>
      <c r="B24" s="71" t="s">
        <v>633</v>
      </c>
      <c r="C24" s="71" t="s">
        <v>634</v>
      </c>
      <c r="D24" s="71" t="s">
        <v>635</v>
      </c>
      <c r="E24" s="66"/>
      <c r="F24" s="73"/>
      <c r="G24" s="73"/>
    </row>
    <row r="25">
      <c r="A25" s="85" t="s">
        <v>636</v>
      </c>
      <c r="B25" s="71" t="s">
        <v>637</v>
      </c>
      <c r="C25" s="71" t="s">
        <v>638</v>
      </c>
      <c r="D25" s="71" t="s">
        <v>639</v>
      </c>
      <c r="E25" s="66"/>
      <c r="F25" s="73"/>
      <c r="G25" s="72" t="s">
        <v>640</v>
      </c>
    </row>
    <row r="26">
      <c r="A26" s="85" t="s">
        <v>641</v>
      </c>
      <c r="B26" s="71" t="s">
        <v>642</v>
      </c>
      <c r="C26" s="71" t="s">
        <v>643</v>
      </c>
      <c r="D26" s="71" t="s">
        <v>644</v>
      </c>
      <c r="E26" s="66"/>
      <c r="F26" s="73"/>
      <c r="G26" s="72" t="s">
        <v>640</v>
      </c>
    </row>
    <row r="27">
      <c r="A27" s="85" t="s">
        <v>645</v>
      </c>
      <c r="B27" s="71" t="s">
        <v>646</v>
      </c>
      <c r="C27" s="71" t="s">
        <v>647</v>
      </c>
      <c r="D27" s="71" t="s">
        <v>639</v>
      </c>
      <c r="E27" s="66"/>
      <c r="F27" s="73"/>
      <c r="G27" s="72" t="s">
        <v>640</v>
      </c>
    </row>
    <row r="28">
      <c r="A28" s="85" t="s">
        <v>648</v>
      </c>
      <c r="B28" s="71" t="s">
        <v>649</v>
      </c>
      <c r="C28" s="71" t="s">
        <v>650</v>
      </c>
      <c r="D28" s="71" t="s">
        <v>639</v>
      </c>
      <c r="E28" s="66"/>
      <c r="F28" s="73"/>
      <c r="G28" s="72" t="s">
        <v>640</v>
      </c>
    </row>
    <row r="29">
      <c r="A29" s="85" t="s">
        <v>651</v>
      </c>
      <c r="B29" s="71" t="s">
        <v>652</v>
      </c>
      <c r="C29" s="71" t="s">
        <v>653</v>
      </c>
      <c r="D29" s="71" t="s">
        <v>639</v>
      </c>
      <c r="E29" s="66"/>
      <c r="F29" s="73"/>
      <c r="G29" s="72" t="s">
        <v>640</v>
      </c>
    </row>
    <row r="30">
      <c r="A30" s="85" t="s">
        <v>654</v>
      </c>
      <c r="B30" s="71" t="s">
        <v>655</v>
      </c>
      <c r="C30" s="71" t="s">
        <v>656</v>
      </c>
      <c r="D30" s="71" t="s">
        <v>657</v>
      </c>
      <c r="E30" s="66"/>
      <c r="F30" s="73"/>
      <c r="G30" s="72" t="s">
        <v>640</v>
      </c>
    </row>
    <row r="31">
      <c r="A31" s="85" t="s">
        <v>658</v>
      </c>
      <c r="B31" s="71" t="s">
        <v>659</v>
      </c>
      <c r="C31" s="71" t="s">
        <v>660</v>
      </c>
      <c r="D31" s="71" t="s">
        <v>661</v>
      </c>
      <c r="E31" s="66"/>
      <c r="F31" s="73"/>
      <c r="G31" s="72" t="s">
        <v>640</v>
      </c>
    </row>
    <row r="32">
      <c r="A32" s="85" t="s">
        <v>662</v>
      </c>
      <c r="B32" s="71" t="s">
        <v>663</v>
      </c>
      <c r="C32" s="71" t="s">
        <v>664</v>
      </c>
      <c r="D32" s="71" t="s">
        <v>665</v>
      </c>
      <c r="E32" s="66"/>
      <c r="F32" s="73"/>
      <c r="G32" s="72" t="s">
        <v>640</v>
      </c>
    </row>
    <row r="33">
      <c r="A33" s="85" t="s">
        <v>666</v>
      </c>
      <c r="B33" s="86" t="s">
        <v>667</v>
      </c>
      <c r="C33" s="79" t="s">
        <v>668</v>
      </c>
      <c r="D33" s="79" t="s">
        <v>669</v>
      </c>
      <c r="E33" s="66"/>
      <c r="F33" s="87"/>
      <c r="G33" s="72" t="s">
        <v>670</v>
      </c>
    </row>
    <row r="34">
      <c r="A34" s="85" t="s">
        <v>671</v>
      </c>
      <c r="B34" s="86" t="s">
        <v>672</v>
      </c>
      <c r="C34" s="79" t="s">
        <v>673</v>
      </c>
      <c r="D34" s="79" t="s">
        <v>674</v>
      </c>
      <c r="E34" s="66"/>
      <c r="F34" s="87"/>
      <c r="G34" s="72" t="s">
        <v>675</v>
      </c>
    </row>
    <row r="35">
      <c r="A35" s="85" t="s">
        <v>676</v>
      </c>
      <c r="B35" s="86" t="s">
        <v>677</v>
      </c>
      <c r="C35" s="79" t="s">
        <v>678</v>
      </c>
      <c r="D35" s="79" t="s">
        <v>679</v>
      </c>
      <c r="E35" s="66"/>
      <c r="F35" s="87"/>
      <c r="G35" s="72" t="s">
        <v>680</v>
      </c>
    </row>
    <row r="36">
      <c r="A36" s="85" t="s">
        <v>681</v>
      </c>
      <c r="B36" s="86" t="s">
        <v>682</v>
      </c>
      <c r="C36" s="79" t="s">
        <v>683</v>
      </c>
      <c r="D36" s="79" t="s">
        <v>684</v>
      </c>
      <c r="E36" s="66"/>
      <c r="F36" s="87"/>
      <c r="G36" s="72" t="s">
        <v>685</v>
      </c>
    </row>
    <row r="37">
      <c r="A37" s="85" t="s">
        <v>686</v>
      </c>
      <c r="B37" s="86" t="s">
        <v>687</v>
      </c>
      <c r="C37" s="71"/>
      <c r="D37" s="71"/>
      <c r="E37" s="66"/>
      <c r="F37" s="87"/>
      <c r="G37" s="72" t="s">
        <v>688</v>
      </c>
    </row>
    <row r="38">
      <c r="A38" s="84" t="s">
        <v>689</v>
      </c>
      <c r="B38" s="7"/>
      <c r="C38" s="7"/>
      <c r="D38" s="7"/>
      <c r="E38" s="7"/>
      <c r="F38" s="7"/>
      <c r="G38" s="8"/>
    </row>
    <row r="39">
      <c r="A39" s="58" t="s">
        <v>690</v>
      </c>
      <c r="B39" s="71" t="s">
        <v>691</v>
      </c>
      <c r="C39" s="71" t="s">
        <v>692</v>
      </c>
      <c r="D39" s="71" t="s">
        <v>693</v>
      </c>
      <c r="E39" s="66"/>
      <c r="F39" s="73"/>
      <c r="G39" s="73"/>
    </row>
    <row r="40">
      <c r="A40" s="58" t="s">
        <v>694</v>
      </c>
      <c r="B40" s="71" t="s">
        <v>695</v>
      </c>
      <c r="C40" s="71" t="s">
        <v>696</v>
      </c>
      <c r="D40" s="71" t="s">
        <v>697</v>
      </c>
      <c r="E40" s="66"/>
      <c r="F40" s="73"/>
      <c r="G40" s="73"/>
    </row>
    <row r="41">
      <c r="A41" s="58" t="s">
        <v>698</v>
      </c>
      <c r="B41" s="71" t="s">
        <v>699</v>
      </c>
      <c r="C41" s="71" t="s">
        <v>700</v>
      </c>
      <c r="D41" s="71" t="s">
        <v>701</v>
      </c>
      <c r="E41" s="66"/>
      <c r="F41" s="73"/>
      <c r="G41" s="73"/>
    </row>
    <row r="42">
      <c r="A42" s="58" t="s">
        <v>702</v>
      </c>
      <c r="B42" s="71" t="s">
        <v>703</v>
      </c>
      <c r="C42" s="71" t="s">
        <v>704</v>
      </c>
      <c r="D42" s="71" t="s">
        <v>705</v>
      </c>
      <c r="E42" s="66"/>
      <c r="F42" s="73"/>
      <c r="G42" s="73"/>
    </row>
    <row r="43">
      <c r="A43" s="58" t="s">
        <v>706</v>
      </c>
      <c r="B43" s="71" t="s">
        <v>707</v>
      </c>
      <c r="C43" s="71" t="s">
        <v>708</v>
      </c>
      <c r="D43" s="71" t="s">
        <v>709</v>
      </c>
      <c r="E43" s="66"/>
      <c r="F43" s="73"/>
      <c r="G43" s="73"/>
    </row>
    <row r="44">
      <c r="A44" s="58" t="s">
        <v>710</v>
      </c>
      <c r="B44" s="71" t="s">
        <v>711</v>
      </c>
      <c r="C44" s="71" t="s">
        <v>712</v>
      </c>
      <c r="D44" s="71" t="s">
        <v>713</v>
      </c>
      <c r="E44" s="66"/>
      <c r="F44" s="73"/>
      <c r="G44" s="73"/>
    </row>
    <row r="45">
      <c r="A45" s="58" t="s">
        <v>714</v>
      </c>
      <c r="B45" s="71" t="s">
        <v>715</v>
      </c>
      <c r="C45" s="71" t="s">
        <v>716</v>
      </c>
      <c r="D45" s="71" t="s">
        <v>717</v>
      </c>
      <c r="E45" s="66"/>
      <c r="F45" s="73"/>
      <c r="G45" s="73"/>
    </row>
    <row r="46">
      <c r="A46" s="58" t="s">
        <v>718</v>
      </c>
      <c r="B46" s="71" t="s">
        <v>719</v>
      </c>
      <c r="C46" s="71" t="s">
        <v>720</v>
      </c>
      <c r="D46" s="71" t="s">
        <v>721</v>
      </c>
      <c r="E46" s="66"/>
      <c r="F46" s="73"/>
      <c r="G46" s="73"/>
    </row>
    <row r="47">
      <c r="A47" s="58"/>
      <c r="B47" s="88"/>
      <c r="C47" s="88"/>
      <c r="D47" s="61"/>
      <c r="E47" s="62"/>
      <c r="F47" s="89"/>
      <c r="G47" s="89"/>
    </row>
  </sheetData>
  <mergeCells count="2">
    <mergeCell ref="A1:G1"/>
    <mergeCell ref="A38:G38"/>
  </mergeCells>
  <conditionalFormatting sqref="E3:E37 E39:E47">
    <cfRule type="cellIs" dxfId="4" priority="1" operator="equal">
      <formula>"Pass"</formula>
    </cfRule>
  </conditionalFormatting>
  <conditionalFormatting sqref="E3:E37 E39:E47">
    <cfRule type="cellIs" dxfId="5" priority="2" operator="equal">
      <formula>"Fail"</formula>
    </cfRule>
  </conditionalFormatting>
  <conditionalFormatting sqref="E3:E37 E39:E47">
    <cfRule type="cellIs" dxfId="6" priority="3" operator="equal">
      <formula>"N/A"</formula>
    </cfRule>
  </conditionalFormatting>
  <conditionalFormatting sqref="E3:E37 E39:E47">
    <cfRule type="cellIs" dxfId="7" priority="4" operator="equal">
      <formula>"Blocking"</formula>
    </cfRule>
  </conditionalFormatting>
  <dataValidations>
    <dataValidation type="list" allowBlank="1" showErrorMessage="1" sqref="E3:E37 E39:E47">
      <formula1>"Pass,Fail,N/A,Blocking"</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5.5"/>
    <col customWidth="1" min="3" max="3" width="40.13"/>
    <col customWidth="1" min="4" max="4" width="52.13"/>
  </cols>
  <sheetData>
    <row r="1">
      <c r="A1" s="84" t="s">
        <v>554</v>
      </c>
      <c r="B1" s="7"/>
      <c r="C1" s="7"/>
      <c r="D1" s="7"/>
      <c r="E1" s="7"/>
      <c r="F1" s="7"/>
      <c r="G1" s="8"/>
    </row>
    <row r="2" ht="15.0" customHeight="1">
      <c r="A2" s="54" t="s">
        <v>22</v>
      </c>
      <c r="B2" s="54" t="s">
        <v>23</v>
      </c>
      <c r="C2" s="54" t="s">
        <v>24</v>
      </c>
      <c r="D2" s="55" t="s">
        <v>25</v>
      </c>
      <c r="E2" s="54" t="s">
        <v>26</v>
      </c>
      <c r="F2" s="55" t="s">
        <v>27</v>
      </c>
      <c r="G2" s="55" t="s">
        <v>28</v>
      </c>
    </row>
    <row r="3">
      <c r="A3" s="82" t="s">
        <v>722</v>
      </c>
      <c r="B3" s="61" t="s">
        <v>723</v>
      </c>
      <c r="C3" s="68" t="s">
        <v>724</v>
      </c>
      <c r="D3" s="61" t="s">
        <v>725</v>
      </c>
      <c r="E3" s="62"/>
    </row>
    <row r="4">
      <c r="A4" s="82" t="s">
        <v>726</v>
      </c>
      <c r="B4" s="61" t="s">
        <v>727</v>
      </c>
      <c r="C4" s="68" t="s">
        <v>724</v>
      </c>
      <c r="D4" s="61" t="s">
        <v>728</v>
      </c>
      <c r="E4" s="62"/>
    </row>
    <row r="5">
      <c r="A5" s="82" t="s">
        <v>729</v>
      </c>
      <c r="B5" s="61" t="s">
        <v>730</v>
      </c>
      <c r="C5" s="61" t="s">
        <v>731</v>
      </c>
      <c r="D5" s="61" t="s">
        <v>732</v>
      </c>
      <c r="E5" s="62"/>
    </row>
    <row r="6">
      <c r="A6" s="82" t="s">
        <v>733</v>
      </c>
      <c r="B6" s="61" t="s">
        <v>734</v>
      </c>
      <c r="C6" s="61" t="s">
        <v>735</v>
      </c>
      <c r="D6" s="61" t="s">
        <v>736</v>
      </c>
      <c r="E6" s="62"/>
    </row>
    <row r="7">
      <c r="A7" s="82" t="s">
        <v>737</v>
      </c>
      <c r="B7" s="61" t="s">
        <v>738</v>
      </c>
      <c r="C7" s="61" t="s">
        <v>739</v>
      </c>
      <c r="D7" s="61" t="s">
        <v>740</v>
      </c>
      <c r="E7" s="62"/>
    </row>
    <row r="8">
      <c r="A8" s="82" t="s">
        <v>741</v>
      </c>
      <c r="B8" s="61" t="s">
        <v>742</v>
      </c>
      <c r="C8" s="61" t="s">
        <v>743</v>
      </c>
      <c r="D8" s="61" t="s">
        <v>744</v>
      </c>
      <c r="E8" s="62"/>
    </row>
    <row r="9">
      <c r="A9" s="82" t="s">
        <v>745</v>
      </c>
      <c r="B9" s="70" t="s">
        <v>746</v>
      </c>
      <c r="C9" s="70" t="s">
        <v>747</v>
      </c>
      <c r="D9" s="70" t="s">
        <v>748</v>
      </c>
      <c r="E9" s="62"/>
    </row>
    <row r="10">
      <c r="A10" s="82" t="s">
        <v>749</v>
      </c>
      <c r="B10" s="70" t="s">
        <v>750</v>
      </c>
      <c r="C10" s="70" t="s">
        <v>751</v>
      </c>
      <c r="D10" s="70" t="s">
        <v>752</v>
      </c>
      <c r="E10" s="62"/>
    </row>
    <row r="11">
      <c r="A11" s="82" t="s">
        <v>753</v>
      </c>
      <c r="B11" s="70" t="s">
        <v>754</v>
      </c>
      <c r="C11" s="70" t="s">
        <v>755</v>
      </c>
      <c r="D11" s="70" t="s">
        <v>756</v>
      </c>
      <c r="E11" s="62"/>
    </row>
    <row r="12">
      <c r="A12" s="82" t="s">
        <v>757</v>
      </c>
      <c r="B12" s="70" t="s">
        <v>758</v>
      </c>
      <c r="C12" s="70" t="s">
        <v>759</v>
      </c>
      <c r="D12" s="70" t="s">
        <v>760</v>
      </c>
      <c r="E12" s="62"/>
    </row>
    <row r="13">
      <c r="A13" s="82" t="s">
        <v>761</v>
      </c>
      <c r="B13" s="70" t="s">
        <v>762</v>
      </c>
      <c r="C13" s="70" t="s">
        <v>763</v>
      </c>
      <c r="D13" s="70" t="s">
        <v>764</v>
      </c>
      <c r="E13" s="62"/>
    </row>
    <row r="14">
      <c r="A14" s="82" t="s">
        <v>765</v>
      </c>
      <c r="B14" s="70" t="s">
        <v>766</v>
      </c>
      <c r="C14" s="70" t="s">
        <v>767</v>
      </c>
      <c r="D14" s="70" t="s">
        <v>768</v>
      </c>
      <c r="E14" s="62"/>
    </row>
    <row r="15">
      <c r="A15" s="82" t="s">
        <v>769</v>
      </c>
      <c r="B15" s="70" t="s">
        <v>770</v>
      </c>
      <c r="C15" s="70" t="s">
        <v>771</v>
      </c>
      <c r="D15" s="70" t="s">
        <v>772</v>
      </c>
      <c r="E15" s="62"/>
    </row>
    <row r="16">
      <c r="A16" s="82" t="s">
        <v>773</v>
      </c>
      <c r="B16" s="70" t="s">
        <v>774</v>
      </c>
      <c r="C16" s="70" t="s">
        <v>775</v>
      </c>
      <c r="D16" s="70" t="s">
        <v>776</v>
      </c>
      <c r="E16" s="62"/>
    </row>
    <row r="17">
      <c r="A17" s="82" t="s">
        <v>777</v>
      </c>
      <c r="B17" s="70" t="s">
        <v>778</v>
      </c>
      <c r="C17" s="70" t="s">
        <v>779</v>
      </c>
      <c r="D17" s="74" t="s">
        <v>780</v>
      </c>
      <c r="E17" s="62"/>
    </row>
    <row r="18">
      <c r="A18" s="82" t="s">
        <v>781</v>
      </c>
      <c r="B18" s="70" t="s">
        <v>782</v>
      </c>
      <c r="C18" s="70" t="s">
        <v>783</v>
      </c>
      <c r="D18" s="70" t="s">
        <v>784</v>
      </c>
      <c r="E18" s="62"/>
    </row>
    <row r="19">
      <c r="A19" s="82" t="s">
        <v>785</v>
      </c>
      <c r="B19" s="70" t="s">
        <v>786</v>
      </c>
      <c r="C19" s="70" t="s">
        <v>787</v>
      </c>
      <c r="D19" s="70" t="s">
        <v>788</v>
      </c>
      <c r="E19" s="62"/>
    </row>
    <row r="20">
      <c r="A20" s="82" t="s">
        <v>789</v>
      </c>
      <c r="B20" s="61" t="s">
        <v>790</v>
      </c>
      <c r="C20" s="61" t="s">
        <v>791</v>
      </c>
      <c r="D20" s="61" t="s">
        <v>792</v>
      </c>
      <c r="E20" s="62"/>
    </row>
    <row r="21">
      <c r="A21" s="82" t="s">
        <v>793</v>
      </c>
      <c r="B21" s="74" t="s">
        <v>794</v>
      </c>
      <c r="C21" s="74" t="s">
        <v>795</v>
      </c>
      <c r="D21" s="74" t="s">
        <v>796</v>
      </c>
      <c r="E21" s="62"/>
    </row>
    <row r="22">
      <c r="A22" s="82" t="s">
        <v>797</v>
      </c>
      <c r="B22" s="74" t="s">
        <v>798</v>
      </c>
      <c r="C22" s="74" t="s">
        <v>799</v>
      </c>
      <c r="D22" s="74" t="s">
        <v>800</v>
      </c>
      <c r="E22" s="62"/>
    </row>
    <row r="23">
      <c r="A23" s="82" t="s">
        <v>801</v>
      </c>
      <c r="B23" s="70" t="s">
        <v>802</v>
      </c>
      <c r="C23" s="74" t="s">
        <v>803</v>
      </c>
      <c r="D23" s="74" t="s">
        <v>804</v>
      </c>
      <c r="E23" s="62"/>
    </row>
    <row r="24">
      <c r="A24" s="82" t="s">
        <v>805</v>
      </c>
      <c r="B24" s="74" t="s">
        <v>806</v>
      </c>
      <c r="C24" s="70" t="s">
        <v>807</v>
      </c>
      <c r="D24" s="74" t="s">
        <v>808</v>
      </c>
      <c r="E24" s="62"/>
    </row>
    <row r="25">
      <c r="A25" s="82" t="s">
        <v>809</v>
      </c>
      <c r="B25" s="74" t="s">
        <v>810</v>
      </c>
      <c r="C25" s="74" t="s">
        <v>811</v>
      </c>
      <c r="D25" s="74" t="s">
        <v>812</v>
      </c>
      <c r="E25" s="62"/>
    </row>
    <row r="26">
      <c r="A26" s="82" t="s">
        <v>813</v>
      </c>
      <c r="B26" s="70" t="s">
        <v>814</v>
      </c>
      <c r="C26" s="74" t="s">
        <v>815</v>
      </c>
      <c r="D26" s="74" t="s">
        <v>816</v>
      </c>
      <c r="E26" s="62"/>
    </row>
    <row r="27">
      <c r="A27" s="82" t="s">
        <v>817</v>
      </c>
      <c r="B27" s="70" t="s">
        <v>818</v>
      </c>
      <c r="C27" s="70" t="s">
        <v>819</v>
      </c>
      <c r="D27" s="74" t="s">
        <v>820</v>
      </c>
      <c r="E27" s="62"/>
    </row>
    <row r="28">
      <c r="A28" s="82" t="s">
        <v>821</v>
      </c>
      <c r="B28" s="70" t="s">
        <v>822</v>
      </c>
      <c r="C28" s="70" t="s">
        <v>823</v>
      </c>
      <c r="D28" s="70" t="s">
        <v>824</v>
      </c>
      <c r="E28" s="62"/>
    </row>
    <row r="29">
      <c r="A29" s="82" t="s">
        <v>825</v>
      </c>
      <c r="B29" s="70" t="s">
        <v>826</v>
      </c>
      <c r="C29" s="70" t="s">
        <v>827</v>
      </c>
      <c r="D29" s="70" t="s">
        <v>828</v>
      </c>
      <c r="E29" s="62"/>
    </row>
    <row r="30">
      <c r="A30" s="82" t="s">
        <v>829</v>
      </c>
      <c r="B30" s="70" t="s">
        <v>830</v>
      </c>
      <c r="C30" s="70" t="s">
        <v>831</v>
      </c>
      <c r="D30" s="70" t="s">
        <v>832</v>
      </c>
      <c r="E30" s="62"/>
    </row>
    <row r="31">
      <c r="A31" s="82" t="s">
        <v>833</v>
      </c>
      <c r="B31" s="70" t="s">
        <v>834</v>
      </c>
      <c r="C31" s="70" t="s">
        <v>835</v>
      </c>
      <c r="D31" s="70" t="s">
        <v>836</v>
      </c>
      <c r="E31" s="62"/>
    </row>
    <row r="32">
      <c r="A32" s="84" t="s">
        <v>837</v>
      </c>
      <c r="B32" s="7"/>
      <c r="C32" s="7"/>
      <c r="D32" s="7"/>
      <c r="E32" s="7"/>
      <c r="F32" s="7"/>
      <c r="G32" s="8"/>
    </row>
    <row r="33">
      <c r="A33" s="58" t="s">
        <v>838</v>
      </c>
      <c r="B33" s="61" t="s">
        <v>839</v>
      </c>
      <c r="C33" s="68" t="s">
        <v>840</v>
      </c>
      <c r="D33" s="61" t="s">
        <v>841</v>
      </c>
      <c r="E33" s="62"/>
    </row>
    <row r="34">
      <c r="A34" s="58" t="s">
        <v>842</v>
      </c>
      <c r="B34" s="70" t="s">
        <v>766</v>
      </c>
      <c r="C34" s="70" t="s">
        <v>767</v>
      </c>
      <c r="D34" s="70" t="s">
        <v>768</v>
      </c>
      <c r="E34" s="62"/>
    </row>
    <row r="35">
      <c r="A35" s="58" t="s">
        <v>843</v>
      </c>
      <c r="B35" s="70" t="s">
        <v>844</v>
      </c>
      <c r="C35" s="70" t="s">
        <v>845</v>
      </c>
      <c r="D35" s="70" t="s">
        <v>846</v>
      </c>
      <c r="E35" s="62"/>
    </row>
    <row r="36">
      <c r="A36" s="58" t="s">
        <v>847</v>
      </c>
      <c r="B36" s="70" t="s">
        <v>848</v>
      </c>
      <c r="C36" s="70" t="s">
        <v>849</v>
      </c>
      <c r="D36" s="70" t="s">
        <v>850</v>
      </c>
      <c r="E36" s="62"/>
    </row>
    <row r="37">
      <c r="A37" s="58" t="s">
        <v>851</v>
      </c>
      <c r="B37" s="70" t="s">
        <v>852</v>
      </c>
      <c r="C37" s="70" t="s">
        <v>853</v>
      </c>
      <c r="D37" s="70" t="s">
        <v>854</v>
      </c>
      <c r="E37" s="62"/>
    </row>
    <row r="38">
      <c r="A38" s="58" t="s">
        <v>855</v>
      </c>
      <c r="B38" s="70" t="s">
        <v>856</v>
      </c>
      <c r="C38" s="70" t="s">
        <v>857</v>
      </c>
      <c r="D38" s="70" t="s">
        <v>850</v>
      </c>
      <c r="E38" s="62"/>
    </row>
    <row r="39">
      <c r="A39" s="58" t="s">
        <v>858</v>
      </c>
      <c r="B39" s="70" t="s">
        <v>859</v>
      </c>
      <c r="C39" s="70" t="s">
        <v>860</v>
      </c>
      <c r="D39" s="70" t="s">
        <v>861</v>
      </c>
      <c r="E39" s="62"/>
    </row>
    <row r="40">
      <c r="A40" s="58" t="s">
        <v>862</v>
      </c>
      <c r="B40" s="70" t="s">
        <v>863</v>
      </c>
      <c r="C40" s="70" t="s">
        <v>864</v>
      </c>
      <c r="D40" s="70" t="s">
        <v>865</v>
      </c>
      <c r="E40" s="62"/>
    </row>
    <row r="41">
      <c r="B41" s="90"/>
      <c r="C41" s="90"/>
      <c r="D41" s="90"/>
    </row>
    <row r="42">
      <c r="B42" s="90"/>
      <c r="C42" s="90"/>
      <c r="D42" s="90"/>
    </row>
  </sheetData>
  <mergeCells count="2">
    <mergeCell ref="A1:G1"/>
    <mergeCell ref="A32:G32"/>
  </mergeCells>
  <conditionalFormatting sqref="E3:E31 E33:E40">
    <cfRule type="cellIs" dxfId="4" priority="1" operator="equal">
      <formula>"Pass"</formula>
    </cfRule>
  </conditionalFormatting>
  <conditionalFormatting sqref="E3:E31 E33:E40">
    <cfRule type="cellIs" dxfId="5" priority="2" operator="equal">
      <formula>"Fail"</formula>
    </cfRule>
  </conditionalFormatting>
  <conditionalFormatting sqref="E3:E31 E33:E40">
    <cfRule type="cellIs" dxfId="6" priority="3" operator="equal">
      <formula>"N/A"</formula>
    </cfRule>
  </conditionalFormatting>
  <conditionalFormatting sqref="E3:E31 E33:E40">
    <cfRule type="cellIs" dxfId="7" priority="4" operator="equal">
      <formula>"Blocking"</formula>
    </cfRule>
  </conditionalFormatting>
  <dataValidations>
    <dataValidation type="list" allowBlank="1" showErrorMessage="1" sqref="E3:E31 E33:E40">
      <formula1>"Pass,Fail,N/A,Blocking"</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40.0"/>
    <col customWidth="1" min="3" max="3" width="48.88"/>
    <col customWidth="1" min="4" max="4" width="44.75"/>
  </cols>
  <sheetData>
    <row r="1" ht="15.0" customHeight="1">
      <c r="A1" s="91" t="s">
        <v>866</v>
      </c>
    </row>
    <row r="2" ht="15.0" customHeight="1">
      <c r="A2" s="54" t="s">
        <v>22</v>
      </c>
      <c r="B2" s="54" t="s">
        <v>23</v>
      </c>
      <c r="C2" s="54" t="s">
        <v>24</v>
      </c>
      <c r="D2" s="55" t="s">
        <v>25</v>
      </c>
      <c r="E2" s="54" t="s">
        <v>26</v>
      </c>
      <c r="F2" s="55" t="s">
        <v>27</v>
      </c>
      <c r="G2" s="55" t="s">
        <v>28</v>
      </c>
    </row>
    <row r="3">
      <c r="A3" s="58" t="s">
        <v>867</v>
      </c>
      <c r="B3" s="92" t="s">
        <v>868</v>
      </c>
      <c r="C3" s="92" t="s">
        <v>869</v>
      </c>
      <c r="D3" s="59" t="s">
        <v>870</v>
      </c>
      <c r="E3" s="62"/>
      <c r="F3" s="63"/>
      <c r="G3" s="63"/>
    </row>
    <row r="4">
      <c r="A4" s="58" t="s">
        <v>871</v>
      </c>
      <c r="B4" s="93" t="s">
        <v>872</v>
      </c>
      <c r="C4" s="93" t="s">
        <v>873</v>
      </c>
      <c r="D4" s="59" t="s">
        <v>874</v>
      </c>
      <c r="E4" s="62"/>
      <c r="F4" s="63"/>
      <c r="G4" s="63"/>
    </row>
    <row r="5">
      <c r="A5" s="58" t="s">
        <v>875</v>
      </c>
      <c r="B5" s="93" t="s">
        <v>876</v>
      </c>
      <c r="C5" s="93" t="s">
        <v>877</v>
      </c>
      <c r="D5" s="59" t="s">
        <v>878</v>
      </c>
      <c r="E5" s="62"/>
      <c r="F5" s="63"/>
      <c r="G5" s="63"/>
    </row>
    <row r="6">
      <c r="A6" s="58" t="s">
        <v>879</v>
      </c>
      <c r="B6" s="93" t="s">
        <v>880</v>
      </c>
      <c r="C6" s="92" t="s">
        <v>881</v>
      </c>
      <c r="D6" s="59" t="s">
        <v>882</v>
      </c>
      <c r="E6" s="62"/>
      <c r="F6" s="63"/>
      <c r="G6" s="63"/>
    </row>
    <row r="7">
      <c r="A7" s="58" t="s">
        <v>883</v>
      </c>
      <c r="B7" s="93" t="s">
        <v>884</v>
      </c>
      <c r="C7" s="92" t="s">
        <v>885</v>
      </c>
      <c r="D7" s="59" t="s">
        <v>886</v>
      </c>
      <c r="E7" s="62"/>
      <c r="F7" s="63"/>
      <c r="G7" s="63"/>
    </row>
    <row r="8">
      <c r="A8" s="58" t="s">
        <v>887</v>
      </c>
      <c r="B8" s="93" t="s">
        <v>888</v>
      </c>
      <c r="C8" s="92" t="s">
        <v>889</v>
      </c>
      <c r="D8" s="59" t="s">
        <v>890</v>
      </c>
      <c r="E8" s="62"/>
      <c r="F8" s="63"/>
      <c r="G8" s="63"/>
    </row>
    <row r="9">
      <c r="A9" s="58" t="s">
        <v>891</v>
      </c>
      <c r="B9" s="93" t="s">
        <v>880</v>
      </c>
      <c r="C9" s="92" t="s">
        <v>892</v>
      </c>
      <c r="D9" s="59" t="s">
        <v>882</v>
      </c>
      <c r="E9" s="62"/>
      <c r="F9" s="63"/>
      <c r="G9" s="63"/>
    </row>
    <row r="10">
      <c r="A10" s="58" t="s">
        <v>893</v>
      </c>
      <c r="B10" s="93" t="s">
        <v>894</v>
      </c>
      <c r="C10" s="93" t="s">
        <v>895</v>
      </c>
      <c r="D10" s="59" t="s">
        <v>896</v>
      </c>
      <c r="E10" s="62"/>
      <c r="F10" s="63"/>
      <c r="G10" s="63"/>
    </row>
    <row r="11">
      <c r="A11" s="58" t="s">
        <v>897</v>
      </c>
      <c r="B11" s="93" t="s">
        <v>898</v>
      </c>
      <c r="C11" s="92" t="s">
        <v>899</v>
      </c>
      <c r="D11" s="59" t="s">
        <v>900</v>
      </c>
      <c r="E11" s="62"/>
      <c r="F11" s="63"/>
      <c r="G11" s="63"/>
    </row>
    <row r="12">
      <c r="A12" s="58" t="s">
        <v>901</v>
      </c>
      <c r="B12" s="93" t="s">
        <v>902</v>
      </c>
      <c r="C12" s="92" t="s">
        <v>903</v>
      </c>
      <c r="D12" s="59" t="s">
        <v>904</v>
      </c>
      <c r="E12" s="62"/>
      <c r="F12" s="63"/>
      <c r="G12" s="63"/>
    </row>
  </sheetData>
  <mergeCells count="1">
    <mergeCell ref="A1:G1"/>
  </mergeCells>
  <conditionalFormatting sqref="E3:E12">
    <cfRule type="cellIs" dxfId="4" priority="1" operator="equal">
      <formula>"Pass"</formula>
    </cfRule>
  </conditionalFormatting>
  <conditionalFormatting sqref="E3:E12">
    <cfRule type="cellIs" dxfId="5" priority="2" operator="equal">
      <formula>"Fail"</formula>
    </cfRule>
  </conditionalFormatting>
  <conditionalFormatting sqref="E3:E12">
    <cfRule type="cellIs" dxfId="6" priority="3" operator="equal">
      <formula>"N/A"</formula>
    </cfRule>
  </conditionalFormatting>
  <conditionalFormatting sqref="E3:E12">
    <cfRule type="cellIs" dxfId="7" priority="4" operator="equal">
      <formula>"Blocking"</formula>
    </cfRule>
  </conditionalFormatting>
  <dataValidations>
    <dataValidation type="list" allowBlank="1" showErrorMessage="1" sqref="E3:E12">
      <formula1>"Pass,Fail,N/A,Blocking"</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33.75"/>
    <col customWidth="1" min="3" max="3" width="39.13"/>
    <col customWidth="1" min="4" max="4" width="37.75"/>
  </cols>
  <sheetData>
    <row r="1" ht="15.0" customHeight="1">
      <c r="A1" s="54" t="s">
        <v>22</v>
      </c>
      <c r="B1" s="54" t="s">
        <v>23</v>
      </c>
      <c r="C1" s="54" t="s">
        <v>24</v>
      </c>
      <c r="D1" s="55" t="s">
        <v>25</v>
      </c>
      <c r="E1" s="54" t="s">
        <v>26</v>
      </c>
      <c r="F1" s="55" t="s">
        <v>27</v>
      </c>
      <c r="G1" s="55" t="s">
        <v>28</v>
      </c>
    </row>
    <row r="2" ht="12.75" customHeight="1">
      <c r="A2" s="79" t="s">
        <v>905</v>
      </c>
      <c r="B2" s="94" t="s">
        <v>906</v>
      </c>
      <c r="C2" s="95" t="s">
        <v>907</v>
      </c>
      <c r="D2" s="94" t="s">
        <v>908</v>
      </c>
      <c r="E2" s="62"/>
      <c r="F2" s="63"/>
      <c r="G2" s="63"/>
    </row>
    <row r="3" ht="12.75" customHeight="1">
      <c r="A3" s="79" t="s">
        <v>909</v>
      </c>
      <c r="B3" s="94" t="s">
        <v>910</v>
      </c>
      <c r="C3" s="95" t="s">
        <v>911</v>
      </c>
      <c r="D3" s="94" t="s">
        <v>912</v>
      </c>
      <c r="E3" s="62"/>
      <c r="F3" s="63"/>
      <c r="G3" s="63"/>
    </row>
    <row r="4" ht="12.75" customHeight="1">
      <c r="A4" s="79" t="s">
        <v>913</v>
      </c>
      <c r="B4" s="95" t="s">
        <v>914</v>
      </c>
      <c r="C4" s="95" t="s">
        <v>915</v>
      </c>
      <c r="D4" s="94" t="s">
        <v>916</v>
      </c>
      <c r="E4" s="62"/>
      <c r="F4" s="63"/>
      <c r="G4" s="63"/>
    </row>
    <row r="5" ht="12.75" customHeight="1">
      <c r="A5" s="79" t="s">
        <v>917</v>
      </c>
      <c r="B5" s="95" t="s">
        <v>918</v>
      </c>
      <c r="C5" s="95" t="s">
        <v>919</v>
      </c>
      <c r="D5" s="95" t="s">
        <v>920</v>
      </c>
      <c r="E5" s="62"/>
      <c r="F5" s="63"/>
      <c r="G5" s="63"/>
    </row>
    <row r="6" ht="12.75" customHeight="1">
      <c r="A6" s="79" t="s">
        <v>921</v>
      </c>
      <c r="B6" s="95" t="s">
        <v>922</v>
      </c>
      <c r="C6" s="94" t="s">
        <v>923</v>
      </c>
      <c r="D6" s="94" t="s">
        <v>924</v>
      </c>
      <c r="E6" s="62"/>
      <c r="F6" s="63"/>
      <c r="G6" s="63"/>
    </row>
    <row r="7" ht="12.75" customHeight="1">
      <c r="A7" s="79" t="s">
        <v>925</v>
      </c>
      <c r="B7" s="95" t="s">
        <v>926</v>
      </c>
      <c r="C7" s="95" t="s">
        <v>927</v>
      </c>
      <c r="D7" s="95" t="s">
        <v>928</v>
      </c>
      <c r="E7" s="62"/>
      <c r="F7" s="63"/>
      <c r="G7" s="63"/>
    </row>
    <row r="8" ht="12.75" customHeight="1">
      <c r="A8" s="79" t="s">
        <v>929</v>
      </c>
      <c r="B8" s="94" t="s">
        <v>930</v>
      </c>
      <c r="C8" s="95" t="s">
        <v>931</v>
      </c>
      <c r="D8" s="95" t="s">
        <v>932</v>
      </c>
      <c r="E8" s="62"/>
      <c r="F8" s="63"/>
      <c r="G8" s="63"/>
    </row>
    <row r="9" ht="12.75" customHeight="1">
      <c r="A9" s="79" t="s">
        <v>933</v>
      </c>
      <c r="B9" s="94" t="s">
        <v>934</v>
      </c>
      <c r="C9" s="95" t="s">
        <v>935</v>
      </c>
      <c r="D9" s="95" t="s">
        <v>936</v>
      </c>
      <c r="E9" s="62"/>
      <c r="F9" s="63"/>
      <c r="G9" s="63"/>
    </row>
  </sheetData>
  <conditionalFormatting sqref="E2:E9">
    <cfRule type="cellIs" dxfId="4" priority="1" operator="equal">
      <formula>"Pass"</formula>
    </cfRule>
  </conditionalFormatting>
  <conditionalFormatting sqref="E2:E9">
    <cfRule type="cellIs" dxfId="5" priority="2" operator="equal">
      <formula>"Fail"</formula>
    </cfRule>
  </conditionalFormatting>
  <conditionalFormatting sqref="E2:E9">
    <cfRule type="cellIs" dxfId="6" priority="3" operator="equal">
      <formula>"N/A"</formula>
    </cfRule>
  </conditionalFormatting>
  <conditionalFormatting sqref="E2:E9">
    <cfRule type="cellIs" dxfId="7" priority="4" operator="equal">
      <formula>"Blocking"</formula>
    </cfRule>
  </conditionalFormatting>
  <dataValidations>
    <dataValidation type="list" allowBlank="1" showErrorMessage="1" sqref="E2:E9">
      <formula1>"Pass,Fail,N/A,Blocking"</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75"/>
    <col customWidth="1" min="3" max="3" width="48.25"/>
    <col customWidth="1" min="4" max="4" width="41.13"/>
  </cols>
  <sheetData>
    <row r="1" ht="15.0" customHeight="1">
      <c r="A1" s="54" t="s">
        <v>22</v>
      </c>
      <c r="B1" s="54" t="s">
        <v>23</v>
      </c>
      <c r="C1" s="54" t="s">
        <v>24</v>
      </c>
      <c r="D1" s="55" t="s">
        <v>25</v>
      </c>
      <c r="E1" s="54" t="s">
        <v>26</v>
      </c>
      <c r="F1" s="55" t="s">
        <v>27</v>
      </c>
      <c r="G1" s="55" t="s">
        <v>28</v>
      </c>
    </row>
    <row r="2">
      <c r="A2" s="82" t="s">
        <v>937</v>
      </c>
      <c r="B2" s="61" t="s">
        <v>938</v>
      </c>
      <c r="C2" s="61" t="s">
        <v>939</v>
      </c>
      <c r="D2" s="61" t="s">
        <v>940</v>
      </c>
      <c r="E2" s="62"/>
      <c r="F2" s="63"/>
      <c r="G2" s="63"/>
    </row>
    <row r="3">
      <c r="A3" s="82" t="s">
        <v>941</v>
      </c>
      <c r="B3" s="61" t="s">
        <v>942</v>
      </c>
      <c r="C3" s="61" t="s">
        <v>943</v>
      </c>
      <c r="D3" s="61" t="s">
        <v>944</v>
      </c>
      <c r="E3" s="62"/>
      <c r="F3" s="63"/>
      <c r="G3" s="63"/>
    </row>
    <row r="4">
      <c r="A4" s="82" t="s">
        <v>945</v>
      </c>
      <c r="B4" s="61" t="s">
        <v>946</v>
      </c>
      <c r="C4" s="61" t="s">
        <v>947</v>
      </c>
      <c r="D4" s="61" t="s">
        <v>948</v>
      </c>
      <c r="E4" s="62"/>
      <c r="F4" s="63"/>
      <c r="G4" s="63"/>
    </row>
  </sheetData>
  <conditionalFormatting sqref="E2:E4">
    <cfRule type="cellIs" dxfId="4" priority="1" operator="equal">
      <formula>"Pass"</formula>
    </cfRule>
  </conditionalFormatting>
  <conditionalFormatting sqref="E2:E4">
    <cfRule type="cellIs" dxfId="5" priority="2" operator="equal">
      <formula>"Fail"</formula>
    </cfRule>
  </conditionalFormatting>
  <conditionalFormatting sqref="E2:E4">
    <cfRule type="cellIs" dxfId="6" priority="3" operator="equal">
      <formula>"N/A"</formula>
    </cfRule>
  </conditionalFormatting>
  <conditionalFormatting sqref="E2:E4">
    <cfRule type="cellIs" dxfId="7" priority="4" operator="equal">
      <formula>"Blocking"</formula>
    </cfRule>
  </conditionalFormatting>
  <dataValidations>
    <dataValidation type="list" allowBlank="1" showErrorMessage="1" sqref="E2:E4">
      <formula1>"Pass,Fail,N/A,Blocking"</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47.63"/>
    <col customWidth="1" min="3" max="3" width="48.38"/>
    <col customWidth="1" min="4" max="4" width="50.13"/>
  </cols>
  <sheetData>
    <row r="1">
      <c r="A1" s="54" t="s">
        <v>22</v>
      </c>
      <c r="B1" s="54" t="s">
        <v>23</v>
      </c>
      <c r="C1" s="54" t="s">
        <v>24</v>
      </c>
      <c r="D1" s="55" t="s">
        <v>25</v>
      </c>
      <c r="E1" s="54" t="s">
        <v>26</v>
      </c>
      <c r="F1" s="55" t="s">
        <v>27</v>
      </c>
      <c r="G1" s="55" t="s">
        <v>28</v>
      </c>
    </row>
    <row r="2">
      <c r="A2" s="58" t="s">
        <v>949</v>
      </c>
      <c r="B2" s="95" t="s">
        <v>950</v>
      </c>
      <c r="C2" s="95" t="s">
        <v>951</v>
      </c>
      <c r="D2" s="95" t="s">
        <v>952</v>
      </c>
      <c r="E2" s="66"/>
      <c r="F2" s="63"/>
      <c r="G2" s="63"/>
    </row>
    <row r="3">
      <c r="A3" s="58" t="s">
        <v>953</v>
      </c>
      <c r="B3" s="95" t="s">
        <v>954</v>
      </c>
      <c r="C3" s="95" t="s">
        <v>955</v>
      </c>
      <c r="D3" s="95" t="s">
        <v>956</v>
      </c>
      <c r="E3" s="66"/>
      <c r="F3" s="63"/>
      <c r="G3" s="63"/>
    </row>
    <row r="4">
      <c r="A4" s="58" t="s">
        <v>957</v>
      </c>
      <c r="B4" s="95" t="s">
        <v>958</v>
      </c>
      <c r="C4" s="95" t="s">
        <v>959</v>
      </c>
      <c r="D4" s="95" t="s">
        <v>960</v>
      </c>
      <c r="E4" s="66"/>
      <c r="F4" s="63"/>
      <c r="G4" s="63"/>
    </row>
    <row r="5">
      <c r="A5" s="58" t="s">
        <v>961</v>
      </c>
      <c r="B5" s="95" t="s">
        <v>962</v>
      </c>
      <c r="C5" s="95" t="s">
        <v>963</v>
      </c>
      <c r="D5" s="95" t="s">
        <v>964</v>
      </c>
      <c r="E5" s="66"/>
      <c r="F5" s="63"/>
      <c r="G5" s="63"/>
    </row>
    <row r="6">
      <c r="A6" s="58" t="s">
        <v>965</v>
      </c>
      <c r="B6" s="95" t="s">
        <v>966</v>
      </c>
      <c r="C6" s="95" t="s">
        <v>967</v>
      </c>
      <c r="D6" s="95" t="s">
        <v>968</v>
      </c>
      <c r="E6" s="66"/>
      <c r="F6" s="63"/>
      <c r="G6" s="63"/>
    </row>
    <row r="7">
      <c r="A7" s="58" t="s">
        <v>969</v>
      </c>
      <c r="B7" s="95" t="s">
        <v>970</v>
      </c>
      <c r="C7" s="95" t="s">
        <v>971</v>
      </c>
      <c r="D7" s="95" t="s">
        <v>972</v>
      </c>
      <c r="E7" s="66"/>
      <c r="F7" s="63"/>
      <c r="G7" s="63"/>
    </row>
    <row r="8">
      <c r="A8" s="58" t="s">
        <v>973</v>
      </c>
      <c r="B8" s="95" t="s">
        <v>974</v>
      </c>
      <c r="C8" s="95" t="s">
        <v>975</v>
      </c>
      <c r="D8" s="95" t="s">
        <v>976</v>
      </c>
      <c r="E8" s="66"/>
      <c r="F8" s="63"/>
      <c r="G8" s="63"/>
    </row>
    <row r="9">
      <c r="A9" s="58" t="s">
        <v>977</v>
      </c>
      <c r="B9" s="95" t="s">
        <v>978</v>
      </c>
      <c r="C9" s="95" t="s">
        <v>979</v>
      </c>
      <c r="D9" s="95" t="s">
        <v>980</v>
      </c>
      <c r="E9" s="66"/>
      <c r="F9" s="63"/>
      <c r="G9" s="63"/>
    </row>
    <row r="10">
      <c r="A10" s="58" t="s">
        <v>981</v>
      </c>
      <c r="B10" s="95" t="s">
        <v>982</v>
      </c>
      <c r="C10" s="95" t="s">
        <v>983</v>
      </c>
      <c r="D10" s="95" t="s">
        <v>980</v>
      </c>
      <c r="E10" s="66"/>
      <c r="F10" s="63"/>
      <c r="G10" s="63"/>
    </row>
    <row r="11">
      <c r="A11" s="58" t="s">
        <v>984</v>
      </c>
      <c r="B11" s="95" t="s">
        <v>985</v>
      </c>
      <c r="C11" s="95" t="s">
        <v>986</v>
      </c>
      <c r="D11" s="95" t="s">
        <v>987</v>
      </c>
      <c r="E11" s="66"/>
      <c r="F11" s="63"/>
      <c r="G11" s="63"/>
    </row>
    <row r="12">
      <c r="A12" s="58" t="s">
        <v>988</v>
      </c>
      <c r="B12" s="96" t="s">
        <v>989</v>
      </c>
      <c r="C12" s="96" t="s">
        <v>990</v>
      </c>
      <c r="D12" s="96" t="s">
        <v>991</v>
      </c>
      <c r="E12" s="66"/>
      <c r="F12" s="97"/>
      <c r="G12" s="97"/>
    </row>
    <row r="13">
      <c r="A13" s="58" t="s">
        <v>992</v>
      </c>
      <c r="B13" s="96" t="s">
        <v>993</v>
      </c>
      <c r="C13" s="96" t="s">
        <v>994</v>
      </c>
      <c r="D13" s="96" t="s">
        <v>995</v>
      </c>
      <c r="E13" s="66"/>
      <c r="F13" s="97"/>
      <c r="G13" s="97"/>
    </row>
    <row r="14">
      <c r="A14" s="58" t="s">
        <v>996</v>
      </c>
      <c r="B14" s="96" t="s">
        <v>997</v>
      </c>
      <c r="C14" s="96" t="s">
        <v>998</v>
      </c>
      <c r="D14" s="96" t="s">
        <v>995</v>
      </c>
      <c r="E14" s="66"/>
      <c r="F14" s="97"/>
      <c r="G14" s="97"/>
    </row>
    <row r="15">
      <c r="A15" s="58" t="s">
        <v>999</v>
      </c>
      <c r="B15" s="96" t="s">
        <v>1000</v>
      </c>
      <c r="C15" s="96" t="s">
        <v>1001</v>
      </c>
      <c r="D15" s="96" t="s">
        <v>995</v>
      </c>
      <c r="E15" s="66"/>
      <c r="F15" s="97"/>
      <c r="G15" s="97"/>
    </row>
    <row r="16">
      <c r="A16" s="58" t="s">
        <v>1002</v>
      </c>
      <c r="B16" s="96" t="s">
        <v>1003</v>
      </c>
      <c r="C16" s="96" t="s">
        <v>1004</v>
      </c>
      <c r="D16" s="96" t="s">
        <v>995</v>
      </c>
      <c r="E16" s="66"/>
      <c r="F16" s="97"/>
      <c r="G16" s="97"/>
    </row>
    <row r="17">
      <c r="A17" s="58" t="s">
        <v>1005</v>
      </c>
      <c r="B17" s="96" t="s">
        <v>1006</v>
      </c>
      <c r="C17" s="96" t="s">
        <v>1007</v>
      </c>
      <c r="D17" s="96" t="s">
        <v>1008</v>
      </c>
      <c r="E17" s="66"/>
      <c r="F17" s="97"/>
      <c r="G17" s="97"/>
    </row>
    <row r="18">
      <c r="A18" s="58" t="s">
        <v>1009</v>
      </c>
      <c r="B18" s="96" t="s">
        <v>1010</v>
      </c>
      <c r="C18" s="96" t="s">
        <v>1011</v>
      </c>
      <c r="D18" s="96" t="s">
        <v>1012</v>
      </c>
      <c r="E18" s="66"/>
      <c r="F18" s="97"/>
      <c r="G18" s="97"/>
    </row>
    <row r="19">
      <c r="A19" s="58" t="s">
        <v>1013</v>
      </c>
      <c r="B19" s="96" t="s">
        <v>1014</v>
      </c>
      <c r="C19" s="96" t="s">
        <v>1015</v>
      </c>
      <c r="D19" s="96" t="s">
        <v>1016</v>
      </c>
      <c r="E19" s="66"/>
      <c r="F19" s="97"/>
      <c r="G19" s="97"/>
    </row>
    <row r="20">
      <c r="A20" s="58" t="s">
        <v>1017</v>
      </c>
      <c r="B20" s="96" t="s">
        <v>1018</v>
      </c>
      <c r="C20" s="96" t="s">
        <v>1019</v>
      </c>
      <c r="D20" s="96" t="s">
        <v>1020</v>
      </c>
      <c r="E20" s="66"/>
      <c r="F20" s="97"/>
      <c r="G20" s="97"/>
    </row>
    <row r="21">
      <c r="A21" s="58" t="s">
        <v>1021</v>
      </c>
      <c r="B21" s="96" t="s">
        <v>1022</v>
      </c>
      <c r="C21" s="96" t="s">
        <v>1023</v>
      </c>
      <c r="D21" s="96" t="s">
        <v>1024</v>
      </c>
      <c r="E21" s="66"/>
      <c r="F21" s="97"/>
      <c r="G21" s="97"/>
    </row>
    <row r="22">
      <c r="A22" s="58" t="s">
        <v>1025</v>
      </c>
      <c r="B22" s="96" t="s">
        <v>1026</v>
      </c>
      <c r="C22" s="96" t="s">
        <v>1027</v>
      </c>
      <c r="D22" s="96" t="s">
        <v>1028</v>
      </c>
      <c r="E22" s="66"/>
      <c r="F22" s="97"/>
      <c r="G22" s="97"/>
    </row>
    <row r="23">
      <c r="A23" s="58" t="s">
        <v>1029</v>
      </c>
      <c r="B23" s="96" t="s">
        <v>1030</v>
      </c>
      <c r="C23" s="96" t="s">
        <v>1031</v>
      </c>
      <c r="D23" s="96" t="s">
        <v>1032</v>
      </c>
      <c r="E23" s="66"/>
      <c r="F23" s="97"/>
      <c r="G23" s="97"/>
    </row>
    <row r="24">
      <c r="A24" s="58" t="s">
        <v>1033</v>
      </c>
      <c r="B24" s="96" t="s">
        <v>1034</v>
      </c>
      <c r="C24" s="96" t="s">
        <v>1035</v>
      </c>
      <c r="D24" s="96" t="s">
        <v>1036</v>
      </c>
      <c r="E24" s="66"/>
      <c r="F24" s="97"/>
      <c r="G24" s="97"/>
    </row>
    <row r="25">
      <c r="A25" s="58" t="s">
        <v>1037</v>
      </c>
      <c r="B25" s="96" t="s">
        <v>1038</v>
      </c>
      <c r="C25" s="96" t="s">
        <v>1039</v>
      </c>
      <c r="D25" s="96" t="s">
        <v>1040</v>
      </c>
      <c r="E25" s="66"/>
      <c r="F25" s="97"/>
      <c r="G25" s="97"/>
    </row>
    <row r="26">
      <c r="A26" s="58" t="s">
        <v>1041</v>
      </c>
      <c r="B26" s="96" t="s">
        <v>1042</v>
      </c>
      <c r="C26" s="96" t="s">
        <v>1043</v>
      </c>
      <c r="D26" s="96" t="s">
        <v>1044</v>
      </c>
      <c r="E26" s="66"/>
      <c r="F26" s="97"/>
      <c r="G26" s="97"/>
    </row>
    <row r="27">
      <c r="A27" s="58" t="s">
        <v>1045</v>
      </c>
      <c r="B27" s="96" t="s">
        <v>1046</v>
      </c>
      <c r="C27" s="96" t="s">
        <v>1047</v>
      </c>
      <c r="D27" s="96" t="s">
        <v>1048</v>
      </c>
      <c r="E27" s="66"/>
      <c r="F27" s="97"/>
      <c r="G27" s="97"/>
    </row>
    <row r="28">
      <c r="A28" s="58" t="s">
        <v>1049</v>
      </c>
      <c r="B28" s="96" t="s">
        <v>1050</v>
      </c>
      <c r="C28" s="96" t="s">
        <v>1051</v>
      </c>
      <c r="D28" s="96" t="s">
        <v>1052</v>
      </c>
      <c r="E28" s="66"/>
      <c r="F28" s="97"/>
      <c r="G28" s="97"/>
    </row>
    <row r="29">
      <c r="A29" s="58" t="s">
        <v>1053</v>
      </c>
      <c r="B29" s="96" t="s">
        <v>1054</v>
      </c>
      <c r="C29" s="96" t="s">
        <v>1055</v>
      </c>
      <c r="D29" s="96" t="s">
        <v>1056</v>
      </c>
      <c r="E29" s="66"/>
      <c r="F29" s="97"/>
      <c r="G29" s="97"/>
    </row>
    <row r="30">
      <c r="A30" s="58" t="s">
        <v>1057</v>
      </c>
      <c r="B30" s="96" t="s">
        <v>1058</v>
      </c>
      <c r="C30" s="96" t="s">
        <v>1059</v>
      </c>
      <c r="D30" s="96" t="s">
        <v>1060</v>
      </c>
      <c r="E30" s="66"/>
      <c r="F30" s="97"/>
      <c r="G30" s="97"/>
    </row>
    <row r="31">
      <c r="A31" s="58" t="s">
        <v>1061</v>
      </c>
      <c r="B31" s="96" t="s">
        <v>1062</v>
      </c>
      <c r="C31" s="96" t="s">
        <v>1063</v>
      </c>
      <c r="D31" s="96" t="s">
        <v>1064</v>
      </c>
      <c r="E31" s="66"/>
      <c r="F31" s="97"/>
      <c r="G31" s="97"/>
    </row>
    <row r="32">
      <c r="A32" s="58" t="s">
        <v>1065</v>
      </c>
      <c r="B32" s="96" t="s">
        <v>1066</v>
      </c>
      <c r="C32" s="96" t="s">
        <v>1067</v>
      </c>
      <c r="D32" s="96" t="s">
        <v>1060</v>
      </c>
      <c r="E32" s="66"/>
      <c r="F32" s="97"/>
      <c r="G32" s="97"/>
    </row>
    <row r="33">
      <c r="A33" s="58" t="s">
        <v>1068</v>
      </c>
      <c r="B33" s="94" t="s">
        <v>1069</v>
      </c>
      <c r="C33" s="94" t="s">
        <v>1070</v>
      </c>
      <c r="D33" s="94" t="s">
        <v>1071</v>
      </c>
      <c r="E33" s="66"/>
      <c r="F33" s="97"/>
      <c r="G33" s="97"/>
    </row>
    <row r="34">
      <c r="A34" s="58" t="s">
        <v>1072</v>
      </c>
      <c r="B34" s="94" t="s">
        <v>1073</v>
      </c>
      <c r="C34" s="94" t="s">
        <v>1074</v>
      </c>
      <c r="D34" s="94" t="s">
        <v>1075</v>
      </c>
      <c r="E34" s="66"/>
      <c r="F34" s="97"/>
      <c r="G34" s="97"/>
    </row>
    <row r="35">
      <c r="A35" s="58" t="s">
        <v>1076</v>
      </c>
      <c r="B35" s="94" t="s">
        <v>1077</v>
      </c>
      <c r="C35" s="94" t="s">
        <v>1078</v>
      </c>
      <c r="D35" s="94" t="s">
        <v>1079</v>
      </c>
      <c r="E35" s="66"/>
      <c r="F35" s="97"/>
      <c r="G35" s="97"/>
    </row>
    <row r="36">
      <c r="A36" s="58" t="s">
        <v>1080</v>
      </c>
      <c r="B36" s="94" t="s">
        <v>1081</v>
      </c>
      <c r="C36" s="94" t="s">
        <v>1082</v>
      </c>
      <c r="D36" s="94" t="s">
        <v>1083</v>
      </c>
      <c r="E36" s="66"/>
      <c r="F36" s="97"/>
      <c r="G36" s="97"/>
    </row>
    <row r="37">
      <c r="A37" s="58" t="s">
        <v>1084</v>
      </c>
      <c r="B37" s="94" t="s">
        <v>1085</v>
      </c>
      <c r="C37" s="94" t="s">
        <v>1086</v>
      </c>
      <c r="D37" s="94" t="s">
        <v>1087</v>
      </c>
      <c r="E37" s="66"/>
      <c r="F37" s="97"/>
      <c r="G37" s="97"/>
    </row>
    <row r="38">
      <c r="A38" s="58" t="s">
        <v>1088</v>
      </c>
      <c r="B38" s="94" t="s">
        <v>1089</v>
      </c>
      <c r="C38" s="94" t="s">
        <v>1070</v>
      </c>
      <c r="D38" s="94" t="s">
        <v>1090</v>
      </c>
      <c r="E38" s="66"/>
      <c r="F38" s="97"/>
      <c r="G38" s="97"/>
    </row>
    <row r="39">
      <c r="A39" s="58" t="s">
        <v>1091</v>
      </c>
      <c r="B39" s="94" t="s">
        <v>1092</v>
      </c>
      <c r="C39" s="94" t="s">
        <v>1093</v>
      </c>
      <c r="D39" s="94" t="s">
        <v>1094</v>
      </c>
      <c r="E39" s="66"/>
      <c r="F39" s="97"/>
      <c r="G39" s="97"/>
    </row>
    <row r="40">
      <c r="A40" s="98"/>
      <c r="B40" s="99"/>
      <c r="C40" s="100"/>
      <c r="D40" s="100"/>
      <c r="E40" s="101"/>
    </row>
    <row r="41">
      <c r="A41" s="98"/>
      <c r="B41" s="99"/>
      <c r="C41" s="100"/>
      <c r="D41" s="100"/>
      <c r="E41" s="101"/>
    </row>
    <row r="42">
      <c r="A42" s="98"/>
      <c r="B42" s="99"/>
      <c r="C42" s="100"/>
      <c r="D42" s="100"/>
      <c r="E42" s="101"/>
    </row>
  </sheetData>
  <conditionalFormatting sqref="E2:E42">
    <cfRule type="cellIs" dxfId="4" priority="1" operator="equal">
      <formula>"Pass"</formula>
    </cfRule>
  </conditionalFormatting>
  <conditionalFormatting sqref="E2:E42">
    <cfRule type="cellIs" dxfId="5" priority="2" operator="equal">
      <formula>"Fail"</formula>
    </cfRule>
  </conditionalFormatting>
  <conditionalFormatting sqref="E2:E42">
    <cfRule type="cellIs" dxfId="6" priority="3" operator="equal">
      <formula>"N/A"</formula>
    </cfRule>
  </conditionalFormatting>
  <conditionalFormatting sqref="E2:E42">
    <cfRule type="cellIs" dxfId="7" priority="4" operator="equal">
      <formula>"Blocking"</formula>
    </cfRule>
  </conditionalFormatting>
  <dataValidations>
    <dataValidation type="list" allowBlank="1" showErrorMessage="1" sqref="E2:E42">
      <formula1>"Pass,Fail,N/A,Blocking"</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5"/>
    <col customWidth="1" min="2" max="2" width="45.38"/>
    <col customWidth="1" min="3" max="3" width="55.13"/>
    <col customWidth="1" min="4" max="4" width="47.88"/>
    <col customWidth="1" min="5" max="5" width="18.0"/>
    <col customWidth="1" min="7" max="7" width="16.75"/>
  </cols>
  <sheetData>
    <row r="1">
      <c r="A1" s="102" t="s">
        <v>1095</v>
      </c>
      <c r="B1" s="7"/>
      <c r="C1" s="7"/>
      <c r="D1" s="7"/>
      <c r="E1" s="7"/>
      <c r="F1" s="7"/>
      <c r="G1" s="8"/>
      <c r="H1" s="89"/>
      <c r="I1" s="89"/>
      <c r="J1" s="89"/>
      <c r="K1" s="89"/>
      <c r="L1" s="89"/>
      <c r="M1" s="89"/>
      <c r="N1" s="89"/>
      <c r="O1" s="89"/>
      <c r="P1" s="89"/>
      <c r="Q1" s="89"/>
      <c r="R1" s="89"/>
      <c r="S1" s="89"/>
      <c r="T1" s="89"/>
      <c r="U1" s="89"/>
      <c r="V1" s="89"/>
      <c r="W1" s="89"/>
      <c r="X1" s="89"/>
      <c r="Y1" s="89"/>
      <c r="Z1" s="89"/>
    </row>
    <row r="2">
      <c r="A2" s="103" t="s">
        <v>22</v>
      </c>
      <c r="B2" s="103" t="s">
        <v>23</v>
      </c>
      <c r="C2" s="103" t="s">
        <v>24</v>
      </c>
      <c r="D2" s="103" t="s">
        <v>25</v>
      </c>
      <c r="E2" s="103" t="s">
        <v>26</v>
      </c>
      <c r="F2" s="103" t="s">
        <v>1096</v>
      </c>
      <c r="G2" s="103" t="s">
        <v>1097</v>
      </c>
      <c r="H2" s="89"/>
      <c r="I2" s="89"/>
      <c r="J2" s="89"/>
      <c r="K2" s="89"/>
      <c r="L2" s="89"/>
      <c r="M2" s="89"/>
      <c r="N2" s="89"/>
      <c r="O2" s="89"/>
      <c r="P2" s="89"/>
      <c r="Q2" s="89"/>
      <c r="R2" s="89"/>
      <c r="S2" s="89"/>
      <c r="T2" s="89"/>
      <c r="U2" s="89"/>
      <c r="V2" s="89"/>
      <c r="W2" s="89"/>
      <c r="X2" s="89"/>
      <c r="Y2" s="89"/>
      <c r="Z2" s="89"/>
    </row>
    <row r="3">
      <c r="A3" s="79" t="s">
        <v>1098</v>
      </c>
      <c r="B3" s="104" t="s">
        <v>1099</v>
      </c>
      <c r="C3" s="104" t="s">
        <v>1100</v>
      </c>
      <c r="D3" s="104" t="s">
        <v>1101</v>
      </c>
      <c r="E3" s="105"/>
      <c r="F3" s="104"/>
      <c r="G3" s="104"/>
      <c r="H3" s="89"/>
      <c r="I3" s="89"/>
      <c r="J3" s="89"/>
      <c r="K3" s="89"/>
      <c r="L3" s="89"/>
      <c r="M3" s="89"/>
      <c r="N3" s="89"/>
      <c r="O3" s="89"/>
      <c r="P3" s="89"/>
      <c r="Q3" s="89"/>
      <c r="R3" s="89"/>
      <c r="S3" s="89"/>
      <c r="T3" s="89"/>
      <c r="U3" s="89"/>
      <c r="V3" s="89"/>
      <c r="W3" s="89"/>
      <c r="X3" s="89"/>
      <c r="Y3" s="89"/>
      <c r="Z3" s="89"/>
    </row>
    <row r="4">
      <c r="A4" s="79" t="s">
        <v>1102</v>
      </c>
      <c r="B4" s="104" t="s">
        <v>1103</v>
      </c>
      <c r="C4" s="104" t="s">
        <v>1104</v>
      </c>
      <c r="D4" s="104" t="s">
        <v>1105</v>
      </c>
      <c r="E4" s="105"/>
      <c r="F4" s="104"/>
      <c r="G4" s="104"/>
      <c r="H4" s="89"/>
      <c r="I4" s="89"/>
      <c r="J4" s="89"/>
      <c r="K4" s="89"/>
      <c r="L4" s="89"/>
      <c r="M4" s="89"/>
      <c r="N4" s="89"/>
      <c r="O4" s="89"/>
      <c r="P4" s="89"/>
      <c r="Q4" s="89"/>
      <c r="R4" s="89"/>
      <c r="S4" s="89"/>
      <c r="T4" s="89"/>
      <c r="U4" s="89"/>
      <c r="V4" s="89"/>
      <c r="W4" s="89"/>
      <c r="X4" s="89"/>
      <c r="Y4" s="89"/>
      <c r="Z4" s="89"/>
    </row>
    <row r="5">
      <c r="A5" s="79" t="s">
        <v>1106</v>
      </c>
      <c r="B5" s="104" t="s">
        <v>1107</v>
      </c>
      <c r="C5" s="104" t="s">
        <v>1108</v>
      </c>
      <c r="D5" s="104" t="s">
        <v>1109</v>
      </c>
      <c r="E5" s="105"/>
      <c r="F5" s="104"/>
      <c r="G5" s="104"/>
      <c r="H5" s="89"/>
      <c r="I5" s="89"/>
      <c r="J5" s="89"/>
      <c r="K5" s="89"/>
      <c r="L5" s="89"/>
      <c r="M5" s="89"/>
      <c r="N5" s="89"/>
      <c r="O5" s="89"/>
      <c r="P5" s="89"/>
      <c r="Q5" s="89"/>
      <c r="R5" s="89"/>
      <c r="S5" s="89"/>
      <c r="T5" s="89"/>
      <c r="U5" s="89"/>
      <c r="V5" s="89"/>
      <c r="W5" s="89"/>
      <c r="X5" s="89"/>
      <c r="Y5" s="89"/>
      <c r="Z5" s="89"/>
    </row>
    <row r="6">
      <c r="A6" s="79" t="s">
        <v>1110</v>
      </c>
      <c r="B6" s="104" t="s">
        <v>1111</v>
      </c>
      <c r="C6" s="104" t="s">
        <v>1112</v>
      </c>
      <c r="D6" s="104" t="s">
        <v>1113</v>
      </c>
      <c r="E6" s="105"/>
      <c r="F6" s="104"/>
      <c r="G6" s="104"/>
      <c r="H6" s="89"/>
      <c r="I6" s="89"/>
      <c r="J6" s="89"/>
      <c r="K6" s="89"/>
      <c r="L6" s="89"/>
      <c r="M6" s="89"/>
      <c r="N6" s="89"/>
      <c r="O6" s="89"/>
      <c r="P6" s="89"/>
      <c r="Q6" s="89"/>
      <c r="R6" s="89"/>
      <c r="S6" s="89"/>
      <c r="T6" s="89"/>
      <c r="U6" s="89"/>
      <c r="V6" s="89"/>
      <c r="W6" s="89"/>
      <c r="X6" s="89"/>
      <c r="Y6" s="89"/>
      <c r="Z6" s="89"/>
    </row>
    <row r="7">
      <c r="A7" s="79" t="s">
        <v>1114</v>
      </c>
      <c r="B7" s="104" t="s">
        <v>1115</v>
      </c>
      <c r="C7" s="104" t="s">
        <v>1116</v>
      </c>
      <c r="D7" s="104" t="s">
        <v>1117</v>
      </c>
      <c r="E7" s="105"/>
      <c r="F7" s="104"/>
      <c r="G7" s="104"/>
      <c r="H7" s="89"/>
      <c r="I7" s="89"/>
      <c r="J7" s="89"/>
      <c r="K7" s="89"/>
      <c r="L7" s="89"/>
      <c r="M7" s="89"/>
      <c r="N7" s="89"/>
      <c r="O7" s="89"/>
      <c r="P7" s="89"/>
      <c r="Q7" s="89"/>
      <c r="R7" s="89"/>
      <c r="S7" s="89"/>
      <c r="T7" s="89"/>
      <c r="U7" s="89"/>
      <c r="V7" s="89"/>
      <c r="W7" s="89"/>
      <c r="X7" s="89"/>
      <c r="Y7" s="89"/>
      <c r="Z7" s="89"/>
    </row>
    <row r="8">
      <c r="A8" s="79" t="s">
        <v>1118</v>
      </c>
      <c r="B8" s="104" t="s">
        <v>1119</v>
      </c>
      <c r="C8" s="104" t="s">
        <v>1120</v>
      </c>
      <c r="D8" s="104" t="s">
        <v>1121</v>
      </c>
      <c r="E8" s="105"/>
      <c r="F8" s="104"/>
      <c r="G8" s="104"/>
      <c r="H8" s="89"/>
      <c r="I8" s="89"/>
      <c r="J8" s="89"/>
      <c r="K8" s="89"/>
      <c r="L8" s="89"/>
      <c r="M8" s="89"/>
      <c r="N8" s="89"/>
      <c r="O8" s="89"/>
      <c r="P8" s="89"/>
      <c r="Q8" s="89"/>
      <c r="R8" s="89"/>
      <c r="S8" s="89"/>
      <c r="T8" s="89"/>
      <c r="U8" s="89"/>
      <c r="V8" s="89"/>
      <c r="W8" s="89"/>
      <c r="X8" s="89"/>
      <c r="Y8" s="89"/>
      <c r="Z8" s="89"/>
    </row>
    <row r="9">
      <c r="A9" s="79" t="s">
        <v>1122</v>
      </c>
      <c r="B9" s="104" t="s">
        <v>1123</v>
      </c>
      <c r="C9" s="104" t="s">
        <v>1124</v>
      </c>
      <c r="D9" s="104" t="s">
        <v>1125</v>
      </c>
      <c r="E9" s="105"/>
      <c r="F9" s="104"/>
      <c r="G9" s="104"/>
      <c r="H9" s="89"/>
      <c r="I9" s="89"/>
      <c r="J9" s="89"/>
      <c r="K9" s="89"/>
      <c r="L9" s="89"/>
      <c r="M9" s="89"/>
      <c r="N9" s="89"/>
      <c r="O9" s="89"/>
      <c r="P9" s="89"/>
      <c r="Q9" s="89"/>
      <c r="R9" s="89"/>
      <c r="S9" s="89"/>
      <c r="T9" s="89"/>
      <c r="U9" s="89"/>
      <c r="V9" s="89"/>
      <c r="W9" s="89"/>
      <c r="X9" s="89"/>
      <c r="Y9" s="89"/>
      <c r="Z9" s="89"/>
    </row>
    <row r="10">
      <c r="A10" s="79" t="s">
        <v>1126</v>
      </c>
      <c r="B10" s="104" t="s">
        <v>1127</v>
      </c>
      <c r="C10" s="104" t="s">
        <v>1128</v>
      </c>
      <c r="D10" s="104" t="s">
        <v>1129</v>
      </c>
      <c r="E10" s="105"/>
      <c r="F10" s="104"/>
      <c r="G10" s="104"/>
      <c r="H10" s="89"/>
      <c r="I10" s="89"/>
      <c r="J10" s="89"/>
      <c r="K10" s="89"/>
      <c r="L10" s="89"/>
      <c r="M10" s="89"/>
      <c r="N10" s="89"/>
      <c r="O10" s="89"/>
      <c r="P10" s="89"/>
      <c r="Q10" s="89"/>
      <c r="R10" s="89"/>
      <c r="S10" s="89"/>
      <c r="T10" s="89"/>
      <c r="U10" s="89"/>
      <c r="V10" s="89"/>
      <c r="W10" s="89"/>
      <c r="X10" s="89"/>
      <c r="Y10" s="89"/>
      <c r="Z10" s="89"/>
    </row>
    <row r="11">
      <c r="A11" s="79" t="s">
        <v>1130</v>
      </c>
      <c r="B11" s="104" t="s">
        <v>1131</v>
      </c>
      <c r="C11" s="104" t="s">
        <v>1132</v>
      </c>
      <c r="D11" s="104" t="s">
        <v>1133</v>
      </c>
      <c r="E11" s="105"/>
      <c r="F11" s="104"/>
      <c r="G11" s="104"/>
      <c r="H11" s="89"/>
      <c r="I11" s="89"/>
      <c r="J11" s="89"/>
      <c r="K11" s="89"/>
      <c r="L11" s="89"/>
      <c r="M11" s="89"/>
      <c r="N11" s="89"/>
      <c r="O11" s="89"/>
      <c r="P11" s="89"/>
      <c r="Q11" s="89"/>
      <c r="R11" s="89"/>
      <c r="S11" s="89"/>
      <c r="T11" s="89"/>
      <c r="U11" s="89"/>
      <c r="V11" s="89"/>
      <c r="W11" s="89"/>
      <c r="X11" s="89"/>
      <c r="Y11" s="89"/>
      <c r="Z11" s="89"/>
    </row>
    <row r="12">
      <c r="A12" s="79" t="s">
        <v>1134</v>
      </c>
      <c r="B12" s="104" t="s">
        <v>1135</v>
      </c>
      <c r="C12" s="104" t="s">
        <v>1136</v>
      </c>
      <c r="D12" s="104" t="s">
        <v>1137</v>
      </c>
      <c r="E12" s="105"/>
      <c r="F12" s="104"/>
      <c r="G12" s="104"/>
      <c r="H12" s="89"/>
      <c r="I12" s="89"/>
      <c r="J12" s="89"/>
      <c r="K12" s="89"/>
      <c r="L12" s="89"/>
      <c r="M12" s="89"/>
      <c r="N12" s="89"/>
      <c r="O12" s="89"/>
      <c r="P12" s="89"/>
      <c r="Q12" s="89"/>
      <c r="R12" s="89"/>
      <c r="S12" s="89"/>
      <c r="T12" s="89"/>
      <c r="U12" s="89"/>
      <c r="V12" s="89"/>
      <c r="W12" s="89"/>
      <c r="X12" s="89"/>
      <c r="Y12" s="89"/>
      <c r="Z12" s="89"/>
    </row>
    <row r="13">
      <c r="A13" s="79" t="s">
        <v>1138</v>
      </c>
      <c r="B13" s="104" t="s">
        <v>1139</v>
      </c>
      <c r="C13" s="104" t="s">
        <v>1140</v>
      </c>
      <c r="D13" s="104" t="s">
        <v>1141</v>
      </c>
      <c r="E13" s="105"/>
      <c r="F13" s="104"/>
      <c r="G13" s="104"/>
      <c r="H13" s="89"/>
      <c r="I13" s="89"/>
      <c r="J13" s="89"/>
      <c r="K13" s="89"/>
      <c r="L13" s="89"/>
      <c r="M13" s="89"/>
      <c r="N13" s="89"/>
      <c r="O13" s="89"/>
      <c r="P13" s="89"/>
      <c r="Q13" s="89"/>
      <c r="R13" s="89"/>
      <c r="S13" s="89"/>
      <c r="T13" s="89"/>
      <c r="U13" s="89"/>
      <c r="V13" s="89"/>
      <c r="W13" s="89"/>
      <c r="X13" s="89"/>
      <c r="Y13" s="89"/>
      <c r="Z13" s="89"/>
    </row>
    <row r="14">
      <c r="A14" s="79" t="s">
        <v>1142</v>
      </c>
      <c r="B14" s="104" t="s">
        <v>1143</v>
      </c>
      <c r="C14" s="104" t="s">
        <v>1144</v>
      </c>
      <c r="D14" s="104" t="s">
        <v>1145</v>
      </c>
      <c r="E14" s="105"/>
      <c r="F14" s="104"/>
      <c r="G14" s="104"/>
      <c r="H14" s="89"/>
      <c r="I14" s="89"/>
      <c r="J14" s="89"/>
      <c r="K14" s="89"/>
      <c r="L14" s="89"/>
      <c r="M14" s="89"/>
      <c r="N14" s="89"/>
      <c r="O14" s="89"/>
      <c r="P14" s="89"/>
      <c r="Q14" s="89"/>
      <c r="R14" s="89"/>
      <c r="S14" s="89"/>
      <c r="T14" s="89"/>
      <c r="U14" s="89"/>
      <c r="V14" s="89"/>
      <c r="W14" s="89"/>
      <c r="X14" s="89"/>
      <c r="Y14" s="89"/>
      <c r="Z14" s="89"/>
    </row>
    <row r="15">
      <c r="A15" s="79" t="s">
        <v>1146</v>
      </c>
      <c r="B15" s="104" t="s">
        <v>1147</v>
      </c>
      <c r="C15" s="104" t="s">
        <v>1148</v>
      </c>
      <c r="D15" s="104" t="s">
        <v>1149</v>
      </c>
      <c r="E15" s="105"/>
      <c r="F15" s="104"/>
      <c r="G15" s="104"/>
      <c r="H15" s="89"/>
      <c r="I15" s="89"/>
      <c r="J15" s="89"/>
      <c r="K15" s="89"/>
      <c r="L15" s="89"/>
      <c r="M15" s="89"/>
      <c r="N15" s="89"/>
      <c r="O15" s="89"/>
      <c r="P15" s="89"/>
      <c r="Q15" s="89"/>
      <c r="R15" s="89"/>
      <c r="S15" s="89"/>
      <c r="T15" s="89"/>
      <c r="U15" s="89"/>
      <c r="V15" s="89"/>
      <c r="W15" s="89"/>
      <c r="X15" s="89"/>
      <c r="Y15" s="89"/>
      <c r="Z15" s="89"/>
    </row>
    <row r="16">
      <c r="A16" s="79" t="s">
        <v>1150</v>
      </c>
      <c r="B16" s="104" t="s">
        <v>1151</v>
      </c>
      <c r="C16" s="104" t="s">
        <v>1152</v>
      </c>
      <c r="D16" s="104" t="s">
        <v>1149</v>
      </c>
      <c r="E16" s="105"/>
      <c r="F16" s="104"/>
      <c r="G16" s="104"/>
      <c r="H16" s="89"/>
      <c r="I16" s="89"/>
      <c r="J16" s="89"/>
      <c r="K16" s="89"/>
      <c r="L16" s="89"/>
      <c r="M16" s="89"/>
      <c r="N16" s="89"/>
      <c r="O16" s="89"/>
      <c r="P16" s="89"/>
      <c r="Q16" s="89"/>
      <c r="R16" s="89"/>
      <c r="S16" s="89"/>
      <c r="T16" s="89"/>
      <c r="U16" s="89"/>
      <c r="V16" s="89"/>
      <c r="W16" s="89"/>
      <c r="X16" s="89"/>
      <c r="Y16" s="89"/>
      <c r="Z16" s="89"/>
    </row>
    <row r="17">
      <c r="A17" s="79" t="s">
        <v>1153</v>
      </c>
      <c r="B17" s="104" t="s">
        <v>1154</v>
      </c>
      <c r="C17" s="104" t="s">
        <v>1155</v>
      </c>
      <c r="D17" s="104" t="s">
        <v>1156</v>
      </c>
      <c r="E17" s="105"/>
      <c r="F17" s="104"/>
      <c r="G17" s="104"/>
      <c r="H17" s="89"/>
      <c r="I17" s="89"/>
      <c r="J17" s="89"/>
      <c r="K17" s="89"/>
      <c r="L17" s="89"/>
      <c r="M17" s="89"/>
      <c r="N17" s="89"/>
      <c r="O17" s="89"/>
      <c r="P17" s="89"/>
      <c r="Q17" s="89"/>
      <c r="R17" s="89"/>
      <c r="S17" s="89"/>
      <c r="T17" s="89"/>
      <c r="U17" s="89"/>
      <c r="V17" s="89"/>
      <c r="W17" s="89"/>
      <c r="X17" s="89"/>
      <c r="Y17" s="89"/>
      <c r="Z17" s="89"/>
    </row>
    <row r="18">
      <c r="A18" s="79" t="s">
        <v>1157</v>
      </c>
      <c r="B18" s="104" t="s">
        <v>1158</v>
      </c>
      <c r="C18" s="104" t="s">
        <v>1159</v>
      </c>
      <c r="D18" s="104" t="s">
        <v>1160</v>
      </c>
      <c r="E18" s="105"/>
      <c r="F18" s="104"/>
      <c r="G18" s="104"/>
      <c r="H18" s="89"/>
      <c r="I18" s="89"/>
      <c r="J18" s="89"/>
      <c r="K18" s="89"/>
      <c r="L18" s="89"/>
      <c r="M18" s="89"/>
      <c r="N18" s="89"/>
      <c r="O18" s="89"/>
      <c r="P18" s="89"/>
      <c r="Q18" s="89"/>
      <c r="R18" s="89"/>
      <c r="S18" s="89"/>
      <c r="T18" s="89"/>
      <c r="U18" s="89"/>
      <c r="V18" s="89"/>
      <c r="W18" s="89"/>
      <c r="X18" s="89"/>
      <c r="Y18" s="89"/>
      <c r="Z18" s="89"/>
    </row>
    <row r="19">
      <c r="A19" s="79" t="s">
        <v>1161</v>
      </c>
      <c r="B19" s="104" t="s">
        <v>1162</v>
      </c>
      <c r="C19" s="104" t="s">
        <v>1163</v>
      </c>
      <c r="D19" s="104" t="s">
        <v>1164</v>
      </c>
      <c r="E19" s="105"/>
      <c r="F19" s="106"/>
      <c r="G19" s="104"/>
      <c r="H19" s="89"/>
      <c r="I19" s="89"/>
      <c r="J19" s="89"/>
      <c r="K19" s="89"/>
      <c r="L19" s="89"/>
      <c r="M19" s="89"/>
      <c r="N19" s="89"/>
      <c r="O19" s="89"/>
      <c r="P19" s="89"/>
      <c r="Q19" s="89"/>
      <c r="R19" s="89"/>
      <c r="S19" s="89"/>
      <c r="T19" s="89"/>
      <c r="U19" s="89"/>
      <c r="V19" s="89"/>
      <c r="W19" s="89"/>
      <c r="X19" s="89"/>
      <c r="Y19" s="89"/>
      <c r="Z19" s="89"/>
    </row>
    <row r="20">
      <c r="A20" s="79" t="s">
        <v>1165</v>
      </c>
      <c r="B20" s="104" t="s">
        <v>1166</v>
      </c>
      <c r="C20" s="104" t="s">
        <v>1167</v>
      </c>
      <c r="D20" s="104" t="s">
        <v>1168</v>
      </c>
      <c r="E20" s="105"/>
      <c r="F20" s="104"/>
      <c r="G20" s="104"/>
      <c r="H20" s="89"/>
      <c r="I20" s="89"/>
      <c r="J20" s="89"/>
      <c r="K20" s="89"/>
      <c r="L20" s="89"/>
      <c r="M20" s="89"/>
      <c r="N20" s="89"/>
      <c r="O20" s="89"/>
      <c r="P20" s="89"/>
      <c r="Q20" s="89"/>
      <c r="R20" s="89"/>
      <c r="S20" s="89"/>
      <c r="T20" s="89"/>
      <c r="U20" s="89"/>
      <c r="V20" s="89"/>
      <c r="W20" s="89"/>
      <c r="X20" s="89"/>
      <c r="Y20" s="89"/>
      <c r="Z20" s="89"/>
    </row>
    <row r="21">
      <c r="A21" s="79" t="s">
        <v>1169</v>
      </c>
      <c r="B21" s="104" t="s">
        <v>1170</v>
      </c>
      <c r="C21" s="104" t="s">
        <v>1171</v>
      </c>
      <c r="D21" s="104" t="s">
        <v>1172</v>
      </c>
      <c r="E21" s="105"/>
      <c r="F21" s="104"/>
      <c r="G21" s="104"/>
      <c r="H21" s="89"/>
      <c r="I21" s="89"/>
      <c r="J21" s="89"/>
      <c r="K21" s="89"/>
      <c r="L21" s="89"/>
      <c r="M21" s="89"/>
      <c r="N21" s="89"/>
      <c r="O21" s="89"/>
      <c r="P21" s="89"/>
      <c r="Q21" s="89"/>
      <c r="R21" s="89"/>
      <c r="S21" s="89"/>
      <c r="T21" s="89"/>
      <c r="U21" s="89"/>
      <c r="V21" s="89"/>
      <c r="W21" s="89"/>
      <c r="X21" s="89"/>
      <c r="Y21" s="89"/>
      <c r="Z21" s="89"/>
    </row>
    <row r="22">
      <c r="A22" s="79" t="s">
        <v>1173</v>
      </c>
      <c r="B22" s="104" t="s">
        <v>1174</v>
      </c>
      <c r="C22" s="104" t="s">
        <v>1175</v>
      </c>
      <c r="D22" s="104" t="s">
        <v>1176</v>
      </c>
      <c r="E22" s="105"/>
      <c r="F22" s="104"/>
      <c r="G22" s="104"/>
      <c r="H22" s="89"/>
      <c r="I22" s="89"/>
      <c r="J22" s="89"/>
      <c r="K22" s="89"/>
      <c r="L22" s="89"/>
      <c r="M22" s="89"/>
      <c r="N22" s="89"/>
      <c r="O22" s="89"/>
      <c r="P22" s="89"/>
      <c r="Q22" s="89"/>
      <c r="R22" s="89"/>
      <c r="S22" s="89"/>
      <c r="T22" s="89"/>
      <c r="U22" s="89"/>
      <c r="V22" s="89"/>
      <c r="W22" s="89"/>
      <c r="X22" s="89"/>
      <c r="Y22" s="89"/>
      <c r="Z22" s="89"/>
    </row>
    <row r="23">
      <c r="A23" s="79" t="s">
        <v>1177</v>
      </c>
      <c r="B23" s="104" t="s">
        <v>1178</v>
      </c>
      <c r="C23" s="104" t="s">
        <v>1179</v>
      </c>
      <c r="D23" s="104" t="s">
        <v>1180</v>
      </c>
      <c r="E23" s="105"/>
      <c r="F23" s="104"/>
      <c r="G23" s="104"/>
      <c r="H23" s="89"/>
      <c r="I23" s="89"/>
      <c r="J23" s="89"/>
      <c r="K23" s="89"/>
      <c r="L23" s="89"/>
      <c r="M23" s="89"/>
      <c r="N23" s="89"/>
      <c r="O23" s="89"/>
      <c r="P23" s="89"/>
      <c r="Q23" s="89"/>
      <c r="R23" s="89"/>
      <c r="S23" s="89"/>
      <c r="T23" s="89"/>
      <c r="U23" s="89"/>
      <c r="V23" s="89"/>
      <c r="W23" s="89"/>
      <c r="X23" s="89"/>
      <c r="Y23" s="89"/>
      <c r="Z23" s="89"/>
    </row>
    <row r="24">
      <c r="A24" s="79" t="s">
        <v>1181</v>
      </c>
      <c r="B24" s="104" t="s">
        <v>1182</v>
      </c>
      <c r="C24" s="104" t="s">
        <v>1183</v>
      </c>
      <c r="D24" s="104" t="s">
        <v>1184</v>
      </c>
      <c r="E24" s="105"/>
      <c r="F24" s="104"/>
      <c r="G24" s="104"/>
      <c r="H24" s="89"/>
      <c r="I24" s="89"/>
      <c r="J24" s="89"/>
      <c r="K24" s="89"/>
      <c r="L24" s="89"/>
      <c r="M24" s="89"/>
      <c r="N24" s="89"/>
      <c r="O24" s="89"/>
      <c r="P24" s="89"/>
      <c r="Q24" s="89"/>
      <c r="R24" s="89"/>
      <c r="S24" s="89"/>
      <c r="T24" s="89"/>
      <c r="U24" s="89"/>
      <c r="V24" s="89"/>
      <c r="W24" s="89"/>
      <c r="X24" s="89"/>
      <c r="Y24" s="89"/>
      <c r="Z24" s="89"/>
    </row>
    <row r="25">
      <c r="A25" s="79" t="s">
        <v>1185</v>
      </c>
      <c r="B25" s="104" t="s">
        <v>1186</v>
      </c>
      <c r="C25" s="104" t="s">
        <v>1187</v>
      </c>
      <c r="D25" s="104" t="s">
        <v>1188</v>
      </c>
      <c r="E25" s="105"/>
      <c r="F25" s="104"/>
      <c r="G25" s="104"/>
      <c r="H25" s="89"/>
      <c r="I25" s="89"/>
      <c r="J25" s="89"/>
      <c r="K25" s="89"/>
      <c r="L25" s="89"/>
      <c r="M25" s="89"/>
      <c r="N25" s="89"/>
      <c r="O25" s="89"/>
      <c r="P25" s="89"/>
      <c r="Q25" s="89"/>
      <c r="R25" s="89"/>
      <c r="S25" s="89"/>
      <c r="T25" s="89"/>
      <c r="U25" s="89"/>
      <c r="V25" s="89"/>
      <c r="W25" s="89"/>
      <c r="X25" s="89"/>
      <c r="Y25" s="89"/>
      <c r="Z25" s="89"/>
    </row>
    <row r="26">
      <c r="A26" s="79" t="s">
        <v>1189</v>
      </c>
      <c r="B26" s="104" t="s">
        <v>1190</v>
      </c>
      <c r="C26" s="104" t="s">
        <v>1191</v>
      </c>
      <c r="D26" s="104" t="s">
        <v>1192</v>
      </c>
      <c r="E26" s="105"/>
      <c r="F26" s="106"/>
      <c r="G26" s="104"/>
      <c r="H26" s="89"/>
      <c r="I26" s="89"/>
      <c r="J26" s="89"/>
      <c r="K26" s="89"/>
      <c r="L26" s="89"/>
      <c r="M26" s="89"/>
      <c r="N26" s="89"/>
      <c r="O26" s="89"/>
      <c r="P26" s="89"/>
      <c r="Q26" s="89"/>
      <c r="R26" s="89"/>
      <c r="S26" s="89"/>
      <c r="T26" s="89"/>
      <c r="U26" s="89"/>
      <c r="V26" s="89"/>
      <c r="W26" s="89"/>
      <c r="X26" s="89"/>
      <c r="Y26" s="89"/>
      <c r="Z26" s="89"/>
    </row>
    <row r="27">
      <c r="A27" s="79" t="s">
        <v>1193</v>
      </c>
      <c r="B27" s="104" t="s">
        <v>1194</v>
      </c>
      <c r="C27" s="104" t="s">
        <v>1195</v>
      </c>
      <c r="D27" s="104" t="s">
        <v>1196</v>
      </c>
      <c r="E27" s="105"/>
      <c r="F27" s="104"/>
      <c r="G27" s="104"/>
      <c r="H27" s="89"/>
      <c r="I27" s="89"/>
      <c r="J27" s="89"/>
      <c r="K27" s="89"/>
      <c r="L27" s="89"/>
      <c r="M27" s="89"/>
      <c r="N27" s="89"/>
      <c r="O27" s="89"/>
      <c r="P27" s="89"/>
      <c r="Q27" s="89"/>
      <c r="R27" s="89"/>
      <c r="S27" s="89"/>
      <c r="T27" s="89"/>
      <c r="U27" s="89"/>
      <c r="V27" s="89"/>
      <c r="W27" s="89"/>
      <c r="X27" s="89"/>
      <c r="Y27" s="89"/>
      <c r="Z27" s="89"/>
    </row>
    <row r="28">
      <c r="A28" s="79" t="s">
        <v>1197</v>
      </c>
      <c r="B28" s="104" t="s">
        <v>1198</v>
      </c>
      <c r="C28" s="104" t="s">
        <v>1199</v>
      </c>
      <c r="D28" s="104"/>
      <c r="E28" s="105"/>
      <c r="F28" s="106"/>
      <c r="G28" s="104"/>
      <c r="H28" s="89"/>
      <c r="I28" s="89"/>
      <c r="J28" s="89"/>
      <c r="K28" s="89"/>
      <c r="L28" s="89"/>
      <c r="M28" s="89"/>
      <c r="N28" s="89"/>
      <c r="O28" s="89"/>
      <c r="P28" s="89"/>
      <c r="Q28" s="89"/>
      <c r="R28" s="89"/>
      <c r="S28" s="89"/>
      <c r="T28" s="89"/>
      <c r="U28" s="89"/>
      <c r="V28" s="89"/>
      <c r="W28" s="89"/>
      <c r="X28" s="89"/>
      <c r="Y28" s="89"/>
      <c r="Z28" s="89"/>
    </row>
    <row r="29">
      <c r="A29" s="79" t="s">
        <v>1200</v>
      </c>
      <c r="B29" s="104" t="s">
        <v>1201</v>
      </c>
      <c r="C29" s="104" t="s">
        <v>1202</v>
      </c>
      <c r="D29" s="104" t="s">
        <v>1203</v>
      </c>
      <c r="E29" s="105"/>
      <c r="F29" s="104"/>
      <c r="G29" s="104"/>
      <c r="H29" s="89"/>
      <c r="I29" s="89"/>
      <c r="J29" s="89"/>
      <c r="K29" s="89"/>
      <c r="L29" s="89"/>
      <c r="M29" s="89"/>
      <c r="N29" s="89"/>
      <c r="O29" s="89"/>
      <c r="P29" s="89"/>
      <c r="Q29" s="89"/>
      <c r="R29" s="89"/>
      <c r="S29" s="89"/>
      <c r="T29" s="89"/>
      <c r="U29" s="89"/>
      <c r="V29" s="89"/>
      <c r="W29" s="89"/>
      <c r="X29" s="89"/>
      <c r="Y29" s="89"/>
      <c r="Z29" s="89"/>
    </row>
    <row r="30">
      <c r="A30" s="79" t="s">
        <v>1204</v>
      </c>
      <c r="B30" s="79" t="s">
        <v>1205</v>
      </c>
      <c r="C30" s="104" t="s">
        <v>1206</v>
      </c>
      <c r="D30" s="79" t="s">
        <v>1207</v>
      </c>
      <c r="E30" s="105"/>
      <c r="F30" s="104"/>
      <c r="G30" s="104"/>
      <c r="H30" s="89"/>
      <c r="I30" s="89"/>
      <c r="J30" s="89"/>
      <c r="K30" s="89"/>
      <c r="L30" s="89"/>
      <c r="M30" s="89"/>
      <c r="N30" s="89"/>
      <c r="O30" s="89"/>
      <c r="P30" s="89"/>
      <c r="Q30" s="89"/>
      <c r="R30" s="89"/>
      <c r="S30" s="89"/>
      <c r="T30" s="89"/>
      <c r="U30" s="89"/>
      <c r="V30" s="89"/>
      <c r="W30" s="89"/>
      <c r="X30" s="89"/>
      <c r="Y30" s="89"/>
      <c r="Z30" s="89"/>
    </row>
    <row r="31">
      <c r="A31" s="79" t="s">
        <v>1208</v>
      </c>
      <c r="B31" s="104" t="s">
        <v>1209</v>
      </c>
      <c r="C31" s="104" t="s">
        <v>1210</v>
      </c>
      <c r="D31" s="104" t="s">
        <v>1211</v>
      </c>
      <c r="E31" s="105"/>
      <c r="F31" s="106"/>
      <c r="G31" s="104"/>
      <c r="H31" s="89"/>
      <c r="I31" s="89"/>
      <c r="J31" s="89"/>
      <c r="K31" s="89"/>
      <c r="L31" s="89"/>
      <c r="M31" s="89"/>
      <c r="N31" s="89"/>
      <c r="O31" s="89"/>
      <c r="P31" s="89"/>
      <c r="Q31" s="89"/>
      <c r="R31" s="89"/>
      <c r="S31" s="89"/>
      <c r="T31" s="89"/>
      <c r="U31" s="89"/>
      <c r="V31" s="89"/>
      <c r="W31" s="89"/>
      <c r="X31" s="89"/>
      <c r="Y31" s="89"/>
      <c r="Z31" s="89"/>
    </row>
    <row r="32">
      <c r="A32" s="79" t="s">
        <v>1212</v>
      </c>
      <c r="B32" s="104" t="s">
        <v>1213</v>
      </c>
      <c r="C32" s="104" t="s">
        <v>1214</v>
      </c>
      <c r="D32" s="79" t="s">
        <v>1215</v>
      </c>
      <c r="E32" s="105"/>
      <c r="F32" s="104"/>
      <c r="G32" s="104"/>
      <c r="H32" s="89"/>
      <c r="I32" s="89"/>
      <c r="J32" s="89"/>
      <c r="K32" s="89"/>
      <c r="L32" s="89"/>
      <c r="M32" s="89"/>
      <c r="N32" s="89"/>
      <c r="O32" s="89"/>
      <c r="P32" s="89"/>
      <c r="Q32" s="89"/>
      <c r="R32" s="89"/>
      <c r="S32" s="89"/>
      <c r="T32" s="89"/>
      <c r="U32" s="89"/>
      <c r="V32" s="89"/>
      <c r="W32" s="89"/>
      <c r="X32" s="89"/>
      <c r="Y32" s="89"/>
      <c r="Z32" s="89"/>
    </row>
    <row r="33">
      <c r="A33" s="79" t="s">
        <v>1216</v>
      </c>
      <c r="B33" s="72" t="s">
        <v>1217</v>
      </c>
      <c r="C33" s="72" t="s">
        <v>1218</v>
      </c>
      <c r="D33" s="72" t="s">
        <v>1219</v>
      </c>
      <c r="E33" s="73"/>
      <c r="F33" s="73"/>
      <c r="G33" s="73"/>
      <c r="H33" s="89"/>
      <c r="I33" s="89"/>
      <c r="J33" s="89"/>
      <c r="K33" s="89"/>
      <c r="L33" s="89"/>
      <c r="M33" s="89"/>
      <c r="N33" s="89"/>
      <c r="O33" s="89"/>
      <c r="P33" s="89"/>
      <c r="Q33" s="89"/>
      <c r="R33" s="89"/>
      <c r="S33" s="89"/>
      <c r="T33" s="89"/>
      <c r="U33" s="89"/>
      <c r="V33" s="89"/>
      <c r="W33" s="89"/>
      <c r="X33" s="89"/>
      <c r="Y33" s="89"/>
      <c r="Z33" s="89"/>
    </row>
    <row r="34">
      <c r="A34" s="79" t="s">
        <v>1220</v>
      </c>
      <c r="B34" s="104" t="s">
        <v>1221</v>
      </c>
      <c r="C34" s="104" t="s">
        <v>1222</v>
      </c>
      <c r="D34" s="104" t="s">
        <v>1223</v>
      </c>
      <c r="E34" s="105"/>
      <c r="F34" s="106"/>
      <c r="G34" s="104"/>
      <c r="H34" s="89"/>
      <c r="I34" s="89"/>
      <c r="J34" s="89"/>
      <c r="K34" s="89"/>
      <c r="L34" s="89"/>
      <c r="M34" s="89"/>
      <c r="N34" s="89"/>
      <c r="O34" s="89"/>
      <c r="P34" s="89"/>
      <c r="Q34" s="89"/>
      <c r="R34" s="89"/>
      <c r="S34" s="89"/>
      <c r="T34" s="89"/>
      <c r="U34" s="89"/>
      <c r="V34" s="89"/>
      <c r="W34" s="89"/>
      <c r="X34" s="89"/>
      <c r="Y34" s="89"/>
      <c r="Z34" s="89"/>
    </row>
    <row r="35">
      <c r="A35" s="79" t="s">
        <v>1224</v>
      </c>
      <c r="B35" s="104" t="s">
        <v>1225</v>
      </c>
      <c r="C35" s="104" t="s">
        <v>1226</v>
      </c>
      <c r="D35" s="104" t="s">
        <v>1227</v>
      </c>
      <c r="E35" s="104"/>
      <c r="F35" s="104"/>
      <c r="G35" s="104"/>
      <c r="H35" s="107"/>
      <c r="I35" s="107"/>
      <c r="J35" s="107"/>
      <c r="K35" s="107"/>
      <c r="L35" s="107"/>
      <c r="M35" s="107"/>
      <c r="N35" s="107"/>
      <c r="O35" s="107"/>
      <c r="P35" s="107"/>
      <c r="Q35" s="107"/>
      <c r="R35" s="107"/>
      <c r="S35" s="107"/>
      <c r="T35" s="107"/>
      <c r="U35" s="107"/>
      <c r="V35" s="107"/>
      <c r="W35" s="107"/>
      <c r="X35" s="107"/>
      <c r="Y35" s="107"/>
      <c r="Z35" s="107"/>
    </row>
    <row r="36">
      <c r="A36" s="79" t="s">
        <v>1228</v>
      </c>
      <c r="B36" s="104" t="s">
        <v>1229</v>
      </c>
      <c r="C36" s="104" t="s">
        <v>1230</v>
      </c>
      <c r="D36" s="104" t="s">
        <v>1231</v>
      </c>
      <c r="E36" s="104"/>
      <c r="F36" s="104"/>
      <c r="G36" s="104"/>
      <c r="H36" s="107"/>
      <c r="I36" s="107"/>
      <c r="J36" s="107"/>
      <c r="K36" s="107"/>
      <c r="L36" s="107"/>
      <c r="M36" s="107"/>
      <c r="N36" s="107"/>
      <c r="O36" s="107"/>
      <c r="P36" s="107"/>
      <c r="Q36" s="107"/>
      <c r="R36" s="107"/>
      <c r="S36" s="107"/>
      <c r="T36" s="107"/>
      <c r="U36" s="107"/>
      <c r="V36" s="107"/>
      <c r="W36" s="107"/>
      <c r="X36" s="107"/>
      <c r="Y36" s="107"/>
      <c r="Z36" s="107"/>
    </row>
    <row r="37">
      <c r="A37" s="79" t="s">
        <v>1232</v>
      </c>
      <c r="B37" s="72" t="s">
        <v>1233</v>
      </c>
      <c r="C37" s="72" t="s">
        <v>1218</v>
      </c>
      <c r="D37" s="72" t="s">
        <v>1234</v>
      </c>
      <c r="E37" s="73"/>
      <c r="F37" s="73"/>
      <c r="G37" s="73"/>
      <c r="H37" s="89"/>
      <c r="I37" s="89"/>
      <c r="J37" s="89"/>
      <c r="K37" s="89"/>
      <c r="L37" s="89"/>
      <c r="M37" s="89"/>
      <c r="N37" s="89"/>
      <c r="O37" s="89"/>
      <c r="P37" s="89"/>
      <c r="Q37" s="89"/>
      <c r="R37" s="89"/>
      <c r="S37" s="89"/>
      <c r="T37" s="89"/>
      <c r="U37" s="89"/>
      <c r="V37" s="89"/>
      <c r="W37" s="89"/>
      <c r="X37" s="89"/>
      <c r="Y37" s="89"/>
      <c r="Z37" s="89"/>
    </row>
    <row r="38">
      <c r="A38" s="79" t="s">
        <v>1235</v>
      </c>
      <c r="B38" s="72" t="s">
        <v>1236</v>
      </c>
      <c r="C38" s="72" t="s">
        <v>1218</v>
      </c>
      <c r="D38" s="72" t="s">
        <v>1237</v>
      </c>
      <c r="E38" s="73"/>
      <c r="F38" s="73"/>
      <c r="G38" s="73"/>
      <c r="H38" s="89"/>
      <c r="I38" s="89"/>
      <c r="J38" s="89"/>
      <c r="K38" s="89"/>
      <c r="L38" s="89"/>
      <c r="M38" s="89"/>
      <c r="N38" s="89"/>
      <c r="O38" s="89"/>
      <c r="P38" s="89"/>
      <c r="Q38" s="89"/>
      <c r="R38" s="89"/>
      <c r="S38" s="89"/>
      <c r="T38" s="89"/>
      <c r="U38" s="89"/>
      <c r="V38" s="89"/>
      <c r="W38" s="89"/>
      <c r="X38" s="89"/>
      <c r="Y38" s="89"/>
      <c r="Z38" s="89"/>
    </row>
    <row r="39">
      <c r="A39" s="79" t="s">
        <v>1238</v>
      </c>
      <c r="B39" s="72" t="s">
        <v>1239</v>
      </c>
      <c r="C39" s="72" t="s">
        <v>1218</v>
      </c>
      <c r="D39" s="72" t="s">
        <v>1240</v>
      </c>
      <c r="E39" s="73"/>
      <c r="F39" s="73"/>
      <c r="G39" s="73"/>
      <c r="H39" s="89"/>
      <c r="I39" s="89"/>
      <c r="J39" s="89"/>
      <c r="K39" s="89"/>
      <c r="L39" s="89"/>
      <c r="M39" s="89"/>
      <c r="N39" s="89"/>
      <c r="O39" s="89"/>
      <c r="P39" s="89"/>
      <c r="Q39" s="89"/>
      <c r="R39" s="89"/>
      <c r="S39" s="89"/>
      <c r="T39" s="89"/>
      <c r="U39" s="89"/>
      <c r="V39" s="89"/>
      <c r="W39" s="89"/>
      <c r="X39" s="89"/>
      <c r="Y39" s="89"/>
      <c r="Z39" s="89"/>
    </row>
    <row r="40">
      <c r="A40" s="79" t="s">
        <v>1241</v>
      </c>
      <c r="B40" s="72" t="s">
        <v>1242</v>
      </c>
      <c r="C40" s="72" t="s">
        <v>1243</v>
      </c>
      <c r="D40" s="72" t="s">
        <v>1244</v>
      </c>
      <c r="E40" s="73"/>
      <c r="F40" s="73"/>
      <c r="G40" s="73"/>
      <c r="H40" s="89"/>
      <c r="I40" s="89"/>
      <c r="J40" s="89"/>
      <c r="K40" s="89"/>
      <c r="L40" s="89"/>
      <c r="M40" s="89"/>
      <c r="N40" s="89"/>
      <c r="O40" s="89"/>
      <c r="P40" s="89"/>
      <c r="Q40" s="89"/>
      <c r="R40" s="89"/>
      <c r="S40" s="89"/>
      <c r="T40" s="89"/>
      <c r="U40" s="89"/>
      <c r="V40" s="89"/>
      <c r="W40" s="89"/>
      <c r="X40" s="89"/>
      <c r="Y40" s="89"/>
      <c r="Z40" s="89"/>
    </row>
    <row r="41">
      <c r="A41" s="79" t="s">
        <v>1245</v>
      </c>
      <c r="B41" s="72" t="s">
        <v>1246</v>
      </c>
      <c r="C41" s="72" t="s">
        <v>1247</v>
      </c>
      <c r="D41" s="72" t="s">
        <v>1248</v>
      </c>
      <c r="E41" s="73"/>
      <c r="F41" s="73"/>
      <c r="G41" s="73"/>
    </row>
    <row r="42">
      <c r="A42" s="79" t="s">
        <v>1249</v>
      </c>
      <c r="B42" s="72" t="s">
        <v>1250</v>
      </c>
      <c r="C42" s="72" t="s">
        <v>1243</v>
      </c>
      <c r="D42" s="72" t="s">
        <v>1251</v>
      </c>
      <c r="E42" s="73"/>
      <c r="F42" s="73"/>
      <c r="G42" s="73"/>
    </row>
    <row r="43">
      <c r="A43" s="108"/>
      <c r="B43" s="109" t="s">
        <v>1252</v>
      </c>
      <c r="C43" s="108"/>
      <c r="D43" s="108"/>
    </row>
    <row r="44">
      <c r="A44" s="108"/>
      <c r="B44" s="109"/>
      <c r="C44" s="108"/>
      <c r="D44" s="108"/>
    </row>
    <row r="45">
      <c r="A45" s="108"/>
      <c r="B45" s="109"/>
      <c r="C45" s="108"/>
      <c r="D45" s="108"/>
    </row>
  </sheetData>
  <mergeCells count="1">
    <mergeCell ref="A1:G1"/>
  </mergeCells>
  <dataValidations>
    <dataValidation type="list" allowBlank="1" showErrorMessage="1" sqref="E3:E32 E34:E36">
      <formula1>"Pass,Fail,N/A,Blocking"</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6.38"/>
    <col customWidth="1" min="3" max="3" width="22.75"/>
    <col customWidth="1" min="4" max="4" width="15.63"/>
    <col customWidth="1" min="5" max="5" width="18.88"/>
    <col customWidth="1" min="6" max="6" width="25.25"/>
  </cols>
  <sheetData>
    <row r="1">
      <c r="A1" s="110"/>
      <c r="B1" s="2" t="s">
        <v>1253</v>
      </c>
      <c r="C1" s="4"/>
      <c r="E1" s="111" t="s">
        <v>1254</v>
      </c>
      <c r="F1" s="112"/>
    </row>
    <row r="2" ht="20.25" customHeight="1">
      <c r="A2" s="10"/>
      <c r="B2" s="11"/>
      <c r="C2" s="13"/>
      <c r="E2" s="113" t="s">
        <v>2</v>
      </c>
      <c r="F2" s="114" t="s">
        <v>3</v>
      </c>
    </row>
    <row r="3">
      <c r="A3" s="10"/>
      <c r="B3" s="17" t="s">
        <v>1255</v>
      </c>
      <c r="C3" s="4"/>
      <c r="E3" s="115" t="s">
        <v>4</v>
      </c>
      <c r="F3" s="114" t="s">
        <v>5</v>
      </c>
    </row>
    <row r="4">
      <c r="A4" s="10"/>
      <c r="B4" s="18"/>
      <c r="C4" s="19"/>
      <c r="E4" s="116" t="s">
        <v>6</v>
      </c>
      <c r="F4" s="114" t="s">
        <v>7</v>
      </c>
    </row>
    <row r="5">
      <c r="A5" s="20"/>
      <c r="B5" s="11"/>
      <c r="C5" s="13"/>
      <c r="E5" s="117" t="s">
        <v>8</v>
      </c>
      <c r="F5" s="118" t="s">
        <v>9</v>
      </c>
    </row>
    <row r="6" ht="17.25" customHeight="1">
      <c r="A6" s="119" t="s">
        <v>10</v>
      </c>
      <c r="B6" s="120" t="s">
        <v>11</v>
      </c>
      <c r="C6" s="120" t="s">
        <v>12</v>
      </c>
      <c r="E6" s="121" t="s">
        <v>13</v>
      </c>
      <c r="F6" s="122" t="s">
        <v>14</v>
      </c>
    </row>
    <row r="7">
      <c r="A7" s="123"/>
      <c r="B7" s="124"/>
      <c r="C7" s="125"/>
      <c r="E7" s="126"/>
      <c r="F7" s="127"/>
    </row>
    <row r="8">
      <c r="A8" s="128"/>
      <c r="B8" s="128"/>
      <c r="C8" s="127"/>
      <c r="D8" s="127"/>
    </row>
    <row r="9">
      <c r="A9" s="129" t="s">
        <v>15</v>
      </c>
      <c r="B9" s="129" t="str">
        <f>sheetName(2)</f>
        <v>Login page</v>
      </c>
      <c r="C9" s="129" t="str">
        <f>sheetName(3)</f>
        <v>Programs List page</v>
      </c>
      <c r="D9" s="129" t="str">
        <f>sheetName(4)</f>
        <v>Opportunity creation</v>
      </c>
      <c r="E9" s="129" t="str">
        <f>sheetName(5)</f>
        <v>Opportunity List page</v>
      </c>
      <c r="F9" s="129" t="str">
        <f>sheetName(6)</f>
        <v>Opportunity dashboard</v>
      </c>
    </row>
    <row r="10">
      <c r="A10" s="129" t="s">
        <v>1256</v>
      </c>
      <c r="B10" s="130"/>
      <c r="C10" s="130"/>
      <c r="D10" s="130"/>
      <c r="E10" s="130"/>
      <c r="F10" s="130"/>
    </row>
    <row r="11">
      <c r="A11" s="129" t="s">
        <v>16</v>
      </c>
      <c r="B11" s="130"/>
      <c r="C11" s="130"/>
      <c r="D11" s="130"/>
      <c r="E11" s="130"/>
      <c r="F11" s="130"/>
    </row>
    <row r="12">
      <c r="A12" s="131" t="s">
        <v>1257</v>
      </c>
      <c r="B12" s="125"/>
      <c r="C12" s="125"/>
      <c r="D12" s="125"/>
      <c r="E12" s="125"/>
      <c r="F12" s="125"/>
    </row>
    <row r="14">
      <c r="A14" s="132" t="s">
        <v>1258</v>
      </c>
      <c r="B14" s="133">
        <f t="array" ref="B14">countif(INDIRECT("'"&amp;$B$9&amp;"'!"&amp;"D2:D100"), "Pass")</f>
        <v>0</v>
      </c>
      <c r="C14" s="134">
        <f t="array" ref="C14">countif(INDIRECT("'"&amp;$C$9&amp;"'!"&amp;"D2:D100"), "Pass")</f>
        <v>0</v>
      </c>
      <c r="D14" s="133">
        <f t="array" ref="D14">countif(INDIRECT("'"&amp;$D$9&amp;"'!"&amp;"D2:D100"), "Pass")</f>
        <v>0</v>
      </c>
      <c r="E14" s="135">
        <f t="array" ref="E14">countif(INDIRECT("'"&amp;$E$9&amp;"'!"&amp;"D2:D100"), "Pass")</f>
        <v>0</v>
      </c>
      <c r="F14" s="135">
        <f t="array" ref="F14">countif(INDIRECT("'"&amp;$F$9&amp;"'!"&amp;"D2:D100"), "Pass")</f>
        <v>0</v>
      </c>
    </row>
    <row r="15">
      <c r="A15" s="10"/>
      <c r="B15" s="136">
        <f t="array" ref="B15">countif(INDIRECT("'"&amp;$B$9&amp;"'!"&amp;"D2:D100"), "Fail")</f>
        <v>0</v>
      </c>
      <c r="C15" s="137">
        <f t="array" ref="C15">countif(INDIRECT("'"&amp;$C$9&amp;"'!"&amp;"D2:D100"), "Fail")</f>
        <v>0</v>
      </c>
      <c r="D15" s="136">
        <f t="array" ref="D15">countif(INDIRECT("'"&amp;$D$9&amp;"'!"&amp;"D2:D100"), "Fail")</f>
        <v>0</v>
      </c>
      <c r="E15" s="138">
        <f t="array" ref="E15">countif(INDIRECT("'"&amp;$E$9&amp;"'!"&amp;"D2:D100"), "Fail")</f>
        <v>0</v>
      </c>
      <c r="F15" s="138">
        <f t="array" ref="F15">countif(INDIRECT("'"&amp;$F$9&amp;"'!"&amp;"D2:D100"), "Fail")</f>
        <v>0</v>
      </c>
    </row>
    <row r="16">
      <c r="A16" s="10"/>
      <c r="B16" s="139">
        <f t="array" ref="B16">countif(INDIRECT("'"&amp;$B$9&amp;"'!"&amp;"D2:D100"), "N/A")</f>
        <v>0</v>
      </c>
      <c r="C16" s="139">
        <f t="array" ref="C16">countif(INDIRECT("'"&amp;$C$9&amp;"'!"&amp;"D2:D100"), "N/A")</f>
        <v>0</v>
      </c>
      <c r="D16" s="140">
        <f t="array" ref="D16">countif(INDIRECT("'"&amp;$D$9&amp;"'!"&amp;"D2:D100"), "N/A")</f>
        <v>0</v>
      </c>
      <c r="E16" s="141">
        <f t="array" ref="E16">countif(INDIRECT("'"&amp;$E$9&amp;"'!"&amp;"D2:D100"), "N/A")</f>
        <v>0</v>
      </c>
      <c r="F16" s="141">
        <f t="array" ref="F16">countif(INDIRECT("'"&amp;$F$9&amp;"'!"&amp;"D2:D100"), "N/A")</f>
        <v>0</v>
      </c>
    </row>
    <row r="17">
      <c r="A17" s="10"/>
      <c r="B17" s="142">
        <f t="array" ref="B17">countif(INDIRECT("'"&amp;$B$9&amp;"'!"&amp;"D2:D100"), "Blocking")</f>
        <v>0</v>
      </c>
      <c r="C17" s="143">
        <f t="array" ref="C17">countif(INDIRECT("'"&amp;$C$9&amp;"'!"&amp;"D2:D100"), "Blocking")</f>
        <v>0</v>
      </c>
      <c r="D17" s="142">
        <f t="array" ref="D17">countif(INDIRECT("'"&amp;$D$9&amp;"'!"&amp;"D2:D100"), "Blocking")</f>
        <v>0</v>
      </c>
      <c r="E17" s="144">
        <f t="array" ref="E17">countif(INDIRECT("'"&amp;$E$9&amp;"'!"&amp;"D2:D100"), "Blocking")</f>
        <v>0</v>
      </c>
      <c r="F17" s="144">
        <f t="array" ref="F17">countif(INDIRECT("'"&amp;$F$9&amp;"'!"&amp;"D2:D100"), "Blocking")</f>
        <v>0</v>
      </c>
    </row>
    <row r="18">
      <c r="A18" s="20"/>
      <c r="B18" s="121">
        <f t="array" ref="B18">countif(INDIRECT("'"&amp;$B$9&amp;"'!"&amp;"D2:D100"), "")</f>
        <v>2</v>
      </c>
      <c r="C18" s="121">
        <f t="array" ref="C18">countif(INDIRECT("'"&amp;$C$9&amp;"'!"&amp;"D2:D100"), "")</f>
        <v>0</v>
      </c>
      <c r="D18" s="121">
        <f t="array" ref="D18">countif(INDIRECT("'"&amp;$D$9&amp;"'!"&amp;"D2:D100"), "")</f>
        <v>0</v>
      </c>
      <c r="E18" s="121">
        <f t="array" ref="E18">countif(INDIRECT("'"&amp;$E$9&amp;"'!"&amp;"D2:D100"), "")</f>
        <v>1</v>
      </c>
      <c r="F18" s="121">
        <f t="array" ref="F18">countif(INDIRECT("'"&amp;$F$9&amp;"'!"&amp;"D2:D100"), "")</f>
        <v>0</v>
      </c>
    </row>
    <row r="19">
      <c r="A19" s="129" t="s">
        <v>20</v>
      </c>
      <c r="B19" s="75">
        <f t="shared" ref="B19:F19" si="1">sum(B14:B18)</f>
        <v>2</v>
      </c>
      <c r="C19" s="75">
        <f t="shared" si="1"/>
        <v>0</v>
      </c>
      <c r="D19" s="75">
        <f t="shared" si="1"/>
        <v>0</v>
      </c>
      <c r="E19" s="75">
        <f t="shared" si="1"/>
        <v>1</v>
      </c>
      <c r="F19" s="75">
        <f t="shared" si="1"/>
        <v>0</v>
      </c>
    </row>
    <row r="20">
      <c r="A20" s="145"/>
      <c r="B20" s="128"/>
      <c r="C20" s="127"/>
      <c r="D20" s="127"/>
      <c r="E20" s="47"/>
      <c r="F20" s="146"/>
    </row>
    <row r="21">
      <c r="A21" s="132" t="s">
        <v>1259</v>
      </c>
      <c r="B21" s="75" t="str">
        <f>IFERROR(__xludf.DUMMYFUNCTION("UNIQUE( FILTER( INDIRECT(""'""&amp;$B$9&amp;""'!""&amp;""E2:E100"") , NOT(ISBLANK(INDIRECT(""'""&amp;$B$9&amp;""'!""&amp;""E2:E100""))) ) )"),"#N/A")</f>
        <v>#N/A</v>
      </c>
      <c r="C21" s="75" t="str">
        <f>IFERROR(__xludf.DUMMYFUNCTION("UNIQUE( FILTER( INDIRECT(""'""&amp;$C$9&amp;""'!""&amp;""E2:E100"") , NOT(ISBLANK(INDIRECT(""'""&amp;$C$9&amp;""'!""&amp;""E2:E100""))) ) )"),"#N/A")</f>
        <v>#N/A</v>
      </c>
      <c r="D21" s="75" t="str">
        <f>IFERROR(__xludf.DUMMYFUNCTION("UNIQUE( FILTER(INDIRECT(""'""&amp;$D$9&amp;""'!""&amp;""E2:E100"") , NOT(ISBLANK(INDIRECT(""'""&amp;$D$9&amp;""'!""&amp;""E2:E100""))) ) )"),"#N/A")</f>
        <v>#N/A</v>
      </c>
      <c r="E21" s="75" t="str">
        <f>IFERROR(__xludf.DUMMYFUNCTION("UNIQUE( FILTER(INDIRECT(""'""&amp;$E$9&amp;""'!""&amp;""E2:E100"") , NOT(ISBLANK(INDIRECT(""'""&amp;$E$9&amp;""'!""&amp;""E2:E100""))) ) )"),"#N/A")</f>
        <v>#N/A</v>
      </c>
      <c r="F21" s="75" t="str">
        <f>IFERROR(__xludf.DUMMYFUNCTION("UNIQUE( FILTER(INDIRECT(""'""&amp;$E$9&amp;""'!""&amp;""E2:E100"") , NOT(ISBLANK(INDIRECT(""'""&amp;$E$9&amp;""'!""&amp;""E2:E100""))) ) )"),"#N/A")</f>
        <v>#N/A</v>
      </c>
    </row>
    <row r="22">
      <c r="A22" s="10"/>
      <c r="B22" s="75"/>
      <c r="C22" s="75"/>
      <c r="D22" s="75"/>
      <c r="E22" s="75"/>
      <c r="F22" s="75"/>
    </row>
    <row r="23">
      <c r="A23" s="10"/>
      <c r="B23" s="75"/>
      <c r="C23" s="75"/>
      <c r="D23" s="75"/>
      <c r="E23" s="75"/>
      <c r="F23" s="75"/>
    </row>
    <row r="24">
      <c r="A24" s="10"/>
      <c r="B24" s="75"/>
      <c r="C24" s="75"/>
      <c r="D24" s="75"/>
      <c r="E24" s="75"/>
      <c r="F24" s="75"/>
    </row>
    <row r="25">
      <c r="A25" s="10"/>
      <c r="B25" s="75"/>
      <c r="C25" s="75"/>
      <c r="D25" s="75"/>
      <c r="E25" s="75"/>
      <c r="F25" s="75"/>
    </row>
    <row r="26">
      <c r="A26" s="10"/>
      <c r="B26" s="75"/>
      <c r="C26" s="75"/>
      <c r="D26" s="75"/>
      <c r="E26" s="75"/>
      <c r="F26" s="75"/>
    </row>
    <row r="27">
      <c r="A27" s="10"/>
      <c r="B27" s="75"/>
      <c r="C27" s="75"/>
      <c r="D27" s="75"/>
      <c r="E27" s="75"/>
      <c r="F27" s="75"/>
    </row>
    <row r="28">
      <c r="A28" s="20"/>
      <c r="B28" s="75"/>
      <c r="C28" s="75"/>
      <c r="D28" s="75"/>
      <c r="E28" s="75"/>
      <c r="F28" s="75"/>
    </row>
    <row r="29">
      <c r="A29" s="147"/>
      <c r="B29" s="127"/>
      <c r="C29" s="127"/>
      <c r="D29" s="127"/>
      <c r="E29" s="127"/>
      <c r="F29" s="127"/>
    </row>
    <row r="30">
      <c r="A30" s="147"/>
      <c r="B30" s="127"/>
      <c r="C30" s="127"/>
      <c r="D30" s="127"/>
      <c r="E30" s="127"/>
      <c r="F30" s="127"/>
    </row>
    <row r="31">
      <c r="A31" s="147"/>
      <c r="B31" s="127"/>
      <c r="C31" s="127"/>
      <c r="D31" s="127"/>
      <c r="E31" s="127"/>
      <c r="F31" s="127"/>
    </row>
    <row r="32">
      <c r="A32" s="147"/>
      <c r="B32" s="127"/>
      <c r="C32" s="127"/>
      <c r="D32" s="127"/>
      <c r="E32" s="127"/>
      <c r="F32" s="127"/>
    </row>
    <row r="33">
      <c r="A33" s="147"/>
      <c r="B33" s="127"/>
      <c r="C33" s="127"/>
      <c r="D33" s="127"/>
      <c r="E33" s="127"/>
      <c r="F33" s="127"/>
    </row>
    <row r="34">
      <c r="A34" s="147"/>
      <c r="B34" s="127"/>
      <c r="C34" s="127"/>
      <c r="D34" s="127"/>
      <c r="E34" s="127"/>
      <c r="F34" s="127"/>
    </row>
    <row r="35">
      <c r="A35" s="147"/>
      <c r="B35" s="127"/>
      <c r="C35" s="127"/>
      <c r="D35" s="127"/>
      <c r="E35" s="127"/>
      <c r="F35" s="127"/>
    </row>
    <row r="36">
      <c r="A36" s="147"/>
      <c r="B36" s="127"/>
      <c r="C36" s="127"/>
      <c r="D36" s="127"/>
      <c r="E36" s="127"/>
      <c r="F36" s="127"/>
    </row>
    <row r="37">
      <c r="A37" s="147"/>
      <c r="B37" s="127"/>
      <c r="C37" s="127"/>
      <c r="D37" s="127"/>
      <c r="E37" s="127"/>
      <c r="F37" s="127"/>
    </row>
    <row r="38">
      <c r="A38" s="147"/>
      <c r="B38" s="127"/>
      <c r="C38" s="127"/>
      <c r="D38" s="127"/>
      <c r="E38" s="127"/>
      <c r="F38" s="127"/>
    </row>
    <row r="39">
      <c r="A39" s="147"/>
      <c r="B39" s="127"/>
      <c r="C39" s="127"/>
      <c r="D39" s="127"/>
      <c r="E39" s="127"/>
      <c r="F39" s="127"/>
    </row>
    <row r="40">
      <c r="A40" s="147"/>
      <c r="B40" s="127"/>
      <c r="C40" s="127"/>
      <c r="D40" s="127"/>
      <c r="E40" s="127"/>
      <c r="F40" s="127"/>
    </row>
    <row r="41">
      <c r="A41" s="147"/>
      <c r="B41" s="127"/>
      <c r="C41" s="127"/>
      <c r="D41" s="127"/>
      <c r="E41" s="127"/>
      <c r="F41" s="127"/>
    </row>
    <row r="42">
      <c r="A42" s="147"/>
      <c r="B42" s="127"/>
      <c r="C42" s="127"/>
      <c r="D42" s="127"/>
      <c r="E42" s="127"/>
      <c r="F42" s="127"/>
    </row>
    <row r="43">
      <c r="A43" s="147"/>
      <c r="B43" s="127"/>
      <c r="C43" s="127"/>
      <c r="D43" s="127"/>
      <c r="E43" s="127"/>
      <c r="F43" s="127"/>
    </row>
    <row r="44">
      <c r="A44" s="147"/>
      <c r="B44" s="127"/>
      <c r="C44" s="127"/>
      <c r="D44" s="127"/>
      <c r="E44" s="127"/>
      <c r="F44" s="127"/>
    </row>
    <row r="45">
      <c r="A45" s="147"/>
      <c r="B45" s="127"/>
      <c r="C45" s="127"/>
      <c r="D45" s="127"/>
      <c r="E45" s="127"/>
      <c r="F45" s="127"/>
    </row>
    <row r="46">
      <c r="A46" s="147"/>
      <c r="B46" s="127"/>
      <c r="C46" s="127"/>
      <c r="D46" s="127"/>
      <c r="E46" s="127"/>
      <c r="F46" s="127"/>
    </row>
    <row r="47">
      <c r="A47" s="147"/>
      <c r="B47" s="127"/>
      <c r="C47" s="127"/>
      <c r="D47" s="127"/>
      <c r="E47" s="127"/>
      <c r="F47" s="127"/>
    </row>
    <row r="48">
      <c r="A48" s="147"/>
      <c r="B48" s="127"/>
      <c r="C48" s="127"/>
      <c r="D48" s="127"/>
      <c r="E48" s="127"/>
      <c r="F48" s="127"/>
    </row>
    <row r="49">
      <c r="A49" s="147"/>
      <c r="B49" s="127"/>
      <c r="C49" s="127"/>
      <c r="D49" s="127"/>
      <c r="E49" s="127"/>
      <c r="F49" s="127"/>
    </row>
    <row r="50">
      <c r="A50" s="147"/>
      <c r="B50" s="127"/>
      <c r="C50" s="127"/>
      <c r="D50" s="127"/>
      <c r="E50" s="127"/>
      <c r="F50" s="127"/>
    </row>
    <row r="51">
      <c r="A51" s="147"/>
      <c r="B51" s="127"/>
      <c r="C51" s="127"/>
      <c r="D51" s="127"/>
      <c r="E51" s="127"/>
      <c r="F51" s="127"/>
    </row>
    <row r="52">
      <c r="A52" s="147"/>
      <c r="B52" s="127"/>
      <c r="C52" s="127"/>
      <c r="D52" s="127"/>
      <c r="E52" s="127"/>
      <c r="F52" s="127"/>
    </row>
    <row r="53">
      <c r="A53" s="147"/>
      <c r="B53" s="127"/>
      <c r="C53" s="127"/>
      <c r="D53" s="127"/>
      <c r="E53" s="127"/>
      <c r="F53" s="127"/>
    </row>
    <row r="54">
      <c r="A54" s="147"/>
      <c r="B54" s="127"/>
      <c r="C54" s="127"/>
      <c r="D54" s="127"/>
      <c r="E54" s="127"/>
      <c r="F54" s="127"/>
    </row>
    <row r="55">
      <c r="A55" s="147"/>
      <c r="B55" s="127"/>
      <c r="C55" s="127"/>
      <c r="D55" s="127"/>
      <c r="E55" s="127"/>
      <c r="F55" s="127"/>
    </row>
    <row r="56">
      <c r="A56" s="147"/>
      <c r="B56" s="127"/>
      <c r="C56" s="127"/>
      <c r="D56" s="127"/>
      <c r="E56" s="127"/>
      <c r="F56" s="127"/>
    </row>
    <row r="57">
      <c r="A57" s="147"/>
      <c r="B57" s="127"/>
      <c r="C57" s="127"/>
      <c r="D57" s="127"/>
      <c r="E57" s="127"/>
      <c r="F57" s="127"/>
    </row>
    <row r="58">
      <c r="A58" s="147"/>
      <c r="B58" s="127"/>
      <c r="C58" s="127"/>
      <c r="D58" s="127"/>
      <c r="E58" s="127"/>
      <c r="F58" s="127"/>
    </row>
    <row r="59">
      <c r="A59" s="147"/>
      <c r="B59" s="127"/>
      <c r="C59" s="127"/>
      <c r="D59" s="127"/>
      <c r="E59" s="127"/>
      <c r="F59" s="127"/>
    </row>
    <row r="60">
      <c r="A60" s="147"/>
      <c r="B60" s="127"/>
      <c r="C60" s="127"/>
      <c r="D60" s="127"/>
      <c r="E60" s="127"/>
      <c r="F60" s="127"/>
    </row>
    <row r="61">
      <c r="A61" s="147"/>
      <c r="B61" s="127"/>
      <c r="C61" s="127"/>
      <c r="D61" s="127"/>
      <c r="E61" s="127"/>
      <c r="F61" s="127"/>
    </row>
    <row r="62">
      <c r="A62" s="147"/>
      <c r="B62" s="127"/>
      <c r="C62" s="127"/>
      <c r="D62" s="127"/>
      <c r="E62" s="127"/>
      <c r="F62" s="127"/>
    </row>
    <row r="63">
      <c r="A63" s="147"/>
      <c r="B63" s="127"/>
      <c r="C63" s="127"/>
      <c r="D63" s="127"/>
      <c r="E63" s="127"/>
      <c r="F63" s="127"/>
    </row>
    <row r="64">
      <c r="A64" s="147"/>
      <c r="B64" s="127"/>
      <c r="C64" s="127"/>
      <c r="D64" s="127"/>
      <c r="E64" s="127"/>
      <c r="F64" s="127"/>
    </row>
    <row r="65">
      <c r="A65" s="147"/>
      <c r="B65" s="127"/>
      <c r="C65" s="127"/>
      <c r="D65" s="127"/>
      <c r="E65" s="127"/>
      <c r="F65" s="127"/>
    </row>
    <row r="66">
      <c r="A66" s="147"/>
      <c r="B66" s="127"/>
      <c r="C66" s="127"/>
      <c r="D66" s="127"/>
      <c r="E66" s="127"/>
      <c r="F66" s="127"/>
    </row>
    <row r="67">
      <c r="A67" s="147"/>
      <c r="B67" s="127"/>
      <c r="C67" s="127"/>
      <c r="D67" s="127"/>
      <c r="E67" s="127"/>
      <c r="F67" s="127"/>
    </row>
    <row r="68">
      <c r="A68" s="147"/>
      <c r="B68" s="127"/>
      <c r="C68" s="127"/>
      <c r="D68" s="127"/>
      <c r="E68" s="127"/>
      <c r="F68" s="127"/>
    </row>
    <row r="69">
      <c r="A69" s="147"/>
      <c r="B69" s="127"/>
      <c r="C69" s="127"/>
      <c r="D69" s="127"/>
      <c r="E69" s="127"/>
      <c r="F69" s="127"/>
    </row>
    <row r="70">
      <c r="A70" s="147"/>
      <c r="B70" s="127"/>
      <c r="C70" s="127"/>
      <c r="D70" s="127"/>
      <c r="E70" s="127"/>
      <c r="F70" s="127"/>
    </row>
    <row r="71">
      <c r="A71" s="147"/>
      <c r="B71" s="127"/>
      <c r="C71" s="127"/>
      <c r="D71" s="127"/>
      <c r="E71" s="127"/>
      <c r="F71" s="127"/>
    </row>
    <row r="72">
      <c r="A72" s="147"/>
      <c r="B72" s="127"/>
      <c r="C72" s="127"/>
      <c r="D72" s="127"/>
      <c r="E72" s="127"/>
      <c r="F72" s="127"/>
    </row>
    <row r="73">
      <c r="A73" s="147"/>
      <c r="B73" s="127"/>
      <c r="C73" s="127"/>
      <c r="D73" s="127"/>
      <c r="E73" s="127"/>
      <c r="F73" s="127"/>
    </row>
    <row r="74">
      <c r="A74" s="147"/>
      <c r="B74" s="127"/>
      <c r="C74" s="127"/>
      <c r="D74" s="127"/>
      <c r="E74" s="127"/>
      <c r="F74" s="127"/>
    </row>
    <row r="75">
      <c r="A75" s="147"/>
      <c r="B75" s="127"/>
      <c r="C75" s="127"/>
      <c r="D75" s="127"/>
      <c r="E75" s="127"/>
      <c r="F75" s="127"/>
    </row>
    <row r="76">
      <c r="A76" s="147"/>
      <c r="B76" s="127"/>
      <c r="C76" s="127"/>
      <c r="D76" s="127"/>
      <c r="E76" s="127"/>
      <c r="F76" s="127"/>
    </row>
    <row r="77">
      <c r="A77" s="147"/>
      <c r="B77" s="127"/>
      <c r="C77" s="127"/>
      <c r="D77" s="127"/>
      <c r="E77" s="127"/>
      <c r="F77" s="127"/>
    </row>
    <row r="78">
      <c r="A78" s="147"/>
      <c r="B78" s="127"/>
      <c r="C78" s="127"/>
      <c r="D78" s="127"/>
      <c r="E78" s="127"/>
      <c r="F78" s="127"/>
    </row>
    <row r="79">
      <c r="A79" s="147"/>
      <c r="B79" s="127"/>
      <c r="C79" s="127"/>
      <c r="D79" s="127"/>
      <c r="E79" s="127"/>
      <c r="F79" s="127"/>
    </row>
    <row r="80">
      <c r="A80" s="147"/>
      <c r="B80" s="127"/>
      <c r="C80" s="127"/>
      <c r="D80" s="127"/>
      <c r="E80" s="127"/>
      <c r="F80" s="127"/>
    </row>
    <row r="81">
      <c r="A81" s="147"/>
      <c r="B81" s="127"/>
      <c r="C81" s="127"/>
      <c r="D81" s="127"/>
      <c r="E81" s="127"/>
      <c r="F81" s="127"/>
    </row>
    <row r="82">
      <c r="A82" s="147"/>
      <c r="B82" s="127"/>
      <c r="C82" s="127"/>
      <c r="D82" s="127"/>
      <c r="E82" s="127"/>
      <c r="F82" s="127"/>
    </row>
    <row r="83">
      <c r="A83" s="147"/>
      <c r="B83" s="127"/>
      <c r="C83" s="127"/>
      <c r="D83" s="127"/>
      <c r="E83" s="127"/>
      <c r="F83" s="127"/>
    </row>
    <row r="84">
      <c r="A84" s="147"/>
      <c r="B84" s="127"/>
      <c r="C84" s="127"/>
      <c r="D84" s="127"/>
      <c r="E84" s="127"/>
      <c r="F84" s="127"/>
    </row>
    <row r="85">
      <c r="A85" s="147"/>
      <c r="B85" s="127"/>
      <c r="C85" s="127"/>
      <c r="D85" s="127"/>
      <c r="E85" s="127"/>
      <c r="F85" s="127"/>
    </row>
    <row r="86">
      <c r="A86" s="147"/>
      <c r="B86" s="127"/>
      <c r="C86" s="127"/>
      <c r="D86" s="127"/>
      <c r="E86" s="127"/>
      <c r="F86" s="127"/>
    </row>
    <row r="87">
      <c r="A87" s="147"/>
      <c r="B87" s="127"/>
      <c r="C87" s="127"/>
      <c r="D87" s="127"/>
      <c r="E87" s="127"/>
      <c r="F87" s="127"/>
    </row>
    <row r="88">
      <c r="A88" s="147"/>
      <c r="B88" s="127"/>
      <c r="C88" s="127"/>
      <c r="D88" s="127"/>
      <c r="E88" s="127"/>
      <c r="F88" s="127"/>
    </row>
    <row r="89">
      <c r="A89" s="147"/>
      <c r="B89" s="127"/>
      <c r="C89" s="127"/>
      <c r="D89" s="127"/>
      <c r="E89" s="127"/>
      <c r="F89" s="127"/>
    </row>
    <row r="90">
      <c r="A90" s="147"/>
      <c r="B90" s="127"/>
      <c r="C90" s="127"/>
      <c r="D90" s="127"/>
      <c r="E90" s="127"/>
      <c r="F90" s="127"/>
    </row>
    <row r="91">
      <c r="A91" s="147"/>
      <c r="B91" s="127"/>
      <c r="C91" s="127"/>
      <c r="D91" s="127"/>
      <c r="E91" s="127"/>
      <c r="F91" s="127"/>
    </row>
    <row r="92">
      <c r="A92" s="147"/>
      <c r="B92" s="127"/>
      <c r="C92" s="127"/>
      <c r="D92" s="127"/>
      <c r="E92" s="127"/>
      <c r="F92" s="127"/>
    </row>
    <row r="93">
      <c r="A93" s="147"/>
      <c r="B93" s="127"/>
      <c r="C93" s="127"/>
      <c r="D93" s="127"/>
      <c r="E93" s="127"/>
      <c r="F93" s="127"/>
    </row>
    <row r="94">
      <c r="A94" s="147"/>
      <c r="B94" s="127"/>
      <c r="C94" s="127"/>
      <c r="D94" s="127"/>
      <c r="E94" s="127"/>
      <c r="F94" s="127"/>
    </row>
    <row r="95">
      <c r="A95" s="147"/>
      <c r="B95" s="127"/>
      <c r="C95" s="127"/>
      <c r="D95" s="127"/>
      <c r="E95" s="127"/>
      <c r="F95" s="127"/>
    </row>
    <row r="96">
      <c r="A96" s="147"/>
      <c r="B96" s="127"/>
      <c r="C96" s="127"/>
      <c r="D96" s="127"/>
      <c r="E96" s="127"/>
      <c r="F96" s="127"/>
    </row>
    <row r="97">
      <c r="A97" s="147"/>
      <c r="B97" s="127"/>
      <c r="C97" s="127"/>
      <c r="D97" s="127"/>
      <c r="E97" s="127"/>
      <c r="F97" s="127"/>
    </row>
    <row r="98">
      <c r="A98" s="147"/>
      <c r="B98" s="127"/>
      <c r="C98" s="127"/>
      <c r="D98" s="127"/>
      <c r="E98" s="127"/>
      <c r="F98" s="127"/>
    </row>
    <row r="99">
      <c r="A99" s="147"/>
      <c r="B99" s="127"/>
      <c r="C99" s="127"/>
      <c r="D99" s="127"/>
      <c r="E99" s="127"/>
      <c r="F99" s="127"/>
    </row>
    <row r="100">
      <c r="A100" s="147"/>
      <c r="B100" s="127"/>
      <c r="C100" s="127"/>
      <c r="D100" s="127"/>
      <c r="E100" s="127"/>
      <c r="F100" s="127"/>
    </row>
    <row r="101">
      <c r="A101" s="147"/>
      <c r="B101" s="127"/>
      <c r="C101" s="127"/>
      <c r="D101" s="127"/>
      <c r="E101" s="127"/>
      <c r="F101" s="127"/>
    </row>
    <row r="102">
      <c r="A102" s="147"/>
      <c r="B102" s="127"/>
      <c r="C102" s="127"/>
      <c r="D102" s="127"/>
      <c r="E102" s="127"/>
      <c r="F102" s="127"/>
    </row>
    <row r="103">
      <c r="A103" s="147"/>
      <c r="B103" s="127"/>
      <c r="C103" s="127"/>
      <c r="D103" s="127"/>
      <c r="E103" s="127"/>
      <c r="F103" s="127"/>
    </row>
    <row r="104">
      <c r="A104" s="147"/>
      <c r="B104" s="127"/>
      <c r="C104" s="127"/>
      <c r="D104" s="127"/>
      <c r="E104" s="127"/>
      <c r="F104" s="127"/>
    </row>
    <row r="105">
      <c r="A105" s="147"/>
      <c r="B105" s="127"/>
      <c r="C105" s="127"/>
      <c r="D105" s="127"/>
      <c r="E105" s="127"/>
      <c r="F105" s="127"/>
    </row>
    <row r="106">
      <c r="A106" s="147"/>
      <c r="B106" s="127"/>
      <c r="C106" s="127"/>
      <c r="D106" s="127"/>
      <c r="E106" s="127"/>
      <c r="F106" s="127"/>
    </row>
    <row r="107">
      <c r="A107" s="147"/>
      <c r="B107" s="127"/>
      <c r="C107" s="127"/>
      <c r="D107" s="127"/>
      <c r="E107" s="127"/>
      <c r="F107" s="127"/>
    </row>
    <row r="108">
      <c r="A108" s="147"/>
      <c r="B108" s="127"/>
      <c r="C108" s="127"/>
      <c r="D108" s="127"/>
      <c r="E108" s="127"/>
      <c r="F108" s="127"/>
    </row>
    <row r="109">
      <c r="A109" s="147"/>
      <c r="B109" s="127"/>
      <c r="C109" s="127"/>
      <c r="D109" s="127"/>
      <c r="E109" s="127"/>
      <c r="F109" s="127"/>
    </row>
    <row r="110">
      <c r="A110" s="147"/>
      <c r="B110" s="127"/>
      <c r="C110" s="127"/>
      <c r="D110" s="127"/>
      <c r="E110" s="127"/>
      <c r="F110" s="127"/>
    </row>
    <row r="111">
      <c r="A111" s="147"/>
      <c r="B111" s="127"/>
      <c r="C111" s="127"/>
      <c r="D111" s="127"/>
      <c r="E111" s="127"/>
      <c r="F111" s="127"/>
    </row>
    <row r="112">
      <c r="A112" s="147"/>
      <c r="B112" s="127"/>
      <c r="C112" s="127"/>
      <c r="D112" s="127"/>
      <c r="E112" s="127"/>
      <c r="F112" s="127"/>
    </row>
    <row r="113">
      <c r="A113" s="147"/>
      <c r="B113" s="127"/>
      <c r="C113" s="127"/>
      <c r="D113" s="127"/>
      <c r="E113" s="127"/>
      <c r="F113" s="127"/>
    </row>
    <row r="114">
      <c r="A114" s="147"/>
      <c r="B114" s="127"/>
      <c r="C114" s="127"/>
      <c r="D114" s="127"/>
      <c r="E114" s="127"/>
      <c r="F114" s="127"/>
    </row>
    <row r="115">
      <c r="A115" s="147"/>
      <c r="B115" s="127"/>
      <c r="C115" s="127"/>
      <c r="D115" s="127"/>
      <c r="E115" s="127"/>
      <c r="F115" s="127"/>
    </row>
    <row r="116">
      <c r="A116" s="147"/>
      <c r="B116" s="127"/>
      <c r="C116" s="127"/>
      <c r="D116" s="127"/>
      <c r="E116" s="127"/>
      <c r="F116" s="127"/>
    </row>
    <row r="117">
      <c r="A117" s="147"/>
      <c r="B117" s="127"/>
      <c r="C117" s="127"/>
      <c r="D117" s="127"/>
      <c r="E117" s="127"/>
      <c r="F117" s="127"/>
    </row>
    <row r="118">
      <c r="A118" s="147"/>
      <c r="B118" s="127"/>
      <c r="C118" s="127"/>
      <c r="D118" s="127"/>
      <c r="E118" s="127"/>
      <c r="F118" s="127"/>
    </row>
    <row r="119">
      <c r="A119" s="147"/>
      <c r="B119" s="127"/>
      <c r="C119" s="127"/>
      <c r="D119" s="127"/>
      <c r="E119" s="127"/>
      <c r="F119" s="127"/>
    </row>
    <row r="120">
      <c r="A120" s="147"/>
      <c r="B120" s="127"/>
      <c r="C120" s="127"/>
      <c r="D120" s="127"/>
      <c r="E120" s="127"/>
      <c r="F120" s="127"/>
    </row>
    <row r="121">
      <c r="A121" s="147"/>
      <c r="B121" s="127"/>
      <c r="C121" s="127"/>
      <c r="D121" s="127"/>
      <c r="E121" s="127"/>
      <c r="F121" s="127"/>
    </row>
    <row r="122">
      <c r="A122" s="147"/>
      <c r="B122" s="127"/>
      <c r="C122" s="127"/>
      <c r="D122" s="127"/>
      <c r="E122" s="127"/>
      <c r="F122" s="127"/>
    </row>
    <row r="123">
      <c r="A123" s="147"/>
      <c r="B123" s="127"/>
      <c r="C123" s="127"/>
      <c r="D123" s="127"/>
      <c r="E123" s="127"/>
      <c r="F123" s="127"/>
    </row>
    <row r="124">
      <c r="A124" s="147"/>
      <c r="B124" s="127"/>
      <c r="C124" s="127"/>
      <c r="D124" s="127"/>
      <c r="E124" s="127"/>
      <c r="F124" s="127"/>
    </row>
    <row r="125">
      <c r="A125" s="147"/>
      <c r="B125" s="127"/>
      <c r="C125" s="127"/>
      <c r="D125" s="127"/>
      <c r="E125" s="127"/>
      <c r="F125" s="127"/>
    </row>
    <row r="126">
      <c r="A126" s="147"/>
      <c r="B126" s="127"/>
      <c r="C126" s="127"/>
      <c r="D126" s="127"/>
      <c r="E126" s="127"/>
      <c r="F126" s="127"/>
    </row>
    <row r="127">
      <c r="A127" s="147"/>
      <c r="B127" s="127"/>
      <c r="C127" s="127"/>
      <c r="D127" s="127"/>
      <c r="E127" s="127"/>
      <c r="F127" s="127"/>
    </row>
    <row r="128">
      <c r="A128" s="147"/>
      <c r="B128" s="127"/>
      <c r="C128" s="127"/>
      <c r="D128" s="127"/>
      <c r="E128" s="127"/>
      <c r="F128" s="127"/>
    </row>
    <row r="129">
      <c r="A129" s="147"/>
      <c r="B129" s="127"/>
      <c r="C129" s="127"/>
      <c r="D129" s="127"/>
      <c r="E129" s="127"/>
      <c r="F129" s="127"/>
    </row>
    <row r="130">
      <c r="A130" s="147"/>
      <c r="B130" s="127"/>
      <c r="C130" s="127"/>
      <c r="D130" s="127"/>
      <c r="E130" s="127"/>
      <c r="F130" s="127"/>
    </row>
    <row r="131">
      <c r="A131" s="147"/>
      <c r="B131" s="127"/>
      <c r="C131" s="127"/>
      <c r="D131" s="127"/>
      <c r="E131" s="127"/>
      <c r="F131" s="127"/>
    </row>
    <row r="132">
      <c r="A132" s="147"/>
      <c r="B132" s="127"/>
      <c r="C132" s="127"/>
      <c r="D132" s="127"/>
      <c r="E132" s="127"/>
      <c r="F132" s="127"/>
    </row>
    <row r="133">
      <c r="A133" s="147"/>
      <c r="B133" s="127"/>
      <c r="C133" s="127"/>
      <c r="D133" s="127"/>
      <c r="E133" s="127"/>
      <c r="F133" s="127"/>
    </row>
    <row r="134">
      <c r="A134" s="147"/>
      <c r="B134" s="127"/>
      <c r="C134" s="127"/>
      <c r="D134" s="127"/>
      <c r="E134" s="127"/>
      <c r="F134" s="127"/>
    </row>
    <row r="135">
      <c r="A135" s="147"/>
      <c r="B135" s="127"/>
      <c r="C135" s="127"/>
      <c r="D135" s="127"/>
      <c r="E135" s="127"/>
      <c r="F135" s="127"/>
    </row>
    <row r="136">
      <c r="A136" s="147"/>
      <c r="B136" s="127"/>
      <c r="C136" s="127"/>
      <c r="D136" s="127"/>
      <c r="E136" s="127"/>
      <c r="F136" s="127"/>
    </row>
    <row r="137">
      <c r="A137" s="147"/>
      <c r="B137" s="127"/>
      <c r="C137" s="127"/>
      <c r="D137" s="127"/>
      <c r="E137" s="127"/>
      <c r="F137" s="127"/>
    </row>
    <row r="138">
      <c r="A138" s="147"/>
      <c r="B138" s="127"/>
      <c r="C138" s="127"/>
      <c r="D138" s="127"/>
      <c r="E138" s="127"/>
      <c r="F138" s="127"/>
    </row>
    <row r="139">
      <c r="A139" s="147"/>
      <c r="B139" s="127"/>
      <c r="C139" s="127"/>
      <c r="D139" s="127"/>
      <c r="E139" s="127"/>
      <c r="F139" s="127"/>
    </row>
    <row r="140">
      <c r="A140" s="147"/>
      <c r="B140" s="127"/>
      <c r="C140" s="127"/>
      <c r="D140" s="127"/>
      <c r="E140" s="127"/>
      <c r="F140" s="127"/>
    </row>
    <row r="141">
      <c r="A141" s="147"/>
      <c r="B141" s="127"/>
      <c r="C141" s="127"/>
      <c r="D141" s="127"/>
      <c r="E141" s="127"/>
      <c r="F141" s="127"/>
    </row>
    <row r="142">
      <c r="A142" s="147"/>
      <c r="B142" s="127"/>
      <c r="C142" s="127"/>
      <c r="D142" s="127"/>
      <c r="E142" s="127"/>
      <c r="F142" s="127"/>
    </row>
    <row r="143">
      <c r="A143" s="147"/>
      <c r="B143" s="127"/>
      <c r="C143" s="127"/>
      <c r="D143" s="127"/>
      <c r="E143" s="127"/>
      <c r="F143" s="127"/>
    </row>
    <row r="144">
      <c r="A144" s="147"/>
      <c r="B144" s="127"/>
      <c r="C144" s="127"/>
      <c r="D144" s="127"/>
      <c r="E144" s="127"/>
      <c r="F144" s="127"/>
    </row>
    <row r="145">
      <c r="A145" s="147"/>
      <c r="B145" s="127"/>
      <c r="C145" s="127"/>
      <c r="D145" s="127"/>
      <c r="E145" s="127"/>
      <c r="F145" s="127"/>
    </row>
    <row r="146">
      <c r="A146" s="147"/>
      <c r="B146" s="127"/>
      <c r="C146" s="127"/>
      <c r="D146" s="127"/>
      <c r="E146" s="127"/>
      <c r="F146" s="127"/>
    </row>
    <row r="147">
      <c r="A147" s="147"/>
      <c r="B147" s="127"/>
      <c r="C147" s="127"/>
      <c r="D147" s="127"/>
      <c r="E147" s="127"/>
      <c r="F147" s="127"/>
    </row>
    <row r="148">
      <c r="A148" s="147"/>
      <c r="B148" s="127"/>
      <c r="C148" s="127"/>
      <c r="D148" s="127"/>
      <c r="E148" s="127"/>
      <c r="F148" s="127"/>
    </row>
    <row r="149">
      <c r="A149" s="147"/>
      <c r="B149" s="127"/>
      <c r="C149" s="127"/>
      <c r="D149" s="127"/>
      <c r="E149" s="127"/>
      <c r="F149" s="127"/>
    </row>
    <row r="150">
      <c r="A150" s="147"/>
      <c r="B150" s="127"/>
      <c r="C150" s="127"/>
      <c r="D150" s="127"/>
      <c r="E150" s="127"/>
      <c r="F150" s="127"/>
    </row>
    <row r="151">
      <c r="A151" s="147"/>
      <c r="B151" s="127"/>
      <c r="C151" s="127"/>
      <c r="D151" s="127"/>
      <c r="E151" s="127"/>
      <c r="F151" s="127"/>
    </row>
    <row r="152">
      <c r="A152" s="147"/>
      <c r="B152" s="127"/>
      <c r="C152" s="127"/>
      <c r="D152" s="127"/>
      <c r="E152" s="127"/>
      <c r="F152" s="127"/>
    </row>
    <row r="153">
      <c r="A153" s="147"/>
      <c r="B153" s="127"/>
      <c r="C153" s="127"/>
      <c r="D153" s="127"/>
      <c r="E153" s="127"/>
      <c r="F153" s="127"/>
    </row>
    <row r="154">
      <c r="A154" s="147"/>
      <c r="B154" s="127"/>
      <c r="C154" s="127"/>
      <c r="D154" s="127"/>
      <c r="E154" s="127"/>
      <c r="F154" s="127"/>
    </row>
    <row r="155">
      <c r="A155" s="147"/>
      <c r="B155" s="127"/>
      <c r="C155" s="127"/>
      <c r="D155" s="127"/>
      <c r="E155" s="127"/>
      <c r="F155" s="127"/>
    </row>
    <row r="156">
      <c r="A156" s="147"/>
      <c r="B156" s="127"/>
      <c r="C156" s="127"/>
      <c r="D156" s="127"/>
      <c r="E156" s="127"/>
      <c r="F156" s="127"/>
    </row>
    <row r="157">
      <c r="A157" s="147"/>
      <c r="B157" s="127"/>
      <c r="C157" s="127"/>
      <c r="D157" s="127"/>
      <c r="E157" s="127"/>
      <c r="F157" s="127"/>
    </row>
    <row r="158">
      <c r="A158" s="147"/>
      <c r="B158" s="127"/>
      <c r="C158" s="127"/>
      <c r="D158" s="127"/>
      <c r="E158" s="127"/>
      <c r="F158" s="127"/>
    </row>
    <row r="159">
      <c r="A159" s="147"/>
      <c r="B159" s="127"/>
      <c r="C159" s="127"/>
      <c r="D159" s="127"/>
      <c r="E159" s="127"/>
      <c r="F159" s="127"/>
    </row>
    <row r="160">
      <c r="A160" s="147"/>
      <c r="B160" s="127"/>
      <c r="C160" s="127"/>
      <c r="D160" s="127"/>
      <c r="E160" s="127"/>
      <c r="F160" s="127"/>
    </row>
    <row r="161">
      <c r="A161" s="147"/>
      <c r="B161" s="127"/>
      <c r="C161" s="127"/>
      <c r="D161" s="127"/>
      <c r="E161" s="127"/>
      <c r="F161" s="127"/>
    </row>
    <row r="162">
      <c r="A162" s="147"/>
      <c r="B162" s="127"/>
      <c r="C162" s="127"/>
      <c r="D162" s="127"/>
      <c r="E162" s="127"/>
      <c r="F162" s="127"/>
    </row>
    <row r="163">
      <c r="A163" s="147"/>
      <c r="B163" s="127"/>
      <c r="C163" s="127"/>
      <c r="D163" s="127"/>
      <c r="E163" s="127"/>
      <c r="F163" s="127"/>
    </row>
    <row r="164">
      <c r="A164" s="147"/>
      <c r="B164" s="127"/>
      <c r="C164" s="127"/>
      <c r="D164" s="127"/>
      <c r="E164" s="127"/>
      <c r="F164" s="127"/>
    </row>
    <row r="165">
      <c r="A165" s="147"/>
      <c r="B165" s="127"/>
      <c r="C165" s="127"/>
      <c r="D165" s="127"/>
      <c r="E165" s="127"/>
      <c r="F165" s="127"/>
    </row>
    <row r="166">
      <c r="A166" s="147"/>
      <c r="B166" s="127"/>
      <c r="C166" s="127"/>
      <c r="D166" s="127"/>
      <c r="E166" s="127"/>
      <c r="F166" s="127"/>
    </row>
    <row r="167">
      <c r="A167" s="147"/>
      <c r="B167" s="127"/>
      <c r="C167" s="127"/>
      <c r="D167" s="127"/>
      <c r="E167" s="127"/>
      <c r="F167" s="127"/>
    </row>
    <row r="168">
      <c r="A168" s="147"/>
      <c r="B168" s="127"/>
      <c r="C168" s="127"/>
      <c r="D168" s="127"/>
      <c r="E168" s="127"/>
      <c r="F168" s="127"/>
    </row>
    <row r="169">
      <c r="A169" s="147"/>
      <c r="B169" s="127"/>
      <c r="C169" s="127"/>
      <c r="D169" s="127"/>
      <c r="E169" s="127"/>
      <c r="F169" s="127"/>
    </row>
    <row r="170">
      <c r="A170" s="147"/>
      <c r="B170" s="127"/>
      <c r="C170" s="127"/>
      <c r="D170" s="127"/>
      <c r="E170" s="127"/>
      <c r="F170" s="127"/>
    </row>
    <row r="171">
      <c r="A171" s="147"/>
      <c r="B171" s="127"/>
      <c r="C171" s="127"/>
      <c r="D171" s="127"/>
      <c r="E171" s="127"/>
      <c r="F171" s="127"/>
    </row>
    <row r="172">
      <c r="A172" s="147"/>
      <c r="B172" s="127"/>
      <c r="C172" s="127"/>
      <c r="D172" s="127"/>
      <c r="E172" s="127"/>
      <c r="F172" s="127"/>
    </row>
    <row r="173">
      <c r="A173" s="147"/>
      <c r="B173" s="127"/>
      <c r="C173" s="127"/>
      <c r="D173" s="127"/>
      <c r="E173" s="127"/>
      <c r="F173" s="127"/>
    </row>
    <row r="174">
      <c r="A174" s="147"/>
      <c r="B174" s="127"/>
      <c r="C174" s="127"/>
      <c r="D174" s="127"/>
      <c r="E174" s="127"/>
      <c r="F174" s="127"/>
    </row>
    <row r="175">
      <c r="A175" s="147"/>
      <c r="B175" s="127"/>
      <c r="C175" s="127"/>
      <c r="D175" s="127"/>
      <c r="E175" s="127"/>
      <c r="F175" s="127"/>
    </row>
    <row r="176">
      <c r="A176" s="147"/>
      <c r="B176" s="127"/>
      <c r="C176" s="127"/>
      <c r="D176" s="127"/>
      <c r="E176" s="127"/>
      <c r="F176" s="127"/>
    </row>
    <row r="177">
      <c r="A177" s="147"/>
      <c r="B177" s="127"/>
      <c r="C177" s="127"/>
      <c r="D177" s="127"/>
      <c r="E177" s="127"/>
      <c r="F177" s="127"/>
    </row>
    <row r="178">
      <c r="A178" s="147"/>
      <c r="B178" s="127"/>
      <c r="C178" s="127"/>
      <c r="D178" s="127"/>
      <c r="E178" s="127"/>
      <c r="F178" s="127"/>
    </row>
    <row r="179">
      <c r="A179" s="147"/>
      <c r="B179" s="127"/>
      <c r="C179" s="127"/>
      <c r="D179" s="127"/>
      <c r="E179" s="127"/>
      <c r="F179" s="127"/>
    </row>
    <row r="180">
      <c r="A180" s="147"/>
      <c r="B180" s="127"/>
      <c r="C180" s="127"/>
      <c r="D180" s="127"/>
      <c r="E180" s="127"/>
      <c r="F180" s="127"/>
    </row>
    <row r="181">
      <c r="A181" s="147"/>
      <c r="B181" s="127"/>
      <c r="C181" s="127"/>
      <c r="D181" s="127"/>
      <c r="E181" s="127"/>
      <c r="F181" s="127"/>
    </row>
    <row r="182">
      <c r="A182" s="147"/>
      <c r="B182" s="127"/>
      <c r="C182" s="127"/>
      <c r="D182" s="127"/>
      <c r="E182" s="127"/>
      <c r="F182" s="127"/>
    </row>
    <row r="183">
      <c r="A183" s="147"/>
      <c r="B183" s="127"/>
      <c r="C183" s="127"/>
      <c r="D183" s="127"/>
      <c r="E183" s="127"/>
      <c r="F183" s="127"/>
    </row>
    <row r="184">
      <c r="A184" s="147"/>
      <c r="B184" s="127"/>
      <c r="C184" s="127"/>
      <c r="D184" s="127"/>
      <c r="E184" s="127"/>
      <c r="F184" s="127"/>
    </row>
    <row r="185">
      <c r="A185" s="147"/>
      <c r="B185" s="127"/>
      <c r="C185" s="127"/>
      <c r="D185" s="127"/>
      <c r="E185" s="127"/>
      <c r="F185" s="127"/>
    </row>
    <row r="186">
      <c r="A186" s="147"/>
      <c r="B186" s="127"/>
      <c r="C186" s="127"/>
      <c r="D186" s="127"/>
      <c r="E186" s="127"/>
      <c r="F186" s="127"/>
    </row>
    <row r="187">
      <c r="A187" s="147"/>
      <c r="B187" s="127"/>
      <c r="C187" s="127"/>
      <c r="D187" s="127"/>
      <c r="E187" s="127"/>
      <c r="F187" s="127"/>
    </row>
    <row r="188">
      <c r="A188" s="147"/>
      <c r="B188" s="127"/>
      <c r="C188" s="127"/>
      <c r="D188" s="127"/>
      <c r="E188" s="127"/>
      <c r="F188" s="127"/>
    </row>
    <row r="189">
      <c r="A189" s="147"/>
      <c r="B189" s="127"/>
      <c r="C189" s="127"/>
      <c r="D189" s="127"/>
      <c r="E189" s="127"/>
      <c r="F189" s="127"/>
    </row>
    <row r="190">
      <c r="A190" s="147"/>
      <c r="B190" s="127"/>
      <c r="C190" s="127"/>
      <c r="D190" s="127"/>
      <c r="E190" s="127"/>
      <c r="F190" s="127"/>
    </row>
    <row r="191">
      <c r="A191" s="147"/>
      <c r="B191" s="127"/>
      <c r="C191" s="127"/>
      <c r="D191" s="127"/>
      <c r="E191" s="127"/>
      <c r="F191" s="127"/>
    </row>
    <row r="192">
      <c r="A192" s="147"/>
      <c r="B192" s="127"/>
      <c r="C192" s="127"/>
      <c r="D192" s="127"/>
      <c r="E192" s="127"/>
      <c r="F192" s="127"/>
    </row>
    <row r="193">
      <c r="A193" s="147"/>
      <c r="B193" s="127"/>
      <c r="C193" s="127"/>
      <c r="D193" s="127"/>
      <c r="E193" s="127"/>
      <c r="F193" s="127"/>
    </row>
    <row r="194">
      <c r="A194" s="147"/>
      <c r="B194" s="127"/>
      <c r="C194" s="127"/>
      <c r="D194" s="127"/>
      <c r="E194" s="127"/>
      <c r="F194" s="127"/>
    </row>
    <row r="195">
      <c r="A195" s="147"/>
      <c r="B195" s="127"/>
      <c r="C195" s="127"/>
      <c r="D195" s="127"/>
      <c r="E195" s="127"/>
      <c r="F195" s="127"/>
    </row>
    <row r="196">
      <c r="A196" s="147"/>
      <c r="B196" s="127"/>
      <c r="C196" s="127"/>
      <c r="D196" s="127"/>
      <c r="E196" s="127"/>
      <c r="F196" s="127"/>
    </row>
    <row r="197">
      <c r="A197" s="147"/>
      <c r="B197" s="127"/>
      <c r="C197" s="127"/>
      <c r="D197" s="127"/>
      <c r="E197" s="127"/>
      <c r="F197" s="127"/>
    </row>
    <row r="198">
      <c r="A198" s="147"/>
      <c r="B198" s="127"/>
      <c r="C198" s="127"/>
      <c r="D198" s="127"/>
      <c r="E198" s="127"/>
      <c r="F198" s="127"/>
    </row>
    <row r="199">
      <c r="A199" s="147"/>
      <c r="B199" s="127"/>
      <c r="C199" s="127"/>
      <c r="D199" s="127"/>
      <c r="E199" s="127"/>
      <c r="F199" s="127"/>
    </row>
    <row r="200">
      <c r="A200" s="147"/>
      <c r="B200" s="127"/>
      <c r="C200" s="127"/>
      <c r="D200" s="127"/>
      <c r="E200" s="127"/>
      <c r="F200" s="127"/>
    </row>
    <row r="201">
      <c r="A201" s="147"/>
      <c r="B201" s="127"/>
      <c r="C201" s="127"/>
      <c r="D201" s="127"/>
      <c r="E201" s="127"/>
      <c r="F201" s="127"/>
    </row>
    <row r="202">
      <c r="A202" s="147"/>
      <c r="B202" s="127"/>
      <c r="C202" s="127"/>
      <c r="D202" s="127"/>
      <c r="E202" s="127"/>
      <c r="F202" s="127"/>
    </row>
    <row r="203">
      <c r="A203" s="147"/>
      <c r="B203" s="127"/>
      <c r="C203" s="127"/>
      <c r="D203" s="127"/>
      <c r="E203" s="127"/>
      <c r="F203" s="127"/>
    </row>
    <row r="204">
      <c r="A204" s="147"/>
      <c r="B204" s="127"/>
      <c r="C204" s="127"/>
      <c r="D204" s="127"/>
      <c r="E204" s="127"/>
      <c r="F204" s="127"/>
    </row>
    <row r="205">
      <c r="A205" s="147"/>
      <c r="B205" s="127"/>
      <c r="C205" s="127"/>
      <c r="D205" s="127"/>
      <c r="E205" s="127"/>
      <c r="F205" s="127"/>
    </row>
    <row r="206">
      <c r="A206" s="147"/>
      <c r="B206" s="127"/>
      <c r="C206" s="127"/>
      <c r="D206" s="127"/>
      <c r="E206" s="127"/>
      <c r="F206" s="127"/>
    </row>
    <row r="207">
      <c r="A207" s="147"/>
      <c r="B207" s="127"/>
      <c r="C207" s="127"/>
      <c r="D207" s="127"/>
      <c r="E207" s="127"/>
      <c r="F207" s="127"/>
    </row>
    <row r="208">
      <c r="A208" s="147"/>
      <c r="B208" s="127"/>
      <c r="C208" s="127"/>
      <c r="D208" s="127"/>
      <c r="E208" s="127"/>
      <c r="F208" s="127"/>
    </row>
    <row r="209">
      <c r="A209" s="147"/>
      <c r="B209" s="127"/>
      <c r="C209" s="127"/>
      <c r="D209" s="127"/>
      <c r="E209" s="127"/>
      <c r="F209" s="127"/>
    </row>
    <row r="210">
      <c r="A210" s="147"/>
      <c r="B210" s="127"/>
      <c r="C210" s="127"/>
      <c r="D210" s="127"/>
      <c r="E210" s="127"/>
      <c r="F210" s="127"/>
    </row>
    <row r="211">
      <c r="A211" s="147"/>
      <c r="B211" s="127"/>
      <c r="C211" s="127"/>
      <c r="D211" s="127"/>
      <c r="E211" s="127"/>
      <c r="F211" s="127"/>
    </row>
    <row r="212">
      <c r="A212" s="147"/>
      <c r="B212" s="127"/>
      <c r="C212" s="127"/>
      <c r="D212" s="127"/>
      <c r="E212" s="127"/>
      <c r="F212" s="127"/>
    </row>
    <row r="213">
      <c r="A213" s="147"/>
      <c r="B213" s="127"/>
      <c r="C213" s="127"/>
      <c r="D213" s="127"/>
      <c r="E213" s="127"/>
      <c r="F213" s="127"/>
    </row>
    <row r="214">
      <c r="A214" s="147"/>
      <c r="B214" s="127"/>
      <c r="C214" s="127"/>
      <c r="D214" s="127"/>
      <c r="E214" s="127"/>
      <c r="F214" s="127"/>
    </row>
    <row r="215">
      <c r="A215" s="147"/>
      <c r="B215" s="127"/>
      <c r="C215" s="127"/>
      <c r="D215" s="127"/>
      <c r="E215" s="127"/>
      <c r="F215" s="127"/>
    </row>
    <row r="216">
      <c r="A216" s="147"/>
      <c r="B216" s="127"/>
      <c r="C216" s="127"/>
      <c r="D216" s="127"/>
      <c r="E216" s="127"/>
      <c r="F216" s="127"/>
    </row>
    <row r="217">
      <c r="A217" s="147"/>
      <c r="B217" s="127"/>
      <c r="C217" s="127"/>
      <c r="D217" s="127"/>
      <c r="E217" s="127"/>
      <c r="F217" s="127"/>
    </row>
    <row r="218">
      <c r="A218" s="147"/>
      <c r="B218" s="127"/>
      <c r="C218" s="127"/>
      <c r="D218" s="127"/>
      <c r="E218" s="127"/>
      <c r="F218" s="127"/>
    </row>
    <row r="219">
      <c r="A219" s="147"/>
      <c r="B219" s="127"/>
      <c r="C219" s="127"/>
      <c r="D219" s="127"/>
      <c r="E219" s="127"/>
      <c r="F219" s="127"/>
    </row>
    <row r="220">
      <c r="A220" s="147"/>
      <c r="B220" s="127"/>
      <c r="C220" s="127"/>
      <c r="D220" s="127"/>
      <c r="E220" s="127"/>
      <c r="F220" s="127"/>
    </row>
    <row r="221">
      <c r="A221" s="147"/>
      <c r="B221" s="127"/>
      <c r="C221" s="127"/>
      <c r="D221" s="127"/>
      <c r="E221" s="127"/>
      <c r="F221" s="127"/>
    </row>
    <row r="222">
      <c r="A222" s="147"/>
      <c r="B222" s="127"/>
      <c r="C222" s="127"/>
      <c r="D222" s="127"/>
      <c r="E222" s="127"/>
      <c r="F222" s="127"/>
    </row>
    <row r="223">
      <c r="A223" s="147"/>
      <c r="B223" s="127"/>
      <c r="C223" s="127"/>
      <c r="D223" s="127"/>
      <c r="E223" s="127"/>
      <c r="F223" s="127"/>
    </row>
    <row r="224">
      <c r="A224" s="147"/>
      <c r="B224" s="127"/>
      <c r="C224" s="127"/>
      <c r="D224" s="127"/>
      <c r="E224" s="127"/>
      <c r="F224" s="127"/>
    </row>
    <row r="225">
      <c r="A225" s="147"/>
      <c r="B225" s="127"/>
      <c r="C225" s="127"/>
      <c r="D225" s="127"/>
      <c r="E225" s="127"/>
      <c r="F225" s="127"/>
    </row>
    <row r="226">
      <c r="A226" s="147"/>
      <c r="B226" s="127"/>
      <c r="C226" s="127"/>
      <c r="D226" s="127"/>
      <c r="E226" s="127"/>
      <c r="F226" s="127"/>
    </row>
    <row r="227">
      <c r="A227" s="147"/>
      <c r="B227" s="127"/>
      <c r="C227" s="127"/>
      <c r="D227" s="127"/>
      <c r="E227" s="127"/>
      <c r="F227" s="127"/>
    </row>
    <row r="228">
      <c r="A228" s="147"/>
      <c r="B228" s="127"/>
      <c r="C228" s="127"/>
      <c r="D228" s="127"/>
      <c r="E228" s="127"/>
      <c r="F228" s="127"/>
    </row>
    <row r="229">
      <c r="A229" s="147"/>
      <c r="B229" s="127"/>
      <c r="C229" s="127"/>
      <c r="D229" s="127"/>
      <c r="E229" s="127"/>
      <c r="F229" s="127"/>
    </row>
    <row r="230">
      <c r="A230" s="147"/>
      <c r="B230" s="127"/>
      <c r="C230" s="127"/>
      <c r="D230" s="127"/>
      <c r="E230" s="127"/>
      <c r="F230" s="127"/>
    </row>
    <row r="231">
      <c r="A231" s="147"/>
      <c r="B231" s="127"/>
      <c r="C231" s="127"/>
      <c r="D231" s="127"/>
      <c r="E231" s="127"/>
      <c r="F231" s="127"/>
    </row>
    <row r="232">
      <c r="A232" s="147"/>
      <c r="B232" s="127"/>
      <c r="C232" s="127"/>
      <c r="D232" s="127"/>
      <c r="E232" s="127"/>
      <c r="F232" s="127"/>
    </row>
    <row r="233">
      <c r="A233" s="147"/>
      <c r="B233" s="127"/>
      <c r="C233" s="127"/>
      <c r="D233" s="127"/>
      <c r="E233" s="127"/>
      <c r="F233" s="127"/>
    </row>
    <row r="234">
      <c r="A234" s="147"/>
      <c r="B234" s="127"/>
      <c r="C234" s="127"/>
      <c r="D234" s="127"/>
      <c r="E234" s="127"/>
      <c r="F234" s="127"/>
    </row>
    <row r="235">
      <c r="A235" s="147"/>
      <c r="B235" s="127"/>
      <c r="C235" s="127"/>
      <c r="D235" s="127"/>
      <c r="E235" s="127"/>
      <c r="F235" s="127"/>
    </row>
    <row r="236">
      <c r="A236" s="147"/>
      <c r="B236" s="127"/>
      <c r="C236" s="127"/>
      <c r="D236" s="127"/>
      <c r="E236" s="127"/>
      <c r="F236" s="127"/>
    </row>
    <row r="237">
      <c r="A237" s="147"/>
      <c r="B237" s="127"/>
      <c r="C237" s="127"/>
      <c r="D237" s="127"/>
      <c r="E237" s="127"/>
      <c r="F237" s="127"/>
    </row>
    <row r="238">
      <c r="A238" s="147"/>
      <c r="B238" s="127"/>
      <c r="C238" s="127"/>
      <c r="D238" s="127"/>
      <c r="E238" s="127"/>
      <c r="F238" s="127"/>
    </row>
    <row r="239">
      <c r="A239" s="147"/>
      <c r="B239" s="127"/>
      <c r="C239" s="127"/>
      <c r="D239" s="127"/>
      <c r="E239" s="127"/>
      <c r="F239" s="127"/>
    </row>
    <row r="240">
      <c r="A240" s="147"/>
      <c r="B240" s="127"/>
      <c r="C240" s="127"/>
      <c r="D240" s="127"/>
      <c r="E240" s="127"/>
      <c r="F240" s="127"/>
    </row>
    <row r="241">
      <c r="A241" s="147"/>
      <c r="B241" s="127"/>
      <c r="C241" s="127"/>
      <c r="D241" s="127"/>
      <c r="E241" s="127"/>
      <c r="F241" s="127"/>
    </row>
    <row r="242">
      <c r="A242" s="147"/>
      <c r="B242" s="127"/>
      <c r="C242" s="127"/>
      <c r="D242" s="127"/>
      <c r="E242" s="127"/>
      <c r="F242" s="127"/>
    </row>
    <row r="243">
      <c r="A243" s="147"/>
      <c r="B243" s="127"/>
      <c r="C243" s="127"/>
      <c r="D243" s="127"/>
      <c r="E243" s="127"/>
      <c r="F243" s="127"/>
    </row>
    <row r="244">
      <c r="A244" s="147"/>
      <c r="B244" s="127"/>
      <c r="C244" s="127"/>
      <c r="D244" s="127"/>
      <c r="E244" s="127"/>
      <c r="F244" s="127"/>
    </row>
    <row r="245">
      <c r="A245" s="147"/>
      <c r="B245" s="127"/>
      <c r="C245" s="127"/>
      <c r="D245" s="127"/>
      <c r="E245" s="127"/>
      <c r="F245" s="127"/>
    </row>
    <row r="246">
      <c r="A246" s="147"/>
      <c r="B246" s="127"/>
      <c r="C246" s="127"/>
      <c r="D246" s="127"/>
      <c r="E246" s="127"/>
      <c r="F246" s="127"/>
    </row>
    <row r="247">
      <c r="A247" s="147"/>
      <c r="B247" s="127"/>
      <c r="C247" s="127"/>
      <c r="D247" s="127"/>
      <c r="E247" s="127"/>
      <c r="F247" s="127"/>
    </row>
    <row r="248">
      <c r="A248" s="147"/>
      <c r="B248" s="127"/>
      <c r="C248" s="127"/>
      <c r="D248" s="127"/>
      <c r="E248" s="127"/>
      <c r="F248" s="127"/>
    </row>
    <row r="249">
      <c r="A249" s="147"/>
      <c r="B249" s="127"/>
      <c r="C249" s="127"/>
      <c r="D249" s="127"/>
      <c r="E249" s="127"/>
      <c r="F249" s="127"/>
    </row>
    <row r="250">
      <c r="A250" s="147"/>
      <c r="B250" s="127"/>
      <c r="C250" s="127"/>
      <c r="D250" s="127"/>
      <c r="E250" s="127"/>
      <c r="F250" s="127"/>
    </row>
    <row r="251">
      <c r="A251" s="147"/>
      <c r="B251" s="127"/>
      <c r="C251" s="127"/>
      <c r="D251" s="127"/>
      <c r="E251" s="127"/>
      <c r="F251" s="127"/>
    </row>
    <row r="252">
      <c r="A252" s="147"/>
      <c r="B252" s="127"/>
      <c r="C252" s="127"/>
      <c r="D252" s="127"/>
      <c r="E252" s="127"/>
      <c r="F252" s="127"/>
    </row>
    <row r="253">
      <c r="A253" s="147"/>
      <c r="B253" s="127"/>
      <c r="C253" s="127"/>
      <c r="D253" s="127"/>
      <c r="E253" s="127"/>
      <c r="F253" s="127"/>
    </row>
    <row r="254">
      <c r="A254" s="147"/>
      <c r="B254" s="127"/>
      <c r="C254" s="127"/>
      <c r="D254" s="127"/>
      <c r="E254" s="127"/>
      <c r="F254" s="127"/>
    </row>
    <row r="255">
      <c r="A255" s="147"/>
      <c r="B255" s="127"/>
      <c r="C255" s="127"/>
      <c r="D255" s="127"/>
      <c r="E255" s="127"/>
      <c r="F255" s="127"/>
    </row>
    <row r="256">
      <c r="A256" s="147"/>
      <c r="B256" s="127"/>
      <c r="C256" s="127"/>
      <c r="D256" s="127"/>
      <c r="E256" s="127"/>
      <c r="F256" s="127"/>
    </row>
    <row r="257">
      <c r="A257" s="147"/>
      <c r="B257" s="127"/>
      <c r="C257" s="127"/>
      <c r="D257" s="127"/>
      <c r="E257" s="127"/>
      <c r="F257" s="127"/>
    </row>
    <row r="258">
      <c r="A258" s="147"/>
      <c r="B258" s="127"/>
      <c r="C258" s="127"/>
      <c r="D258" s="127"/>
      <c r="E258" s="127"/>
      <c r="F258" s="127"/>
    </row>
    <row r="259">
      <c r="A259" s="147"/>
      <c r="B259" s="127"/>
      <c r="C259" s="127"/>
      <c r="D259" s="127"/>
      <c r="E259" s="127"/>
      <c r="F259" s="127"/>
    </row>
    <row r="260">
      <c r="A260" s="147"/>
      <c r="B260" s="127"/>
      <c r="C260" s="127"/>
      <c r="D260" s="127"/>
      <c r="E260" s="127"/>
      <c r="F260" s="127"/>
    </row>
    <row r="261">
      <c r="A261" s="147"/>
      <c r="B261" s="127"/>
      <c r="C261" s="127"/>
      <c r="D261" s="127"/>
      <c r="E261" s="127"/>
      <c r="F261" s="127"/>
    </row>
    <row r="262">
      <c r="A262" s="147"/>
      <c r="B262" s="127"/>
      <c r="C262" s="127"/>
      <c r="D262" s="127"/>
      <c r="E262" s="127"/>
      <c r="F262" s="127"/>
    </row>
    <row r="263">
      <c r="A263" s="147"/>
      <c r="B263" s="127"/>
      <c r="C263" s="127"/>
      <c r="D263" s="127"/>
      <c r="E263" s="127"/>
      <c r="F263" s="127"/>
    </row>
    <row r="264">
      <c r="A264" s="147"/>
      <c r="B264" s="127"/>
      <c r="C264" s="127"/>
      <c r="D264" s="127"/>
      <c r="E264" s="127"/>
      <c r="F264" s="127"/>
    </row>
    <row r="265">
      <c r="A265" s="147"/>
      <c r="B265" s="127"/>
      <c r="C265" s="127"/>
      <c r="D265" s="127"/>
      <c r="E265" s="127"/>
      <c r="F265" s="127"/>
    </row>
    <row r="266">
      <c r="A266" s="147"/>
      <c r="B266" s="127"/>
      <c r="C266" s="127"/>
      <c r="D266" s="127"/>
      <c r="E266" s="127"/>
      <c r="F266" s="127"/>
    </row>
    <row r="267">
      <c r="A267" s="147"/>
      <c r="B267" s="127"/>
      <c r="C267" s="127"/>
      <c r="D267" s="127"/>
      <c r="E267" s="127"/>
      <c r="F267" s="127"/>
    </row>
    <row r="268">
      <c r="A268" s="147"/>
      <c r="B268" s="127"/>
      <c r="C268" s="127"/>
      <c r="D268" s="127"/>
      <c r="E268" s="127"/>
      <c r="F268" s="127"/>
    </row>
    <row r="269">
      <c r="A269" s="147"/>
      <c r="B269" s="127"/>
      <c r="C269" s="127"/>
      <c r="D269" s="127"/>
      <c r="E269" s="127"/>
      <c r="F269" s="127"/>
    </row>
    <row r="270">
      <c r="A270" s="147"/>
      <c r="B270" s="127"/>
      <c r="C270" s="127"/>
      <c r="D270" s="127"/>
      <c r="E270" s="127"/>
      <c r="F270" s="127"/>
    </row>
    <row r="271">
      <c r="A271" s="147"/>
      <c r="B271" s="127"/>
      <c r="C271" s="127"/>
      <c r="D271" s="127"/>
      <c r="E271" s="127"/>
      <c r="F271" s="127"/>
    </row>
    <row r="272">
      <c r="A272" s="147"/>
      <c r="B272" s="127"/>
      <c r="C272" s="127"/>
      <c r="D272" s="127"/>
      <c r="E272" s="127"/>
      <c r="F272" s="127"/>
    </row>
    <row r="273">
      <c r="A273" s="147"/>
      <c r="B273" s="127"/>
      <c r="C273" s="127"/>
      <c r="D273" s="127"/>
      <c r="E273" s="127"/>
      <c r="F273" s="127"/>
    </row>
    <row r="274">
      <c r="A274" s="147"/>
      <c r="B274" s="127"/>
      <c r="C274" s="127"/>
      <c r="D274" s="127"/>
      <c r="E274" s="127"/>
      <c r="F274" s="127"/>
    </row>
    <row r="275">
      <c r="A275" s="147"/>
      <c r="B275" s="127"/>
      <c r="C275" s="127"/>
      <c r="D275" s="127"/>
      <c r="E275" s="127"/>
      <c r="F275" s="127"/>
    </row>
    <row r="276">
      <c r="A276" s="147"/>
      <c r="B276" s="127"/>
      <c r="C276" s="127"/>
      <c r="D276" s="127"/>
      <c r="E276" s="127"/>
      <c r="F276" s="127"/>
    </row>
    <row r="277">
      <c r="A277" s="147"/>
      <c r="B277" s="127"/>
      <c r="C277" s="127"/>
      <c r="D277" s="127"/>
      <c r="E277" s="127"/>
      <c r="F277" s="127"/>
    </row>
    <row r="278">
      <c r="A278" s="147"/>
      <c r="B278" s="127"/>
      <c r="C278" s="127"/>
      <c r="D278" s="127"/>
      <c r="E278" s="127"/>
      <c r="F278" s="127"/>
    </row>
    <row r="279">
      <c r="A279" s="147"/>
      <c r="B279" s="127"/>
      <c r="C279" s="127"/>
      <c r="D279" s="127"/>
      <c r="E279" s="127"/>
      <c r="F279" s="127"/>
    </row>
    <row r="280">
      <c r="A280" s="147"/>
      <c r="B280" s="127"/>
      <c r="C280" s="127"/>
      <c r="D280" s="127"/>
      <c r="E280" s="127"/>
      <c r="F280" s="127"/>
    </row>
    <row r="281">
      <c r="A281" s="147"/>
      <c r="B281" s="127"/>
      <c r="C281" s="127"/>
      <c r="D281" s="127"/>
      <c r="E281" s="127"/>
      <c r="F281" s="127"/>
    </row>
    <row r="282">
      <c r="A282" s="147"/>
      <c r="B282" s="127"/>
      <c r="C282" s="127"/>
      <c r="D282" s="127"/>
      <c r="E282" s="127"/>
      <c r="F282" s="127"/>
    </row>
    <row r="283">
      <c r="A283" s="147"/>
      <c r="B283" s="127"/>
      <c r="C283" s="127"/>
      <c r="D283" s="127"/>
      <c r="E283" s="127"/>
      <c r="F283" s="127"/>
    </row>
    <row r="284">
      <c r="A284" s="147"/>
      <c r="B284" s="127"/>
      <c r="C284" s="127"/>
      <c r="D284" s="127"/>
      <c r="E284" s="127"/>
      <c r="F284" s="127"/>
    </row>
    <row r="285">
      <c r="A285" s="147"/>
      <c r="B285" s="127"/>
      <c r="C285" s="127"/>
      <c r="D285" s="127"/>
      <c r="E285" s="127"/>
      <c r="F285" s="127"/>
    </row>
    <row r="286">
      <c r="A286" s="147"/>
      <c r="B286" s="127"/>
      <c r="C286" s="127"/>
      <c r="D286" s="127"/>
      <c r="E286" s="127"/>
      <c r="F286" s="127"/>
    </row>
    <row r="287">
      <c r="A287" s="147"/>
      <c r="B287" s="127"/>
      <c r="C287" s="127"/>
      <c r="D287" s="127"/>
      <c r="E287" s="127"/>
      <c r="F287" s="127"/>
    </row>
    <row r="288">
      <c r="A288" s="147"/>
      <c r="B288" s="127"/>
      <c r="C288" s="127"/>
      <c r="D288" s="127"/>
      <c r="E288" s="127"/>
      <c r="F288" s="127"/>
    </row>
    <row r="289">
      <c r="A289" s="147"/>
      <c r="B289" s="127"/>
      <c r="C289" s="127"/>
      <c r="D289" s="127"/>
      <c r="E289" s="127"/>
      <c r="F289" s="127"/>
    </row>
    <row r="290">
      <c r="A290" s="147"/>
      <c r="B290" s="127"/>
      <c r="C290" s="127"/>
      <c r="D290" s="127"/>
      <c r="E290" s="127"/>
      <c r="F290" s="127"/>
    </row>
    <row r="291">
      <c r="A291" s="147"/>
      <c r="B291" s="127"/>
      <c r="C291" s="127"/>
      <c r="D291" s="127"/>
      <c r="E291" s="127"/>
      <c r="F291" s="127"/>
    </row>
    <row r="292">
      <c r="A292" s="147"/>
      <c r="B292" s="127"/>
      <c r="C292" s="127"/>
      <c r="D292" s="127"/>
      <c r="E292" s="127"/>
      <c r="F292" s="127"/>
    </row>
    <row r="293">
      <c r="A293" s="147"/>
      <c r="B293" s="127"/>
      <c r="C293" s="127"/>
      <c r="D293" s="127"/>
      <c r="E293" s="127"/>
      <c r="F293" s="127"/>
    </row>
    <row r="294">
      <c r="A294" s="147"/>
      <c r="B294" s="127"/>
      <c r="C294" s="127"/>
      <c r="D294" s="127"/>
      <c r="E294" s="127"/>
      <c r="F294" s="127"/>
    </row>
    <row r="295">
      <c r="A295" s="147"/>
      <c r="B295" s="127"/>
      <c r="C295" s="127"/>
      <c r="D295" s="127"/>
      <c r="E295" s="127"/>
      <c r="F295" s="127"/>
    </row>
    <row r="296">
      <c r="A296" s="147"/>
      <c r="B296" s="127"/>
      <c r="C296" s="127"/>
      <c r="D296" s="127"/>
      <c r="E296" s="127"/>
      <c r="F296" s="127"/>
    </row>
    <row r="297">
      <c r="A297" s="147"/>
      <c r="B297" s="127"/>
      <c r="C297" s="127"/>
      <c r="D297" s="127"/>
      <c r="E297" s="127"/>
      <c r="F297" s="127"/>
    </row>
    <row r="298">
      <c r="A298" s="147"/>
      <c r="B298" s="127"/>
      <c r="C298" s="127"/>
      <c r="D298" s="127"/>
      <c r="E298" s="127"/>
      <c r="F298" s="127"/>
    </row>
    <row r="299">
      <c r="A299" s="147"/>
      <c r="B299" s="127"/>
      <c r="C299" s="127"/>
      <c r="D299" s="127"/>
      <c r="E299" s="127"/>
      <c r="F299" s="127"/>
    </row>
    <row r="300">
      <c r="A300" s="147"/>
      <c r="B300" s="127"/>
      <c r="C300" s="127"/>
      <c r="D300" s="127"/>
      <c r="E300" s="127"/>
      <c r="F300" s="127"/>
    </row>
    <row r="301">
      <c r="A301" s="147"/>
      <c r="B301" s="127"/>
      <c r="C301" s="127"/>
      <c r="D301" s="127"/>
      <c r="E301" s="127"/>
      <c r="F301" s="127"/>
    </row>
    <row r="302">
      <c r="A302" s="147"/>
      <c r="B302" s="127"/>
      <c r="C302" s="127"/>
      <c r="D302" s="127"/>
      <c r="E302" s="127"/>
      <c r="F302" s="127"/>
    </row>
    <row r="303">
      <c r="A303" s="147"/>
      <c r="B303" s="127"/>
      <c r="C303" s="127"/>
      <c r="D303" s="127"/>
      <c r="E303" s="127"/>
      <c r="F303" s="127"/>
    </row>
    <row r="304">
      <c r="A304" s="147"/>
      <c r="B304" s="127"/>
      <c r="C304" s="127"/>
      <c r="D304" s="127"/>
      <c r="E304" s="127"/>
      <c r="F304" s="127"/>
    </row>
    <row r="305">
      <c r="A305" s="147"/>
      <c r="B305" s="127"/>
      <c r="C305" s="127"/>
      <c r="D305" s="127"/>
      <c r="E305" s="127"/>
      <c r="F305" s="127"/>
    </row>
    <row r="306">
      <c r="A306" s="147"/>
      <c r="B306" s="127"/>
      <c r="C306" s="127"/>
      <c r="D306" s="127"/>
      <c r="E306" s="127"/>
      <c r="F306" s="127"/>
    </row>
    <row r="307">
      <c r="A307" s="147"/>
      <c r="B307" s="127"/>
      <c r="C307" s="127"/>
      <c r="D307" s="127"/>
      <c r="E307" s="127"/>
      <c r="F307" s="127"/>
    </row>
    <row r="308">
      <c r="A308" s="147"/>
      <c r="B308" s="127"/>
      <c r="C308" s="127"/>
      <c r="D308" s="127"/>
      <c r="E308" s="127"/>
      <c r="F308" s="127"/>
    </row>
    <row r="309">
      <c r="A309" s="147"/>
      <c r="B309" s="127"/>
      <c r="C309" s="127"/>
      <c r="D309" s="127"/>
      <c r="E309" s="127"/>
      <c r="F309" s="127"/>
    </row>
    <row r="310">
      <c r="A310" s="147"/>
      <c r="B310" s="127"/>
      <c r="C310" s="127"/>
      <c r="D310" s="127"/>
      <c r="E310" s="127"/>
      <c r="F310" s="127"/>
    </row>
    <row r="311">
      <c r="A311" s="147"/>
      <c r="B311" s="127"/>
      <c r="C311" s="127"/>
      <c r="D311" s="127"/>
      <c r="E311" s="127"/>
      <c r="F311" s="127"/>
    </row>
    <row r="312">
      <c r="A312" s="147"/>
      <c r="B312" s="127"/>
      <c r="C312" s="127"/>
      <c r="D312" s="127"/>
      <c r="E312" s="127"/>
      <c r="F312" s="127"/>
    </row>
    <row r="313">
      <c r="A313" s="147"/>
      <c r="B313" s="127"/>
      <c r="C313" s="127"/>
      <c r="D313" s="127"/>
      <c r="E313" s="127"/>
      <c r="F313" s="127"/>
    </row>
    <row r="314">
      <c r="A314" s="147"/>
      <c r="B314" s="127"/>
      <c r="C314" s="127"/>
      <c r="D314" s="127"/>
      <c r="E314" s="127"/>
      <c r="F314" s="127"/>
    </row>
    <row r="315">
      <c r="A315" s="147"/>
      <c r="B315" s="127"/>
      <c r="C315" s="127"/>
      <c r="D315" s="127"/>
      <c r="E315" s="127"/>
      <c r="F315" s="127"/>
    </row>
    <row r="316">
      <c r="A316" s="147"/>
      <c r="B316" s="127"/>
      <c r="C316" s="127"/>
      <c r="D316" s="127"/>
      <c r="E316" s="127"/>
      <c r="F316" s="127"/>
    </row>
    <row r="317">
      <c r="A317" s="147"/>
      <c r="B317" s="127"/>
      <c r="C317" s="127"/>
      <c r="D317" s="127"/>
      <c r="E317" s="127"/>
      <c r="F317" s="127"/>
    </row>
    <row r="318">
      <c r="A318" s="147"/>
      <c r="B318" s="127"/>
      <c r="C318" s="127"/>
      <c r="D318" s="127"/>
      <c r="E318" s="127"/>
      <c r="F318" s="127"/>
    </row>
    <row r="319">
      <c r="A319" s="147"/>
      <c r="B319" s="127"/>
      <c r="C319" s="127"/>
      <c r="D319" s="127"/>
      <c r="E319" s="127"/>
      <c r="F319" s="127"/>
    </row>
    <row r="320">
      <c r="A320" s="147"/>
      <c r="B320" s="127"/>
      <c r="C320" s="127"/>
      <c r="D320" s="127"/>
      <c r="E320" s="127"/>
      <c r="F320" s="127"/>
    </row>
    <row r="321">
      <c r="A321" s="147"/>
      <c r="B321" s="127"/>
      <c r="C321" s="127"/>
      <c r="D321" s="127"/>
      <c r="E321" s="127"/>
      <c r="F321" s="127"/>
    </row>
    <row r="322">
      <c r="A322" s="147"/>
      <c r="B322" s="127"/>
      <c r="C322" s="127"/>
      <c r="D322" s="127"/>
      <c r="E322" s="127"/>
      <c r="F322" s="127"/>
    </row>
    <row r="323">
      <c r="A323" s="147"/>
      <c r="B323" s="127"/>
      <c r="C323" s="127"/>
      <c r="D323" s="127"/>
      <c r="E323" s="127"/>
      <c r="F323" s="127"/>
    </row>
    <row r="324">
      <c r="A324" s="147"/>
      <c r="B324" s="127"/>
      <c r="C324" s="127"/>
      <c r="D324" s="127"/>
      <c r="E324" s="127"/>
      <c r="F324" s="127"/>
    </row>
    <row r="325">
      <c r="A325" s="147"/>
      <c r="B325" s="127"/>
      <c r="C325" s="127"/>
      <c r="D325" s="127"/>
      <c r="E325" s="127"/>
      <c r="F325" s="127"/>
    </row>
    <row r="326">
      <c r="A326" s="147"/>
      <c r="B326" s="127"/>
      <c r="C326" s="127"/>
      <c r="D326" s="127"/>
      <c r="E326" s="127"/>
      <c r="F326" s="127"/>
    </row>
    <row r="327">
      <c r="A327" s="147"/>
      <c r="B327" s="127"/>
      <c r="C327" s="127"/>
      <c r="D327" s="127"/>
      <c r="E327" s="127"/>
      <c r="F327" s="127"/>
    </row>
    <row r="328">
      <c r="A328" s="147"/>
      <c r="B328" s="127"/>
      <c r="C328" s="127"/>
      <c r="D328" s="127"/>
      <c r="E328" s="127"/>
      <c r="F328" s="127"/>
    </row>
    <row r="329">
      <c r="A329" s="147"/>
      <c r="B329" s="127"/>
      <c r="C329" s="127"/>
      <c r="D329" s="127"/>
      <c r="E329" s="127"/>
      <c r="F329" s="127"/>
    </row>
    <row r="330">
      <c r="A330" s="147"/>
      <c r="B330" s="127"/>
      <c r="C330" s="127"/>
      <c r="D330" s="127"/>
      <c r="E330" s="127"/>
      <c r="F330" s="127"/>
    </row>
    <row r="331">
      <c r="A331" s="147"/>
      <c r="B331" s="127"/>
      <c r="C331" s="127"/>
      <c r="D331" s="127"/>
      <c r="E331" s="127"/>
      <c r="F331" s="127"/>
    </row>
    <row r="332">
      <c r="A332" s="147"/>
      <c r="B332" s="127"/>
      <c r="C332" s="127"/>
      <c r="D332" s="127"/>
      <c r="E332" s="127"/>
      <c r="F332" s="127"/>
    </row>
    <row r="333">
      <c r="A333" s="147"/>
      <c r="B333" s="127"/>
      <c r="C333" s="127"/>
      <c r="D333" s="127"/>
      <c r="E333" s="127"/>
      <c r="F333" s="127"/>
    </row>
    <row r="334">
      <c r="A334" s="147"/>
      <c r="B334" s="127"/>
      <c r="C334" s="127"/>
      <c r="D334" s="127"/>
      <c r="E334" s="127"/>
      <c r="F334" s="127"/>
    </row>
    <row r="335">
      <c r="A335" s="147"/>
      <c r="B335" s="127"/>
      <c r="C335" s="127"/>
      <c r="D335" s="127"/>
      <c r="E335" s="127"/>
      <c r="F335" s="127"/>
    </row>
    <row r="336">
      <c r="A336" s="147"/>
      <c r="B336" s="127"/>
      <c r="C336" s="127"/>
      <c r="D336" s="127"/>
      <c r="E336" s="127"/>
      <c r="F336" s="127"/>
    </row>
    <row r="337">
      <c r="A337" s="147"/>
      <c r="B337" s="127"/>
      <c r="C337" s="127"/>
      <c r="D337" s="127"/>
      <c r="E337" s="127"/>
      <c r="F337" s="127"/>
    </row>
    <row r="338">
      <c r="A338" s="147"/>
      <c r="B338" s="127"/>
      <c r="C338" s="127"/>
      <c r="D338" s="127"/>
      <c r="E338" s="127"/>
      <c r="F338" s="127"/>
    </row>
    <row r="339">
      <c r="A339" s="147"/>
      <c r="B339" s="127"/>
      <c r="C339" s="127"/>
      <c r="D339" s="127"/>
      <c r="E339" s="127"/>
      <c r="F339" s="127"/>
    </row>
    <row r="340">
      <c r="A340" s="147"/>
      <c r="B340" s="127"/>
      <c r="C340" s="127"/>
      <c r="D340" s="127"/>
      <c r="E340" s="127"/>
      <c r="F340" s="127"/>
    </row>
    <row r="341">
      <c r="A341" s="147"/>
      <c r="B341" s="127"/>
      <c r="C341" s="127"/>
      <c r="D341" s="127"/>
      <c r="E341" s="127"/>
      <c r="F341" s="127"/>
    </row>
    <row r="342">
      <c r="A342" s="147"/>
      <c r="B342" s="127"/>
      <c r="C342" s="127"/>
      <c r="D342" s="127"/>
      <c r="E342" s="127"/>
      <c r="F342" s="127"/>
    </row>
    <row r="343">
      <c r="A343" s="147"/>
      <c r="B343" s="127"/>
      <c r="C343" s="127"/>
      <c r="D343" s="127"/>
      <c r="E343" s="127"/>
      <c r="F343" s="127"/>
    </row>
    <row r="344">
      <c r="A344" s="147"/>
      <c r="B344" s="127"/>
      <c r="C344" s="127"/>
      <c r="D344" s="127"/>
      <c r="E344" s="127"/>
      <c r="F344" s="127"/>
    </row>
    <row r="345">
      <c r="A345" s="147"/>
      <c r="B345" s="127"/>
      <c r="C345" s="127"/>
      <c r="D345" s="127"/>
      <c r="E345" s="127"/>
      <c r="F345" s="127"/>
    </row>
    <row r="346">
      <c r="A346" s="147"/>
      <c r="B346" s="127"/>
      <c r="C346" s="127"/>
      <c r="D346" s="127"/>
      <c r="E346" s="127"/>
      <c r="F346" s="127"/>
    </row>
    <row r="347">
      <c r="A347" s="147"/>
      <c r="B347" s="127"/>
      <c r="C347" s="127"/>
      <c r="D347" s="127"/>
      <c r="E347" s="127"/>
      <c r="F347" s="127"/>
    </row>
    <row r="348">
      <c r="A348" s="147"/>
      <c r="B348" s="127"/>
      <c r="C348" s="127"/>
      <c r="D348" s="127"/>
      <c r="E348" s="127"/>
      <c r="F348" s="127"/>
    </row>
    <row r="349">
      <c r="A349" s="147"/>
      <c r="B349" s="127"/>
      <c r="C349" s="127"/>
      <c r="D349" s="127"/>
      <c r="E349" s="127"/>
      <c r="F349" s="127"/>
    </row>
    <row r="350">
      <c r="A350" s="147"/>
      <c r="B350" s="127"/>
      <c r="C350" s="127"/>
      <c r="D350" s="127"/>
      <c r="E350" s="127"/>
      <c r="F350" s="127"/>
    </row>
    <row r="351">
      <c r="A351" s="147"/>
      <c r="B351" s="127"/>
      <c r="C351" s="127"/>
      <c r="D351" s="127"/>
      <c r="E351" s="127"/>
      <c r="F351" s="127"/>
    </row>
    <row r="352">
      <c r="A352" s="147"/>
      <c r="B352" s="127"/>
      <c r="C352" s="127"/>
      <c r="D352" s="127"/>
      <c r="E352" s="127"/>
      <c r="F352" s="127"/>
    </row>
    <row r="353">
      <c r="A353" s="147"/>
      <c r="B353" s="127"/>
      <c r="C353" s="127"/>
      <c r="D353" s="127"/>
      <c r="E353" s="127"/>
      <c r="F353" s="127"/>
    </row>
    <row r="354">
      <c r="A354" s="147"/>
      <c r="B354" s="127"/>
      <c r="C354" s="127"/>
      <c r="D354" s="127"/>
      <c r="E354" s="127"/>
      <c r="F354" s="127"/>
    </row>
    <row r="355">
      <c r="A355" s="147"/>
      <c r="B355" s="127"/>
      <c r="C355" s="127"/>
      <c r="D355" s="127"/>
      <c r="E355" s="127"/>
      <c r="F355" s="127"/>
    </row>
    <row r="356">
      <c r="A356" s="147"/>
      <c r="B356" s="127"/>
      <c r="C356" s="127"/>
      <c r="D356" s="127"/>
      <c r="E356" s="127"/>
      <c r="F356" s="127"/>
    </row>
    <row r="357">
      <c r="A357" s="147"/>
      <c r="B357" s="127"/>
      <c r="C357" s="127"/>
      <c r="D357" s="127"/>
      <c r="E357" s="127"/>
      <c r="F357" s="127"/>
    </row>
    <row r="358">
      <c r="A358" s="147"/>
      <c r="B358" s="127"/>
      <c r="C358" s="127"/>
      <c r="D358" s="127"/>
      <c r="E358" s="127"/>
      <c r="F358" s="127"/>
    </row>
    <row r="359">
      <c r="A359" s="147"/>
      <c r="B359" s="127"/>
      <c r="C359" s="127"/>
      <c r="D359" s="127"/>
      <c r="E359" s="127"/>
      <c r="F359" s="127"/>
    </row>
    <row r="360">
      <c r="A360" s="147"/>
      <c r="B360" s="127"/>
      <c r="C360" s="127"/>
      <c r="D360" s="127"/>
      <c r="E360" s="127"/>
      <c r="F360" s="127"/>
    </row>
    <row r="361">
      <c r="A361" s="147"/>
      <c r="B361" s="127"/>
      <c r="C361" s="127"/>
      <c r="D361" s="127"/>
      <c r="E361" s="127"/>
      <c r="F361" s="127"/>
    </row>
    <row r="362">
      <c r="A362" s="147"/>
      <c r="B362" s="127"/>
      <c r="C362" s="127"/>
      <c r="D362" s="127"/>
      <c r="E362" s="127"/>
      <c r="F362" s="127"/>
    </row>
    <row r="363">
      <c r="A363" s="147"/>
      <c r="B363" s="127"/>
      <c r="C363" s="127"/>
      <c r="D363" s="127"/>
      <c r="E363" s="127"/>
      <c r="F363" s="127"/>
    </row>
    <row r="364">
      <c r="A364" s="147"/>
      <c r="B364" s="127"/>
      <c r="C364" s="127"/>
      <c r="D364" s="127"/>
      <c r="E364" s="127"/>
      <c r="F364" s="127"/>
    </row>
    <row r="365">
      <c r="A365" s="147"/>
      <c r="B365" s="127"/>
      <c r="C365" s="127"/>
      <c r="D365" s="127"/>
      <c r="E365" s="127"/>
      <c r="F365" s="127"/>
    </row>
    <row r="366">
      <c r="A366" s="147"/>
      <c r="B366" s="127"/>
      <c r="C366" s="127"/>
      <c r="D366" s="127"/>
      <c r="E366" s="127"/>
      <c r="F366" s="127"/>
    </row>
    <row r="367">
      <c r="A367" s="147"/>
      <c r="B367" s="127"/>
      <c r="C367" s="127"/>
      <c r="D367" s="127"/>
      <c r="E367" s="127"/>
      <c r="F367" s="127"/>
    </row>
    <row r="368">
      <c r="A368" s="147"/>
      <c r="B368" s="127"/>
      <c r="C368" s="127"/>
      <c r="D368" s="127"/>
      <c r="E368" s="127"/>
      <c r="F368" s="127"/>
    </row>
    <row r="369">
      <c r="A369" s="147"/>
      <c r="B369" s="127"/>
      <c r="C369" s="127"/>
      <c r="D369" s="127"/>
      <c r="E369" s="127"/>
      <c r="F369" s="127"/>
    </row>
    <row r="370">
      <c r="A370" s="147"/>
      <c r="B370" s="127"/>
      <c r="C370" s="127"/>
      <c r="D370" s="127"/>
      <c r="E370" s="127"/>
      <c r="F370" s="127"/>
    </row>
    <row r="371">
      <c r="A371" s="147"/>
      <c r="B371" s="127"/>
      <c r="C371" s="127"/>
      <c r="D371" s="127"/>
      <c r="E371" s="127"/>
      <c r="F371" s="127"/>
    </row>
    <row r="372">
      <c r="A372" s="147"/>
      <c r="B372" s="127"/>
      <c r="C372" s="127"/>
      <c r="D372" s="127"/>
      <c r="E372" s="127"/>
      <c r="F372" s="127"/>
    </row>
    <row r="373">
      <c r="A373" s="147"/>
      <c r="B373" s="127"/>
      <c r="C373" s="127"/>
      <c r="D373" s="127"/>
      <c r="E373" s="127"/>
      <c r="F373" s="127"/>
    </row>
    <row r="374">
      <c r="A374" s="147"/>
      <c r="B374" s="127"/>
      <c r="C374" s="127"/>
      <c r="D374" s="127"/>
      <c r="E374" s="127"/>
      <c r="F374" s="127"/>
    </row>
    <row r="375">
      <c r="A375" s="147"/>
      <c r="B375" s="127"/>
      <c r="C375" s="127"/>
      <c r="D375" s="127"/>
      <c r="E375" s="127"/>
      <c r="F375" s="127"/>
    </row>
    <row r="376">
      <c r="A376" s="147"/>
      <c r="B376" s="127"/>
      <c r="C376" s="127"/>
      <c r="D376" s="127"/>
      <c r="E376" s="127"/>
      <c r="F376" s="127"/>
    </row>
    <row r="377">
      <c r="A377" s="147"/>
      <c r="B377" s="127"/>
      <c r="C377" s="127"/>
      <c r="D377" s="127"/>
      <c r="E377" s="127"/>
      <c r="F377" s="127"/>
    </row>
    <row r="378">
      <c r="A378" s="147"/>
      <c r="B378" s="127"/>
      <c r="C378" s="127"/>
      <c r="D378" s="127"/>
      <c r="E378" s="127"/>
      <c r="F378" s="127"/>
    </row>
    <row r="379">
      <c r="A379" s="147"/>
      <c r="B379" s="127"/>
      <c r="C379" s="127"/>
      <c r="D379" s="127"/>
      <c r="E379" s="127"/>
      <c r="F379" s="127"/>
    </row>
    <row r="380">
      <c r="A380" s="147"/>
      <c r="B380" s="127"/>
      <c r="C380" s="127"/>
      <c r="D380" s="127"/>
      <c r="E380" s="127"/>
      <c r="F380" s="127"/>
    </row>
    <row r="381">
      <c r="A381" s="147"/>
      <c r="B381" s="127"/>
      <c r="C381" s="127"/>
      <c r="D381" s="127"/>
      <c r="E381" s="127"/>
      <c r="F381" s="127"/>
    </row>
    <row r="382">
      <c r="A382" s="147"/>
      <c r="B382" s="127"/>
      <c r="C382" s="127"/>
      <c r="D382" s="127"/>
      <c r="E382" s="127"/>
      <c r="F382" s="127"/>
    </row>
    <row r="383">
      <c r="A383" s="147"/>
      <c r="B383" s="127"/>
      <c r="C383" s="127"/>
      <c r="D383" s="127"/>
      <c r="E383" s="127"/>
      <c r="F383" s="127"/>
    </row>
    <row r="384">
      <c r="A384" s="147"/>
      <c r="B384" s="127"/>
      <c r="C384" s="127"/>
      <c r="D384" s="127"/>
      <c r="E384" s="127"/>
      <c r="F384" s="127"/>
    </row>
    <row r="385">
      <c r="A385" s="147"/>
      <c r="B385" s="127"/>
      <c r="C385" s="127"/>
      <c r="D385" s="127"/>
      <c r="E385" s="127"/>
      <c r="F385" s="127"/>
    </row>
    <row r="386">
      <c r="A386" s="147"/>
      <c r="B386" s="127"/>
      <c r="C386" s="127"/>
      <c r="D386" s="127"/>
      <c r="E386" s="127"/>
      <c r="F386" s="127"/>
    </row>
    <row r="387">
      <c r="A387" s="147"/>
      <c r="B387" s="127"/>
      <c r="C387" s="127"/>
      <c r="D387" s="127"/>
      <c r="E387" s="127"/>
      <c r="F387" s="127"/>
    </row>
    <row r="388">
      <c r="A388" s="147"/>
      <c r="B388" s="127"/>
      <c r="C388" s="127"/>
      <c r="D388" s="127"/>
      <c r="E388" s="127"/>
      <c r="F388" s="127"/>
    </row>
    <row r="389">
      <c r="A389" s="147"/>
      <c r="B389" s="127"/>
      <c r="C389" s="127"/>
      <c r="D389" s="127"/>
      <c r="E389" s="127"/>
      <c r="F389" s="127"/>
    </row>
    <row r="390">
      <c r="A390" s="147"/>
      <c r="B390" s="127"/>
      <c r="C390" s="127"/>
      <c r="D390" s="127"/>
      <c r="E390" s="127"/>
      <c r="F390" s="127"/>
    </row>
    <row r="391">
      <c r="A391" s="147"/>
      <c r="B391" s="127"/>
      <c r="C391" s="127"/>
      <c r="D391" s="127"/>
      <c r="E391" s="127"/>
      <c r="F391" s="127"/>
    </row>
    <row r="392">
      <c r="A392" s="147"/>
      <c r="B392" s="127"/>
      <c r="C392" s="127"/>
      <c r="D392" s="127"/>
      <c r="E392" s="127"/>
      <c r="F392" s="127"/>
    </row>
    <row r="393">
      <c r="A393" s="147"/>
      <c r="B393" s="127"/>
      <c r="C393" s="127"/>
      <c r="D393" s="127"/>
      <c r="E393" s="127"/>
      <c r="F393" s="127"/>
    </row>
    <row r="394">
      <c r="A394" s="147"/>
      <c r="B394" s="127"/>
      <c r="C394" s="127"/>
      <c r="D394" s="127"/>
      <c r="E394" s="127"/>
      <c r="F394" s="127"/>
    </row>
    <row r="395">
      <c r="A395" s="147"/>
      <c r="B395" s="127"/>
      <c r="C395" s="127"/>
      <c r="D395" s="127"/>
      <c r="E395" s="127"/>
      <c r="F395" s="127"/>
    </row>
    <row r="396">
      <c r="A396" s="147"/>
      <c r="B396" s="127"/>
      <c r="C396" s="127"/>
      <c r="D396" s="127"/>
      <c r="E396" s="127"/>
      <c r="F396" s="127"/>
    </row>
    <row r="397">
      <c r="A397" s="147"/>
      <c r="B397" s="127"/>
      <c r="C397" s="127"/>
      <c r="D397" s="127"/>
      <c r="E397" s="127"/>
      <c r="F397" s="127"/>
    </row>
    <row r="398">
      <c r="A398" s="147"/>
      <c r="B398" s="127"/>
      <c r="C398" s="127"/>
      <c r="D398" s="127"/>
      <c r="E398" s="127"/>
      <c r="F398" s="127"/>
    </row>
    <row r="399">
      <c r="A399" s="147"/>
      <c r="B399" s="127"/>
      <c r="C399" s="127"/>
      <c r="D399" s="127"/>
      <c r="E399" s="127"/>
      <c r="F399" s="127"/>
    </row>
    <row r="400">
      <c r="A400" s="147"/>
      <c r="B400" s="127"/>
      <c r="C400" s="127"/>
      <c r="D400" s="127"/>
      <c r="E400" s="127"/>
      <c r="F400" s="127"/>
    </row>
    <row r="401">
      <c r="A401" s="147"/>
      <c r="B401" s="127"/>
      <c r="C401" s="127"/>
      <c r="D401" s="127"/>
      <c r="E401" s="127"/>
      <c r="F401" s="127"/>
    </row>
    <row r="402">
      <c r="A402" s="147"/>
      <c r="B402" s="127"/>
      <c r="C402" s="127"/>
      <c r="D402" s="127"/>
      <c r="E402" s="127"/>
      <c r="F402" s="127"/>
    </row>
    <row r="403">
      <c r="A403" s="147"/>
      <c r="B403" s="127"/>
      <c r="C403" s="127"/>
      <c r="D403" s="127"/>
      <c r="E403" s="127"/>
      <c r="F403" s="127"/>
    </row>
    <row r="404">
      <c r="A404" s="147"/>
      <c r="B404" s="127"/>
      <c r="C404" s="127"/>
      <c r="D404" s="127"/>
      <c r="E404" s="127"/>
      <c r="F404" s="127"/>
    </row>
    <row r="405">
      <c r="A405" s="147"/>
      <c r="B405" s="127"/>
      <c r="C405" s="127"/>
      <c r="D405" s="127"/>
      <c r="E405" s="127"/>
      <c r="F405" s="127"/>
    </row>
    <row r="406">
      <c r="A406" s="147"/>
      <c r="B406" s="127"/>
      <c r="C406" s="127"/>
      <c r="D406" s="127"/>
      <c r="E406" s="127"/>
      <c r="F406" s="127"/>
    </row>
    <row r="407">
      <c r="A407" s="147"/>
      <c r="B407" s="127"/>
      <c r="C407" s="127"/>
      <c r="D407" s="127"/>
      <c r="E407" s="127"/>
      <c r="F407" s="127"/>
    </row>
    <row r="408">
      <c r="A408" s="147"/>
      <c r="B408" s="127"/>
      <c r="C408" s="127"/>
      <c r="D408" s="127"/>
      <c r="E408" s="127"/>
      <c r="F408" s="127"/>
    </row>
    <row r="409">
      <c r="A409" s="147"/>
      <c r="B409" s="127"/>
      <c r="C409" s="127"/>
      <c r="D409" s="127"/>
      <c r="E409" s="127"/>
      <c r="F409" s="127"/>
    </row>
    <row r="410">
      <c r="A410" s="147"/>
      <c r="B410" s="127"/>
      <c r="C410" s="127"/>
      <c r="D410" s="127"/>
      <c r="E410" s="127"/>
      <c r="F410" s="127"/>
    </row>
    <row r="411">
      <c r="A411" s="147"/>
      <c r="B411" s="127"/>
      <c r="C411" s="127"/>
      <c r="D411" s="127"/>
      <c r="E411" s="127"/>
      <c r="F411" s="127"/>
    </row>
    <row r="412">
      <c r="A412" s="147"/>
      <c r="B412" s="127"/>
      <c r="C412" s="127"/>
      <c r="D412" s="127"/>
      <c r="E412" s="127"/>
      <c r="F412" s="127"/>
    </row>
    <row r="413">
      <c r="A413" s="147"/>
      <c r="B413" s="127"/>
      <c r="C413" s="127"/>
      <c r="D413" s="127"/>
      <c r="E413" s="127"/>
      <c r="F413" s="127"/>
    </row>
    <row r="414">
      <c r="A414" s="147"/>
      <c r="B414" s="127"/>
      <c r="C414" s="127"/>
      <c r="D414" s="127"/>
      <c r="E414" s="127"/>
      <c r="F414" s="127"/>
    </row>
    <row r="415">
      <c r="A415" s="147"/>
      <c r="B415" s="127"/>
      <c r="C415" s="127"/>
      <c r="D415" s="127"/>
      <c r="E415" s="127"/>
      <c r="F415" s="127"/>
    </row>
    <row r="416">
      <c r="A416" s="147"/>
      <c r="B416" s="127"/>
      <c r="C416" s="127"/>
      <c r="D416" s="127"/>
      <c r="E416" s="127"/>
      <c r="F416" s="127"/>
    </row>
    <row r="417">
      <c r="A417" s="147"/>
      <c r="B417" s="127"/>
      <c r="C417" s="127"/>
      <c r="D417" s="127"/>
      <c r="E417" s="127"/>
      <c r="F417" s="127"/>
    </row>
    <row r="418">
      <c r="A418" s="147"/>
      <c r="B418" s="127"/>
      <c r="C418" s="127"/>
      <c r="D418" s="127"/>
      <c r="E418" s="127"/>
      <c r="F418" s="127"/>
    </row>
    <row r="419">
      <c r="A419" s="147"/>
      <c r="B419" s="127"/>
      <c r="C419" s="127"/>
      <c r="D419" s="127"/>
      <c r="E419" s="127"/>
      <c r="F419" s="127"/>
    </row>
    <row r="420">
      <c r="A420" s="147"/>
      <c r="B420" s="127"/>
      <c r="C420" s="127"/>
      <c r="D420" s="127"/>
      <c r="E420" s="127"/>
      <c r="F420" s="127"/>
    </row>
    <row r="421">
      <c r="A421" s="147"/>
      <c r="B421" s="127"/>
      <c r="C421" s="127"/>
      <c r="D421" s="127"/>
      <c r="E421" s="127"/>
      <c r="F421" s="127"/>
    </row>
    <row r="422">
      <c r="A422" s="147"/>
      <c r="B422" s="127"/>
      <c r="C422" s="127"/>
      <c r="D422" s="127"/>
      <c r="E422" s="127"/>
      <c r="F422" s="127"/>
    </row>
    <row r="423">
      <c r="A423" s="147"/>
      <c r="B423" s="127"/>
      <c r="C423" s="127"/>
      <c r="D423" s="127"/>
      <c r="E423" s="127"/>
      <c r="F423" s="127"/>
    </row>
    <row r="424">
      <c r="A424" s="147"/>
      <c r="B424" s="127"/>
      <c r="C424" s="127"/>
      <c r="D424" s="127"/>
      <c r="E424" s="127"/>
      <c r="F424" s="127"/>
    </row>
    <row r="425">
      <c r="A425" s="147"/>
      <c r="B425" s="127"/>
      <c r="C425" s="127"/>
      <c r="D425" s="127"/>
      <c r="E425" s="127"/>
      <c r="F425" s="127"/>
    </row>
    <row r="426">
      <c r="A426" s="147"/>
      <c r="B426" s="127"/>
      <c r="C426" s="127"/>
      <c r="D426" s="127"/>
      <c r="E426" s="127"/>
      <c r="F426" s="127"/>
    </row>
    <row r="427">
      <c r="A427" s="147"/>
      <c r="B427" s="127"/>
      <c r="C427" s="127"/>
      <c r="D427" s="127"/>
      <c r="E427" s="127"/>
      <c r="F427" s="127"/>
    </row>
    <row r="428">
      <c r="A428" s="147"/>
      <c r="B428" s="127"/>
      <c r="C428" s="127"/>
      <c r="D428" s="127"/>
      <c r="E428" s="127"/>
      <c r="F428" s="127"/>
    </row>
    <row r="429">
      <c r="A429" s="147"/>
      <c r="B429" s="127"/>
      <c r="C429" s="127"/>
      <c r="D429" s="127"/>
      <c r="E429" s="127"/>
      <c r="F429" s="127"/>
    </row>
    <row r="430">
      <c r="A430" s="147"/>
      <c r="B430" s="127"/>
      <c r="C430" s="127"/>
      <c r="D430" s="127"/>
      <c r="E430" s="127"/>
      <c r="F430" s="127"/>
    </row>
    <row r="431">
      <c r="A431" s="147"/>
      <c r="B431" s="127"/>
      <c r="C431" s="127"/>
      <c r="D431" s="127"/>
      <c r="E431" s="127"/>
      <c r="F431" s="127"/>
    </row>
    <row r="432">
      <c r="A432" s="147"/>
      <c r="B432" s="127"/>
      <c r="C432" s="127"/>
      <c r="D432" s="127"/>
      <c r="E432" s="127"/>
      <c r="F432" s="127"/>
    </row>
    <row r="433">
      <c r="A433" s="147"/>
      <c r="B433" s="127"/>
      <c r="C433" s="127"/>
      <c r="D433" s="127"/>
      <c r="E433" s="127"/>
      <c r="F433" s="127"/>
    </row>
    <row r="434">
      <c r="A434" s="147"/>
      <c r="B434" s="127"/>
      <c r="C434" s="127"/>
      <c r="D434" s="127"/>
      <c r="E434" s="127"/>
      <c r="F434" s="127"/>
    </row>
    <row r="435">
      <c r="A435" s="147"/>
      <c r="B435" s="127"/>
      <c r="C435" s="127"/>
      <c r="D435" s="127"/>
      <c r="E435" s="127"/>
      <c r="F435" s="127"/>
    </row>
    <row r="436">
      <c r="A436" s="147"/>
      <c r="B436" s="127"/>
      <c r="C436" s="127"/>
      <c r="D436" s="127"/>
      <c r="E436" s="127"/>
      <c r="F436" s="127"/>
    </row>
    <row r="437">
      <c r="A437" s="147"/>
      <c r="B437" s="127"/>
      <c r="C437" s="127"/>
      <c r="D437" s="127"/>
      <c r="E437" s="127"/>
      <c r="F437" s="127"/>
    </row>
    <row r="438">
      <c r="A438" s="147"/>
      <c r="B438" s="127"/>
      <c r="C438" s="127"/>
      <c r="D438" s="127"/>
      <c r="E438" s="127"/>
      <c r="F438" s="127"/>
    </row>
    <row r="439">
      <c r="A439" s="147"/>
      <c r="B439" s="127"/>
      <c r="C439" s="127"/>
      <c r="D439" s="127"/>
      <c r="E439" s="127"/>
      <c r="F439" s="127"/>
    </row>
    <row r="440">
      <c r="A440" s="147"/>
      <c r="B440" s="127"/>
      <c r="C440" s="127"/>
      <c r="D440" s="127"/>
      <c r="E440" s="127"/>
      <c r="F440" s="127"/>
    </row>
    <row r="441">
      <c r="A441" s="147"/>
      <c r="B441" s="127"/>
      <c r="C441" s="127"/>
      <c r="D441" s="127"/>
      <c r="E441" s="127"/>
      <c r="F441" s="127"/>
    </row>
    <row r="442">
      <c r="A442" s="147"/>
      <c r="B442" s="127"/>
      <c r="C442" s="127"/>
      <c r="D442" s="127"/>
      <c r="E442" s="127"/>
      <c r="F442" s="127"/>
    </row>
    <row r="443">
      <c r="A443" s="147"/>
      <c r="B443" s="127"/>
      <c r="C443" s="127"/>
      <c r="D443" s="127"/>
      <c r="E443" s="127"/>
      <c r="F443" s="127"/>
    </row>
    <row r="444">
      <c r="A444" s="147"/>
      <c r="B444" s="127"/>
      <c r="C444" s="127"/>
      <c r="D444" s="127"/>
      <c r="E444" s="127"/>
      <c r="F444" s="127"/>
    </row>
    <row r="445">
      <c r="A445" s="147"/>
      <c r="B445" s="127"/>
      <c r="C445" s="127"/>
      <c r="D445" s="127"/>
      <c r="E445" s="127"/>
      <c r="F445" s="127"/>
    </row>
    <row r="446">
      <c r="A446" s="147"/>
      <c r="B446" s="127"/>
      <c r="C446" s="127"/>
      <c r="D446" s="127"/>
      <c r="E446" s="127"/>
      <c r="F446" s="127"/>
    </row>
    <row r="447">
      <c r="A447" s="147"/>
      <c r="B447" s="127"/>
      <c r="C447" s="127"/>
      <c r="D447" s="127"/>
      <c r="E447" s="127"/>
      <c r="F447" s="127"/>
    </row>
    <row r="448">
      <c r="A448" s="147"/>
      <c r="B448" s="127"/>
      <c r="C448" s="127"/>
      <c r="D448" s="127"/>
      <c r="E448" s="127"/>
      <c r="F448" s="127"/>
    </row>
    <row r="449">
      <c r="A449" s="147"/>
      <c r="B449" s="127"/>
      <c r="C449" s="127"/>
      <c r="D449" s="127"/>
      <c r="E449" s="127"/>
      <c r="F449" s="127"/>
    </row>
    <row r="450">
      <c r="A450" s="147"/>
      <c r="B450" s="127"/>
      <c r="C450" s="127"/>
      <c r="D450" s="127"/>
      <c r="E450" s="127"/>
      <c r="F450" s="127"/>
    </row>
    <row r="451">
      <c r="A451" s="147"/>
      <c r="B451" s="127"/>
      <c r="C451" s="127"/>
      <c r="D451" s="127"/>
      <c r="E451" s="127"/>
      <c r="F451" s="127"/>
    </row>
    <row r="452">
      <c r="A452" s="147"/>
      <c r="B452" s="127"/>
      <c r="C452" s="127"/>
      <c r="D452" s="127"/>
      <c r="E452" s="127"/>
      <c r="F452" s="127"/>
    </row>
    <row r="453">
      <c r="A453" s="147"/>
      <c r="B453" s="127"/>
      <c r="C453" s="127"/>
      <c r="D453" s="127"/>
      <c r="E453" s="127"/>
      <c r="F453" s="127"/>
    </row>
    <row r="454">
      <c r="A454" s="147"/>
      <c r="B454" s="127"/>
      <c r="C454" s="127"/>
      <c r="D454" s="127"/>
      <c r="E454" s="127"/>
      <c r="F454" s="127"/>
    </row>
    <row r="455">
      <c r="A455" s="147"/>
      <c r="B455" s="127"/>
      <c r="C455" s="127"/>
      <c r="D455" s="127"/>
      <c r="E455" s="127"/>
      <c r="F455" s="127"/>
    </row>
    <row r="456">
      <c r="A456" s="147"/>
      <c r="B456" s="127"/>
      <c r="C456" s="127"/>
      <c r="D456" s="127"/>
      <c r="E456" s="127"/>
      <c r="F456" s="127"/>
    </row>
    <row r="457">
      <c r="A457" s="147"/>
      <c r="B457" s="127"/>
      <c r="C457" s="127"/>
      <c r="D457" s="127"/>
      <c r="E457" s="127"/>
      <c r="F457" s="127"/>
    </row>
    <row r="458">
      <c r="A458" s="147"/>
      <c r="B458" s="127"/>
      <c r="C458" s="127"/>
      <c r="D458" s="127"/>
      <c r="E458" s="127"/>
      <c r="F458" s="127"/>
    </row>
    <row r="459">
      <c r="A459" s="147"/>
      <c r="B459" s="127"/>
      <c r="C459" s="127"/>
      <c r="D459" s="127"/>
      <c r="E459" s="127"/>
      <c r="F459" s="127"/>
    </row>
    <row r="460">
      <c r="A460" s="147"/>
      <c r="B460" s="127"/>
      <c r="C460" s="127"/>
      <c r="D460" s="127"/>
      <c r="E460" s="127"/>
      <c r="F460" s="127"/>
    </row>
    <row r="461">
      <c r="A461" s="147"/>
      <c r="B461" s="127"/>
      <c r="C461" s="127"/>
      <c r="D461" s="127"/>
      <c r="E461" s="127"/>
      <c r="F461" s="127"/>
    </row>
    <row r="462">
      <c r="A462" s="147"/>
      <c r="B462" s="127"/>
      <c r="C462" s="127"/>
      <c r="D462" s="127"/>
      <c r="E462" s="127"/>
      <c r="F462" s="127"/>
    </row>
    <row r="463">
      <c r="A463" s="147"/>
      <c r="B463" s="127"/>
      <c r="C463" s="127"/>
      <c r="D463" s="127"/>
      <c r="E463" s="127"/>
      <c r="F463" s="127"/>
    </row>
    <row r="464">
      <c r="A464" s="147"/>
      <c r="B464" s="127"/>
      <c r="C464" s="127"/>
      <c r="D464" s="127"/>
      <c r="E464" s="127"/>
      <c r="F464" s="127"/>
    </row>
    <row r="465">
      <c r="A465" s="147"/>
      <c r="B465" s="127"/>
      <c r="C465" s="127"/>
      <c r="D465" s="127"/>
      <c r="E465" s="127"/>
      <c r="F465" s="127"/>
    </row>
    <row r="466">
      <c r="A466" s="147"/>
      <c r="B466" s="127"/>
      <c r="C466" s="127"/>
      <c r="D466" s="127"/>
      <c r="E466" s="127"/>
      <c r="F466" s="127"/>
    </row>
    <row r="467">
      <c r="A467" s="147"/>
      <c r="B467" s="127"/>
      <c r="C467" s="127"/>
      <c r="D467" s="127"/>
      <c r="E467" s="127"/>
      <c r="F467" s="127"/>
    </row>
    <row r="468">
      <c r="A468" s="147"/>
      <c r="B468" s="127"/>
      <c r="C468" s="127"/>
      <c r="D468" s="127"/>
      <c r="E468" s="127"/>
      <c r="F468" s="127"/>
    </row>
    <row r="469">
      <c r="A469" s="147"/>
      <c r="B469" s="127"/>
      <c r="C469" s="127"/>
      <c r="D469" s="127"/>
      <c r="E469" s="127"/>
      <c r="F469" s="127"/>
    </row>
    <row r="470">
      <c r="A470" s="147"/>
      <c r="B470" s="127"/>
      <c r="C470" s="127"/>
      <c r="D470" s="127"/>
      <c r="E470" s="127"/>
      <c r="F470" s="127"/>
    </row>
    <row r="471">
      <c r="A471" s="147"/>
      <c r="B471" s="127"/>
      <c r="C471" s="127"/>
      <c r="D471" s="127"/>
      <c r="E471" s="127"/>
      <c r="F471" s="127"/>
    </row>
    <row r="472">
      <c r="A472" s="147"/>
      <c r="B472" s="127"/>
      <c r="C472" s="127"/>
      <c r="D472" s="127"/>
      <c r="E472" s="127"/>
      <c r="F472" s="127"/>
    </row>
    <row r="473">
      <c r="A473" s="147"/>
      <c r="B473" s="127"/>
      <c r="C473" s="127"/>
      <c r="D473" s="127"/>
      <c r="E473" s="127"/>
      <c r="F473" s="127"/>
    </row>
    <row r="474">
      <c r="A474" s="147"/>
      <c r="B474" s="127"/>
      <c r="C474" s="127"/>
      <c r="D474" s="127"/>
      <c r="E474" s="127"/>
      <c r="F474" s="127"/>
    </row>
    <row r="475">
      <c r="A475" s="147"/>
      <c r="B475" s="127"/>
      <c r="C475" s="127"/>
      <c r="D475" s="127"/>
      <c r="E475" s="127"/>
      <c r="F475" s="127"/>
    </row>
    <row r="476">
      <c r="A476" s="147"/>
      <c r="B476" s="127"/>
      <c r="C476" s="127"/>
      <c r="D476" s="127"/>
      <c r="E476" s="127"/>
      <c r="F476" s="127"/>
    </row>
    <row r="477">
      <c r="A477" s="147"/>
      <c r="B477" s="127"/>
      <c r="C477" s="127"/>
      <c r="D477" s="127"/>
      <c r="E477" s="127"/>
      <c r="F477" s="127"/>
    </row>
    <row r="478">
      <c r="A478" s="147"/>
      <c r="B478" s="127"/>
      <c r="C478" s="127"/>
      <c r="D478" s="127"/>
      <c r="E478" s="127"/>
      <c r="F478" s="127"/>
    </row>
    <row r="479">
      <c r="A479" s="147"/>
      <c r="B479" s="127"/>
      <c r="C479" s="127"/>
      <c r="D479" s="127"/>
      <c r="E479" s="127"/>
      <c r="F479" s="127"/>
    </row>
    <row r="480">
      <c r="A480" s="147"/>
      <c r="B480" s="127"/>
      <c r="C480" s="127"/>
      <c r="D480" s="127"/>
      <c r="E480" s="127"/>
      <c r="F480" s="127"/>
    </row>
    <row r="481">
      <c r="A481" s="147"/>
      <c r="B481" s="127"/>
      <c r="C481" s="127"/>
      <c r="D481" s="127"/>
      <c r="E481" s="127"/>
      <c r="F481" s="127"/>
    </row>
    <row r="482">
      <c r="A482" s="147"/>
      <c r="B482" s="127"/>
      <c r="C482" s="127"/>
      <c r="D482" s="127"/>
      <c r="E482" s="127"/>
      <c r="F482" s="127"/>
    </row>
    <row r="483">
      <c r="A483" s="147"/>
      <c r="B483" s="127"/>
      <c r="C483" s="127"/>
      <c r="D483" s="127"/>
      <c r="E483" s="127"/>
      <c r="F483" s="127"/>
    </row>
    <row r="484">
      <c r="A484" s="147"/>
      <c r="B484" s="127"/>
      <c r="C484" s="127"/>
      <c r="D484" s="127"/>
      <c r="E484" s="127"/>
      <c r="F484" s="127"/>
    </row>
    <row r="485">
      <c r="A485" s="147"/>
      <c r="B485" s="127"/>
      <c r="C485" s="127"/>
      <c r="D485" s="127"/>
      <c r="E485" s="127"/>
      <c r="F485" s="127"/>
    </row>
    <row r="486">
      <c r="A486" s="147"/>
      <c r="B486" s="127"/>
      <c r="C486" s="127"/>
      <c r="D486" s="127"/>
      <c r="E486" s="127"/>
      <c r="F486" s="127"/>
    </row>
    <row r="487">
      <c r="A487" s="147"/>
      <c r="B487" s="127"/>
      <c r="C487" s="127"/>
      <c r="D487" s="127"/>
      <c r="E487" s="127"/>
      <c r="F487" s="127"/>
    </row>
    <row r="488">
      <c r="A488" s="147"/>
      <c r="B488" s="127"/>
      <c r="C488" s="127"/>
      <c r="D488" s="127"/>
      <c r="E488" s="127"/>
      <c r="F488" s="127"/>
    </row>
    <row r="489">
      <c r="A489" s="147"/>
      <c r="B489" s="127"/>
      <c r="C489" s="127"/>
      <c r="D489" s="127"/>
      <c r="E489" s="127"/>
      <c r="F489" s="127"/>
    </row>
    <row r="490">
      <c r="A490" s="147"/>
      <c r="B490" s="127"/>
      <c r="C490" s="127"/>
      <c r="D490" s="127"/>
      <c r="E490" s="127"/>
      <c r="F490" s="127"/>
    </row>
    <row r="491">
      <c r="A491" s="147"/>
      <c r="B491" s="127"/>
      <c r="C491" s="127"/>
      <c r="D491" s="127"/>
      <c r="E491" s="127"/>
      <c r="F491" s="127"/>
    </row>
    <row r="492">
      <c r="A492" s="147"/>
      <c r="B492" s="127"/>
      <c r="C492" s="127"/>
      <c r="D492" s="127"/>
      <c r="E492" s="127"/>
      <c r="F492" s="127"/>
    </row>
    <row r="493">
      <c r="A493" s="147"/>
      <c r="B493" s="127"/>
      <c r="C493" s="127"/>
      <c r="D493" s="127"/>
      <c r="E493" s="127"/>
      <c r="F493" s="127"/>
    </row>
    <row r="494">
      <c r="A494" s="147"/>
      <c r="B494" s="127"/>
      <c r="C494" s="127"/>
      <c r="D494" s="127"/>
      <c r="E494" s="127"/>
      <c r="F494" s="127"/>
    </row>
    <row r="495">
      <c r="A495" s="147"/>
      <c r="B495" s="127"/>
      <c r="C495" s="127"/>
      <c r="D495" s="127"/>
      <c r="E495" s="127"/>
      <c r="F495" s="127"/>
    </row>
    <row r="496">
      <c r="A496" s="147"/>
      <c r="B496" s="127"/>
      <c r="C496" s="127"/>
      <c r="D496" s="127"/>
      <c r="E496" s="127"/>
      <c r="F496" s="127"/>
    </row>
    <row r="497">
      <c r="A497" s="147"/>
      <c r="B497" s="127"/>
      <c r="C497" s="127"/>
      <c r="D497" s="127"/>
      <c r="E497" s="127"/>
      <c r="F497" s="127"/>
    </row>
    <row r="498">
      <c r="A498" s="147"/>
      <c r="B498" s="127"/>
      <c r="C498" s="127"/>
      <c r="D498" s="127"/>
      <c r="E498" s="127"/>
      <c r="F498" s="127"/>
    </row>
    <row r="499">
      <c r="A499" s="147"/>
      <c r="B499" s="127"/>
      <c r="C499" s="127"/>
      <c r="D499" s="127"/>
      <c r="E499" s="127"/>
      <c r="F499" s="127"/>
    </row>
    <row r="500">
      <c r="A500" s="147"/>
      <c r="B500" s="127"/>
      <c r="C500" s="127"/>
      <c r="D500" s="127"/>
      <c r="E500" s="127"/>
      <c r="F500" s="127"/>
    </row>
    <row r="501">
      <c r="A501" s="147"/>
      <c r="B501" s="127"/>
      <c r="C501" s="127"/>
      <c r="D501" s="127"/>
      <c r="E501" s="127"/>
      <c r="F501" s="127"/>
    </row>
    <row r="502">
      <c r="A502" s="147"/>
      <c r="B502" s="127"/>
      <c r="C502" s="127"/>
      <c r="D502" s="127"/>
      <c r="E502" s="127"/>
      <c r="F502" s="127"/>
    </row>
    <row r="503">
      <c r="A503" s="147"/>
      <c r="B503" s="127"/>
      <c r="C503" s="127"/>
      <c r="D503" s="127"/>
      <c r="E503" s="127"/>
      <c r="F503" s="127"/>
    </row>
    <row r="504">
      <c r="A504" s="147"/>
      <c r="B504" s="127"/>
      <c r="C504" s="127"/>
      <c r="D504" s="127"/>
      <c r="E504" s="127"/>
      <c r="F504" s="127"/>
    </row>
    <row r="505">
      <c r="A505" s="147"/>
      <c r="B505" s="127"/>
      <c r="C505" s="127"/>
      <c r="D505" s="127"/>
      <c r="E505" s="127"/>
      <c r="F505" s="127"/>
    </row>
    <row r="506">
      <c r="A506" s="147"/>
      <c r="B506" s="127"/>
      <c r="C506" s="127"/>
      <c r="D506" s="127"/>
      <c r="E506" s="127"/>
      <c r="F506" s="127"/>
    </row>
    <row r="507">
      <c r="A507" s="147"/>
      <c r="B507" s="127"/>
      <c r="C507" s="127"/>
      <c r="D507" s="127"/>
      <c r="E507" s="127"/>
      <c r="F507" s="127"/>
    </row>
    <row r="508">
      <c r="A508" s="147"/>
      <c r="B508" s="127"/>
      <c r="C508" s="127"/>
      <c r="D508" s="127"/>
      <c r="E508" s="127"/>
      <c r="F508" s="127"/>
    </row>
    <row r="509">
      <c r="A509" s="147"/>
      <c r="B509" s="127"/>
      <c r="C509" s="127"/>
      <c r="D509" s="127"/>
      <c r="E509" s="127"/>
      <c r="F509" s="127"/>
    </row>
    <row r="510">
      <c r="A510" s="147"/>
      <c r="B510" s="127"/>
      <c r="C510" s="127"/>
      <c r="D510" s="127"/>
      <c r="E510" s="127"/>
      <c r="F510" s="127"/>
    </row>
    <row r="511">
      <c r="A511" s="147"/>
      <c r="B511" s="127"/>
      <c r="C511" s="127"/>
      <c r="D511" s="127"/>
      <c r="E511" s="127"/>
      <c r="F511" s="127"/>
    </row>
    <row r="512">
      <c r="A512" s="147"/>
      <c r="B512" s="127"/>
      <c r="C512" s="127"/>
      <c r="D512" s="127"/>
      <c r="E512" s="127"/>
      <c r="F512" s="127"/>
    </row>
    <row r="513">
      <c r="A513" s="147"/>
      <c r="B513" s="127"/>
      <c r="C513" s="127"/>
      <c r="D513" s="127"/>
      <c r="E513" s="127"/>
      <c r="F513" s="127"/>
    </row>
    <row r="514">
      <c r="A514" s="147"/>
      <c r="B514" s="127"/>
      <c r="C514" s="127"/>
      <c r="D514" s="127"/>
      <c r="E514" s="127"/>
      <c r="F514" s="127"/>
    </row>
    <row r="515">
      <c r="A515" s="147"/>
      <c r="B515" s="127"/>
      <c r="C515" s="127"/>
      <c r="D515" s="127"/>
      <c r="E515" s="127"/>
      <c r="F515" s="127"/>
    </row>
    <row r="516">
      <c r="A516" s="147"/>
      <c r="B516" s="127"/>
      <c r="C516" s="127"/>
      <c r="D516" s="127"/>
      <c r="E516" s="127"/>
      <c r="F516" s="127"/>
    </row>
    <row r="517">
      <c r="A517" s="147"/>
      <c r="B517" s="127"/>
      <c r="C517" s="127"/>
      <c r="D517" s="127"/>
      <c r="E517" s="127"/>
      <c r="F517" s="127"/>
    </row>
    <row r="518">
      <c r="A518" s="147"/>
      <c r="B518" s="127"/>
      <c r="C518" s="127"/>
      <c r="D518" s="127"/>
      <c r="E518" s="127"/>
      <c r="F518" s="127"/>
    </row>
    <row r="519">
      <c r="A519" s="147"/>
      <c r="B519" s="127"/>
      <c r="C519" s="127"/>
      <c r="D519" s="127"/>
      <c r="E519" s="127"/>
      <c r="F519" s="127"/>
    </row>
    <row r="520">
      <c r="A520" s="147"/>
      <c r="B520" s="127"/>
      <c r="C520" s="127"/>
      <c r="D520" s="127"/>
      <c r="E520" s="127"/>
      <c r="F520" s="127"/>
    </row>
    <row r="521">
      <c r="A521" s="147"/>
      <c r="B521" s="127"/>
      <c r="C521" s="127"/>
      <c r="D521" s="127"/>
      <c r="E521" s="127"/>
      <c r="F521" s="127"/>
    </row>
    <row r="522">
      <c r="A522" s="147"/>
      <c r="B522" s="127"/>
      <c r="C522" s="127"/>
      <c r="D522" s="127"/>
      <c r="E522" s="127"/>
      <c r="F522" s="127"/>
    </row>
    <row r="523">
      <c r="A523" s="147"/>
      <c r="B523" s="127"/>
      <c r="C523" s="127"/>
      <c r="D523" s="127"/>
      <c r="E523" s="127"/>
      <c r="F523" s="127"/>
    </row>
    <row r="524">
      <c r="A524" s="147"/>
      <c r="B524" s="127"/>
      <c r="C524" s="127"/>
      <c r="D524" s="127"/>
      <c r="E524" s="127"/>
      <c r="F524" s="127"/>
    </row>
    <row r="525">
      <c r="A525" s="147"/>
      <c r="B525" s="127"/>
      <c r="C525" s="127"/>
      <c r="D525" s="127"/>
      <c r="E525" s="127"/>
      <c r="F525" s="127"/>
    </row>
    <row r="526">
      <c r="A526" s="147"/>
      <c r="B526" s="127"/>
      <c r="C526" s="127"/>
      <c r="D526" s="127"/>
      <c r="E526" s="127"/>
      <c r="F526" s="127"/>
    </row>
    <row r="527">
      <c r="A527" s="147"/>
      <c r="B527" s="127"/>
      <c r="C527" s="127"/>
      <c r="D527" s="127"/>
      <c r="E527" s="127"/>
      <c r="F527" s="127"/>
    </row>
    <row r="528">
      <c r="A528" s="147"/>
      <c r="B528" s="127"/>
      <c r="C528" s="127"/>
      <c r="D528" s="127"/>
      <c r="E528" s="127"/>
      <c r="F528" s="127"/>
    </row>
    <row r="529">
      <c r="A529" s="147"/>
      <c r="B529" s="127"/>
      <c r="C529" s="127"/>
      <c r="D529" s="127"/>
      <c r="E529" s="127"/>
      <c r="F529" s="127"/>
    </row>
  </sheetData>
  <mergeCells count="5">
    <mergeCell ref="A1:A5"/>
    <mergeCell ref="B1:C2"/>
    <mergeCell ref="B3:C5"/>
    <mergeCell ref="A14:A18"/>
    <mergeCell ref="A21:A28"/>
  </mergeCells>
  <dataValidations>
    <dataValidation type="list" allowBlank="1" sqref="B10:F11">
      <formula1>"In Progress,Complete,NA"</formula1>
    </dataValidation>
  </dataValidations>
  <drawing r:id="rId1"/>
</worksheet>
</file>