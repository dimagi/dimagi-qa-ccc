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Dashboard" sheetId="2" state="visible" r:id="rId2"/>
    <sheet name="Gap Analysis" sheetId="3" state="visible" r:id="rId3"/>
    <sheet name="Automation (existing MTP)" sheetId="4" state="visible" r:id="rId4"/>
    <sheet name=" Test Tracker" sheetId="5" state="visible" r:id="rId5"/>
    <sheet name="Personal ID Tests" sheetId="6" state="visible" r:id="rId6"/>
    <sheet name="Integration Tests (Connect)" sheetId="7" state="visible" r:id="rId7"/>
    <sheet name="Connect Landing Page" sheetId="8" state="visible" r:id="rId8"/>
    <sheet name="Connect messaging" sheetId="9" state="visible" r:id="rId9"/>
    <sheet name="Connect Notifications" sheetId="10" state="visible" r:id="rId10"/>
    <sheet name="Connect worker History" sheetId="11" state="visible" r:id="rId11"/>
    <sheet name="Case List map " sheetId="12" state="visible" r:id="rId12"/>
    <sheet name="Test Tracker Horizontal" sheetId="13" state="hidden" r:id="rId13"/>
  </sheets>
  <definedNames/>
  <calcPr calcId="124519" fullCalcOnLoad="1"/>
</workbook>
</file>

<file path=xl/styles.xml><?xml version="1.0" encoding="utf-8"?>
<styleSheet xmlns="http://schemas.openxmlformats.org/spreadsheetml/2006/main">
  <numFmts count="1">
    <numFmt numFmtId="164" formatCode="mm/dd/yyyy"/>
  </numFmts>
  <fonts count="29">
    <font>
      <name val="Arial"/>
      <color rgb="FF000000"/>
      <sz val="10"/>
      <scheme val="minor"/>
    </font>
    <font>
      <name val="Arial"/>
      <b val="1"/>
      <color theme="1"/>
      <sz val="10"/>
      <scheme val="minor"/>
    </font>
    <font>
      <name val="Arial"/>
      <b val="1"/>
      <color theme="1"/>
    </font>
    <font/>
    <font>
      <name val="Arial"/>
      <color theme="1"/>
      <scheme val="minor"/>
    </font>
    <font>
      <name val="Arial"/>
      <color theme="1"/>
    </font>
    <font>
      <name val="&quot;Nunito Sans&quot;"/>
      <color theme="1"/>
      <sz val="11"/>
    </font>
    <font>
      <name val="Arial"/>
      <color rgb="FF000000"/>
      <scheme val="minor"/>
    </font>
    <font>
      <name val="Arial"/>
      <b val="1"/>
      <color rgb="FFFFFFFF"/>
    </font>
    <font>
      <name val="Arial"/>
      <color rgb="FF000000"/>
      <sz val="11"/>
    </font>
    <font>
      <name val="Roboto"/>
      <b val="1"/>
      <color rgb="FFFFFFFF"/>
      <sz val="11"/>
    </font>
    <font>
      <name val="Roboto"/>
      <color theme="1"/>
      <sz val="11"/>
    </font>
    <font>
      <name val="Roboto"/>
      <color rgb="FFFFFFFF"/>
      <sz val="11"/>
    </font>
    <font>
      <name val="Arial"/>
      <b val="1"/>
      <color rgb="FF000000"/>
      <sz val="10"/>
    </font>
    <font>
      <name val="Arial"/>
      <color rgb="FF000000"/>
      <sz val="10"/>
    </font>
    <font>
      <name val="Nunito Sans"/>
      <color theme="1"/>
      <sz val="11"/>
    </font>
    <font>
      <name val="Arial"/>
      <color rgb="FF0000FF"/>
      <u val="single"/>
    </font>
    <font>
      <name val="Calibri"/>
      <color rgb="FF000000"/>
      <sz val="11"/>
    </font>
    <font>
      <name val="Calibri"/>
      <b val="1"/>
      <color rgb="FF222222"/>
      <sz val="11"/>
    </font>
    <font>
      <name val="Arial"/>
      <b val="1"/>
      <color rgb="FF222222"/>
    </font>
    <font>
      <name val="Arial"/>
      <b val="1"/>
      <color rgb="FFFFFFFF"/>
      <sz val="10"/>
      <scheme val="minor"/>
    </font>
    <font>
      <name val="Arial"/>
      <color theme="1"/>
      <sz val="10"/>
      <scheme val="minor"/>
    </font>
    <font>
      <name val="Arial"/>
      <color theme="1"/>
      <sz val="10"/>
    </font>
    <font>
      <b val="1"/>
    </font>
    <font>
      <b val="1"/>
      <sz val="14"/>
    </font>
    <font>
      <b val="1"/>
      <sz val="15"/>
    </font>
    <font>
      <i val="1"/>
      <color rgb="00555555"/>
    </font>
    <font>
      <b val="1"/>
      <sz val="13"/>
    </font>
    <font>
      <i val="1"/>
    </font>
  </fonts>
  <fills count="22">
    <fill>
      <patternFill/>
    </fill>
    <fill>
      <patternFill patternType="lightGray"/>
    </fill>
    <fill>
      <patternFill patternType="solid">
        <fgColor rgb="FFB10202"/>
        <bgColor rgb="FFB10202"/>
      </patternFill>
    </fill>
    <fill>
      <patternFill patternType="solid">
        <fgColor rgb="FF073763"/>
        <bgColor rgb="FF073763"/>
      </patternFill>
    </fill>
    <fill>
      <patternFill patternType="solid">
        <fgColor rgb="FF999999"/>
        <bgColor rgb="FF999999"/>
      </patternFill>
    </fill>
    <fill>
      <patternFill patternType="solid">
        <fgColor rgb="FFD4EDBC"/>
        <bgColor rgb="FFD4EDBC"/>
      </patternFill>
    </fill>
    <fill>
      <patternFill patternType="solid">
        <fgColor rgb="FFFFCFC9"/>
        <bgColor rgb="FFFFCFC9"/>
      </patternFill>
    </fill>
    <fill>
      <patternFill patternType="solid">
        <fgColor rgb="FFFFE599"/>
        <bgColor rgb="FFFFE599"/>
      </patternFill>
    </fill>
    <fill>
      <patternFill patternType="solid">
        <fgColor rgb="FF9FC5E8"/>
        <bgColor rgb="FF9FC5E8"/>
      </patternFill>
    </fill>
    <fill>
      <patternFill patternType="solid">
        <fgColor rgb="FFA2C4C9"/>
        <bgColor rgb="FFA2C4C9"/>
      </patternFill>
    </fill>
    <fill>
      <patternFill patternType="solid">
        <fgColor rgb="FFFFFFFF"/>
        <bgColor rgb="FFFFFFFF"/>
      </patternFill>
    </fill>
    <fill>
      <patternFill patternType="solid">
        <fgColor rgb="FFF6B26B"/>
        <bgColor rgb="FFF6B26B"/>
      </patternFill>
    </fill>
    <fill>
      <patternFill patternType="solid">
        <fgColor rgb="FFFFD966"/>
        <bgColor rgb="FFFFD966"/>
      </patternFill>
    </fill>
    <fill>
      <patternFill patternType="solid">
        <fgColor rgb="FFB7E1CD"/>
        <bgColor rgb="FFB7E1CD"/>
      </patternFill>
    </fill>
    <fill>
      <patternFill patternType="solid">
        <fgColor rgb="FFF4C7C3"/>
        <bgColor rgb="FFF4C7C3"/>
      </patternFill>
    </fill>
    <fill>
      <patternFill patternType="solid">
        <fgColor rgb="FFFFF2CC"/>
        <bgColor rgb="FFFFF2CC"/>
      </patternFill>
    </fill>
    <fill>
      <patternFill patternType="solid">
        <fgColor rgb="FFA61C00"/>
        <bgColor rgb="FFA61C00"/>
      </patternFill>
    </fill>
    <fill>
      <patternFill patternType="solid">
        <fgColor rgb="FFFCE8B2"/>
        <bgColor rgb="FFFCE8B2"/>
      </patternFill>
    </fill>
    <fill>
      <patternFill patternType="solid">
        <fgColor rgb="FF980000"/>
        <bgColor rgb="FF980000"/>
      </patternFill>
    </fill>
    <fill>
      <patternFill patternType="solid">
        <fgColor rgb="00D9E1F2"/>
      </patternFill>
    </fill>
    <fill>
      <patternFill patternType="solid">
        <fgColor rgb="00FCE4D6"/>
      </patternFill>
    </fill>
    <fill>
      <patternFill patternType="solid">
        <fgColor rgb="00E2EFDA"/>
      </patternFill>
    </fill>
  </fills>
  <borders count="16">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numFmtId="0" fontId="0" fillId="0" borderId="0"/>
  </cellStyleXfs>
  <cellXfs count="180">
    <xf numFmtId="0" fontId="0" fillId="0" borderId="0" applyAlignment="1" pivotButton="0" quotePrefix="0" xfId="0">
      <alignment vertical="bottom"/>
    </xf>
    <xf numFmtId="0" fontId="1" fillId="0" borderId="1" applyAlignment="1" pivotButton="0" quotePrefix="0" xfId="0">
      <alignment horizontal="center" vertical="center"/>
    </xf>
    <xf numFmtId="0" fontId="2" fillId="0" borderId="2" applyAlignment="1" pivotButton="0" quotePrefix="0" xfId="0">
      <alignment horizontal="center" vertical="center"/>
    </xf>
    <xf numFmtId="0" fontId="3" fillId="0" borderId="3" pivotButton="0" quotePrefix="0" xfId="0"/>
    <xf numFmtId="0" fontId="3" fillId="0" borderId="4" pivotButton="0" quotePrefix="0" xfId="0"/>
    <xf numFmtId="0" fontId="4" fillId="0" borderId="0" applyAlignment="1" pivotButton="0" quotePrefix="0" xfId="0">
      <alignment vertical="center"/>
    </xf>
    <xf numFmtId="0" fontId="2" fillId="0" borderId="5" applyAlignment="1" pivotButton="0" quotePrefix="0" xfId="0">
      <alignment horizontal="center" vertical="center"/>
    </xf>
    <xf numFmtId="0" fontId="3" fillId="0" borderId="6" pivotButton="0" quotePrefix="0" xfId="0"/>
    <xf numFmtId="0" fontId="3" fillId="0" borderId="7" pivotButton="0" quotePrefix="0" xfId="0"/>
    <xf numFmtId="0" fontId="5" fillId="0" borderId="0" applyAlignment="1" pivotButton="0" quotePrefix="0" xfId="0">
      <alignment horizontal="center" vertical="center"/>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6" fillId="0" borderId="2" applyAlignment="1" pivotButton="0" quotePrefix="0" xfId="0">
      <alignment vertical="center"/>
    </xf>
    <xf numFmtId="0" fontId="5" fillId="0" borderId="5" applyAlignment="1" pivotButton="0" quotePrefix="0" xfId="0">
      <alignment horizontal="left" vertical="center"/>
    </xf>
    <xf numFmtId="0" fontId="5" fillId="0" borderId="0" applyAlignment="1" pivotButton="0" quotePrefix="0" xfId="0">
      <alignment horizontal="left" vertical="center"/>
    </xf>
    <xf numFmtId="0" fontId="7" fillId="0" borderId="2" applyAlignment="1" pivotButton="0" quotePrefix="0" xfId="0">
      <alignment horizontal="left" vertical="center" wrapText="1"/>
    </xf>
    <xf numFmtId="0" fontId="3" fillId="0" borderId="12" pivotButton="0" quotePrefix="0" xfId="0"/>
    <xf numFmtId="0" fontId="3" fillId="0" borderId="13" pivotButton="0" quotePrefix="0" xfId="0"/>
    <xf numFmtId="0" fontId="5" fillId="0" borderId="14" applyAlignment="1" pivotButton="0" quotePrefix="0" xfId="0">
      <alignment horizontal="left" vertical="center"/>
    </xf>
    <xf numFmtId="0" fontId="3" fillId="0" borderId="15" pivotButton="0" quotePrefix="0" xfId="0"/>
    <xf numFmtId="0" fontId="6" fillId="2" borderId="2" applyAlignment="1" pivotButton="0" quotePrefix="0" xfId="0">
      <alignment vertical="center"/>
    </xf>
    <xf numFmtId="0" fontId="5" fillId="0" borderId="0" applyAlignment="1" pivotButton="0" quotePrefix="0" xfId="0">
      <alignment horizontal="left" vertical="center" wrapText="1"/>
    </xf>
    <xf numFmtId="0" fontId="8" fillId="3" borderId="14" applyAlignment="1" pivotButton="0" quotePrefix="0" xfId="0">
      <alignment horizontal="center" vertical="center"/>
    </xf>
    <xf numFmtId="0" fontId="9" fillId="4" borderId="5" applyAlignment="1" pivotButton="0" quotePrefix="0" xfId="0">
      <alignment horizontal="center" vertical="center"/>
    </xf>
    <xf numFmtId="0" fontId="5" fillId="0" borderId="0" applyAlignment="1" pivotButton="0" quotePrefix="0" xfId="0">
      <alignment horizontal="left" vertical="center"/>
    </xf>
    <xf numFmtId="0" fontId="4" fillId="0" borderId="0" applyAlignment="1" pivotButton="0" quotePrefix="0" xfId="0">
      <alignment horizontal="center" vertical="center"/>
    </xf>
    <xf numFmtId="14" fontId="4" fillId="0" borderId="0" applyAlignment="1" pivotButton="0" quotePrefix="0" xfId="0">
      <alignment horizontal="center" vertical="center"/>
    </xf>
    <xf numFmtId="164"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3" borderId="14" applyAlignment="1" pivotButton="0" quotePrefix="0" xfId="0">
      <alignment horizontal="center" vertical="center" wrapText="1"/>
    </xf>
    <xf numFmtId="0" fontId="10" fillId="3" borderId="14" applyAlignment="1" pivotButton="0" quotePrefix="0" xfId="0">
      <alignment horizontal="center" vertical="center" wrapText="1"/>
    </xf>
    <xf numFmtId="0" fontId="10" fillId="3" borderId="14" applyAlignment="1" pivotButton="0" quotePrefix="0" xfId="0">
      <alignment horizontal="center" vertical="center" wrapText="1"/>
    </xf>
    <xf numFmtId="0" fontId="5" fillId="0" borderId="13" applyAlignment="1" pivotButton="0" quotePrefix="0" xfId="0">
      <alignment vertical="center"/>
    </xf>
    <xf numFmtId="0" fontId="10" fillId="3" borderId="10" applyAlignment="1" pivotButton="0" quotePrefix="0" xfId="0">
      <alignment horizontal="center" vertical="center" wrapText="1"/>
    </xf>
    <xf numFmtId="0" fontId="10" fillId="3" borderId="11" applyAlignment="1" pivotButton="0" quotePrefix="0" xfId="0">
      <alignment horizontal="center" vertical="center" wrapText="1"/>
    </xf>
    <xf numFmtId="0" fontId="10" fillId="3" borderId="15" applyAlignment="1" pivotButton="0" quotePrefix="0" xfId="0">
      <alignment horizontal="center" vertical="center" wrapText="1"/>
    </xf>
    <xf numFmtId="0" fontId="5" fillId="0" borderId="11" applyAlignment="1" pivotButton="0" quotePrefix="0" xfId="0">
      <alignment vertical="center"/>
    </xf>
    <xf numFmtId="0" fontId="5" fillId="0" borderId="11" applyAlignment="1" pivotButton="0" quotePrefix="0" xfId="0">
      <alignment vertical="center"/>
    </xf>
    <xf numFmtId="0" fontId="11" fillId="5" borderId="11" applyAlignment="1" pivotButton="0" quotePrefix="0" xfId="0">
      <alignment horizontal="center" vertical="center" wrapText="1"/>
    </xf>
    <xf numFmtId="0" fontId="11" fillId="6" borderId="11" applyAlignment="1" pivotButton="0" quotePrefix="0" xfId="0">
      <alignment horizontal="center" vertical="center" wrapText="1"/>
    </xf>
    <xf numFmtId="0" fontId="11" fillId="7" borderId="11" applyAlignment="1" pivotButton="0" quotePrefix="0" xfId="0">
      <alignment horizontal="center" vertical="center" wrapText="1"/>
    </xf>
    <xf numFmtId="0" fontId="12" fillId="2" borderId="11" applyAlignment="1" pivotButton="0" quotePrefix="0" xfId="0">
      <alignment horizontal="center" vertical="center" wrapText="1"/>
    </xf>
    <xf numFmtId="0" fontId="11" fillId="4" borderId="11" applyAlignment="1" pivotButton="0" quotePrefix="0" xfId="0">
      <alignment horizontal="center" vertical="center" wrapText="1"/>
    </xf>
    <xf numFmtId="0" fontId="11" fillId="0" borderId="11" applyAlignment="1" pivotButton="0" quotePrefix="0" xfId="0">
      <alignment horizontal="center" vertical="center" wrapText="1"/>
    </xf>
    <xf numFmtId="0" fontId="5"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horizontal="center" vertical="center" wrapText="1"/>
    </xf>
    <xf numFmtId="0" fontId="1" fillId="8" borderId="14" applyAlignment="1" pivotButton="0" quotePrefix="0" xfId="0">
      <alignment horizontal="center" vertical="center" wrapText="1"/>
    </xf>
    <xf numFmtId="0" fontId="13" fillId="8" borderId="14" applyAlignment="1" pivotButton="0" quotePrefix="0" xfId="0">
      <alignment horizontal="center" vertical="center" wrapText="1"/>
    </xf>
    <xf numFmtId="0" fontId="14" fillId="0" borderId="14" applyAlignment="1" pivotButton="0" quotePrefix="0" xfId="0">
      <alignment horizontal="center" vertical="center" wrapText="1"/>
    </xf>
    <xf numFmtId="0" fontId="14" fillId="0" borderId="14" applyAlignment="1" pivotButton="0" quotePrefix="0" xfId="0">
      <alignment horizontal="left" vertical="bottom" wrapText="1"/>
    </xf>
    <xf numFmtId="0" fontId="5" fillId="0" borderId="14" applyAlignment="1" pivotButton="0" quotePrefix="0" xfId="0">
      <alignment horizontal="left" vertical="bottom" wrapText="1"/>
    </xf>
    <xf numFmtId="0" fontId="14" fillId="0" borderId="2" applyAlignment="1" pivotButton="0" quotePrefix="0" xfId="0">
      <alignment horizontal="left" vertical="bottom" wrapText="1"/>
    </xf>
    <xf numFmtId="0" fontId="6" fillId="0" borderId="2"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14" applyAlignment="1" pivotButton="0" quotePrefix="0" xfId="0">
      <alignment horizontal="center" vertical="center" wrapText="1"/>
    </xf>
    <xf numFmtId="0" fontId="6" fillId="0" borderId="14" applyAlignment="1" pivotButton="0" quotePrefix="0" xfId="0">
      <alignment horizontal="center" vertical="center" wrapText="1"/>
    </xf>
    <xf numFmtId="0" fontId="5" fillId="0" borderId="14" applyAlignment="1" pivotButton="0" quotePrefix="0" xfId="0">
      <alignment horizontal="left" vertical="bottom" wrapText="1"/>
    </xf>
    <xf numFmtId="0" fontId="2" fillId="9" borderId="14" applyAlignment="1" pivotButton="0" quotePrefix="0" xfId="0">
      <alignment horizontal="center" vertical="center" wrapText="1"/>
    </xf>
    <xf numFmtId="0" fontId="5" fillId="0" borderId="14" applyAlignment="1" pivotButton="0" quotePrefix="0" xfId="0">
      <alignment horizontal="center" vertical="center" wrapText="1"/>
    </xf>
    <xf numFmtId="0" fontId="14" fillId="0" borderId="14" applyAlignment="1" pivotButton="0" quotePrefix="0" xfId="0">
      <alignment horizontal="left" vertical="center" wrapText="1"/>
    </xf>
    <xf numFmtId="0" fontId="5" fillId="0" borderId="14" applyAlignment="1" pivotButton="0" quotePrefix="0" xfId="0">
      <alignment vertical="center" wrapText="1"/>
    </xf>
    <xf numFmtId="0" fontId="5" fillId="0" borderId="14" applyAlignment="1" pivotButton="0" quotePrefix="0" xfId="0">
      <alignment vertical="center" wrapText="1"/>
    </xf>
    <xf numFmtId="0" fontId="4" fillId="0" borderId="14" applyAlignment="1" pivotButton="0" quotePrefix="0" xfId="0">
      <alignment horizontal="left" vertical="center" wrapText="1"/>
    </xf>
    <xf numFmtId="0" fontId="5" fillId="0" borderId="14" applyAlignment="1" pivotButton="0" quotePrefix="0" xfId="0">
      <alignment vertical="center" wrapText="1"/>
    </xf>
    <xf numFmtId="0" fontId="5" fillId="0" borderId="14" applyAlignment="1" pivotButton="0" quotePrefix="0" xfId="0">
      <alignment horizontal="left" vertical="center" wrapText="1"/>
    </xf>
    <xf numFmtId="0" fontId="5" fillId="0" borderId="14" applyAlignment="1" pivotButton="0" quotePrefix="0" xfId="0">
      <alignment horizontal="center" vertical="center" wrapText="1"/>
    </xf>
    <xf numFmtId="0" fontId="2" fillId="10" borderId="14" applyAlignment="1" pivotButton="0" quotePrefix="0" xfId="0">
      <alignment horizontal="center" vertical="center" wrapText="1"/>
    </xf>
    <xf numFmtId="0" fontId="5" fillId="0" borderId="14" applyAlignment="1" pivotButton="0" quotePrefix="0" xfId="0">
      <alignment vertical="bottom" wrapText="1"/>
    </xf>
    <xf numFmtId="0" fontId="5" fillId="0" borderId="14" applyAlignment="1" pivotButton="0" quotePrefix="0" xfId="0">
      <alignment vertical="bottom" wrapText="1"/>
    </xf>
    <xf numFmtId="0" fontId="2" fillId="9" borderId="14" applyAlignment="1" pivotButton="0" quotePrefix="0" xfId="0">
      <alignment horizontal="center" vertical="center" wrapText="1"/>
    </xf>
    <xf numFmtId="0" fontId="5" fillId="0" borderId="14" applyAlignment="1" pivotButton="0" quotePrefix="0" xfId="0">
      <alignment horizontal="left" vertical="center" wrapText="1"/>
    </xf>
    <xf numFmtId="0" fontId="5" fillId="0" borderId="14" applyAlignment="1" pivotButton="0" quotePrefix="0" xfId="0">
      <alignment horizontal="left" vertical="center" wrapText="1"/>
    </xf>
    <xf numFmtId="0" fontId="5" fillId="0" borderId="0" applyAlignment="1" pivotButton="0" quotePrefix="0" xfId="0">
      <alignment vertical="center" wrapText="1"/>
    </xf>
    <xf numFmtId="0" fontId="5" fillId="0" borderId="14" applyAlignment="1" pivotButton="0" quotePrefix="0" xfId="0">
      <alignment horizontal="left" vertical="center"/>
    </xf>
    <xf numFmtId="0" fontId="5" fillId="0" borderId="14" applyAlignment="1" pivotButton="0" quotePrefix="0" xfId="0">
      <alignment horizontal="left" vertical="center"/>
    </xf>
    <xf numFmtId="0" fontId="2" fillId="11" borderId="5" applyAlignment="1" pivotButton="0" quotePrefix="0" xfId="0">
      <alignment horizontal="center" vertical="center" wrapText="1"/>
    </xf>
    <xf numFmtId="0" fontId="2" fillId="9" borderId="0" applyAlignment="1" pivotButton="0" quotePrefix="0" xfId="0">
      <alignment horizontal="center" vertical="center" wrapText="1"/>
    </xf>
    <xf numFmtId="0" fontId="2" fillId="8" borderId="14" applyAlignment="1" pivotButton="0" quotePrefix="0" xfId="0">
      <alignment horizontal="center" vertical="center" wrapText="1"/>
    </xf>
    <xf numFmtId="0" fontId="5" fillId="10" borderId="14" applyAlignment="1" pivotButton="0" quotePrefix="0" xfId="0">
      <alignment horizontal="center" vertical="center" wrapText="1"/>
    </xf>
    <xf numFmtId="0" fontId="5" fillId="0" borderId="14" applyAlignment="1" pivotButton="0" quotePrefix="0" xfId="0">
      <alignment horizontal="left" vertical="bottom" wrapText="1"/>
    </xf>
    <xf numFmtId="0" fontId="5" fillId="10" borderId="14" applyAlignment="1" pivotButton="0" quotePrefix="0" xfId="0">
      <alignment horizontal="left" vertical="bottom" wrapText="1"/>
    </xf>
    <xf numFmtId="0" fontId="5" fillId="0" borderId="14" pivotButton="0" quotePrefix="0" xfId="0"/>
    <xf numFmtId="0" fontId="5" fillId="10" borderId="14" pivotButton="0" quotePrefix="0" xfId="0"/>
    <xf numFmtId="0" fontId="5" fillId="10" borderId="14" pivotButton="0" quotePrefix="0" xfId="0"/>
    <xf numFmtId="0" fontId="5" fillId="0" borderId="0" applyAlignment="1" pivotButton="0" quotePrefix="0" xfId="0">
      <alignment vertical="center" wrapText="1"/>
    </xf>
    <xf numFmtId="0" fontId="5" fillId="10" borderId="14" applyAlignment="1" pivotButton="0" quotePrefix="0" xfId="0">
      <alignment horizontal="left" vertical="bottom" wrapText="1"/>
    </xf>
    <xf numFmtId="0" fontId="5" fillId="10" borderId="0" applyAlignment="1" pivotButton="0" quotePrefix="0" xfId="0">
      <alignment horizontal="center" vertical="center" wrapText="1"/>
    </xf>
    <xf numFmtId="0" fontId="5" fillId="0" borderId="0" applyAlignment="1" pivotButton="0" quotePrefix="0" xfId="0">
      <alignment horizontal="left" vertical="bottom" wrapText="1"/>
    </xf>
    <xf numFmtId="0" fontId="5" fillId="10" borderId="0" applyAlignment="1" pivotButton="0" quotePrefix="0" xfId="0">
      <alignment horizontal="left" vertical="bottom" wrapText="1"/>
    </xf>
    <xf numFmtId="0" fontId="5" fillId="0" borderId="0" pivotButton="0" quotePrefix="0" xfId="0"/>
    <xf numFmtId="0" fontId="5" fillId="10" borderId="0" pivotButton="0" quotePrefix="0" xfId="0"/>
    <xf numFmtId="0" fontId="5" fillId="10" borderId="0" pivotButton="0" quotePrefix="0" xfId="0"/>
    <xf numFmtId="0" fontId="2" fillId="12" borderId="5" applyAlignment="1" pivotButton="0" quotePrefix="0" xfId="0">
      <alignment horizontal="center" vertical="center" wrapText="1"/>
    </xf>
    <xf numFmtId="0" fontId="5" fillId="0" borderId="14" applyAlignment="1" pivotButton="0" quotePrefix="0" xfId="0">
      <alignment horizontal="center" vertical="center" wrapText="1"/>
    </xf>
    <xf numFmtId="0" fontId="5" fillId="0" borderId="14" applyAlignment="1" pivotButton="0" quotePrefix="0" xfId="0">
      <alignment vertical="bottom" wrapText="1"/>
    </xf>
    <xf numFmtId="0" fontId="15" fillId="0" borderId="14" applyAlignment="1" pivotButton="0" quotePrefix="0" xfId="0">
      <alignment horizontal="center" wrapText="1"/>
    </xf>
    <xf numFmtId="0" fontId="5" fillId="0" borderId="14" pivotButton="0" quotePrefix="0" xfId="0"/>
    <xf numFmtId="0" fontId="15" fillId="0" borderId="14" applyAlignment="1" pivotButton="0" quotePrefix="0" xfId="0">
      <alignment vertical="center" wrapText="1"/>
    </xf>
    <xf numFmtId="0" fontId="2" fillId="9" borderId="0" applyAlignment="1" pivotButton="0" quotePrefix="0" xfId="0">
      <alignment horizontal="center" vertical="center" wrapText="1"/>
    </xf>
    <xf numFmtId="0" fontId="2" fillId="12" borderId="5" applyAlignment="1" pivotButton="0" quotePrefix="0" xfId="0">
      <alignment horizontal="center" vertical="center" wrapText="1"/>
    </xf>
    <xf numFmtId="0" fontId="16" fillId="0" borderId="14" applyAlignment="1" pivotButton="0" quotePrefix="0" xfId="0">
      <alignment vertical="center" wrapText="1"/>
    </xf>
    <xf numFmtId="0" fontId="4" fillId="0" borderId="14" applyAlignment="1" pivotButton="0" quotePrefix="0" xfId="0">
      <alignment vertical="bottom" wrapText="1"/>
    </xf>
    <xf numFmtId="0" fontId="4" fillId="0" borderId="0" applyAlignment="1" pivotButton="0" quotePrefix="0" xfId="0">
      <alignment vertical="bottom"/>
    </xf>
    <xf numFmtId="0" fontId="1" fillId="0" borderId="1" applyAlignment="1" pivotButton="0" quotePrefix="0" xfId="0">
      <alignment horizontal="center"/>
    </xf>
    <xf numFmtId="0" fontId="2" fillId="0" borderId="10" applyAlignment="1" pivotButton="0" quotePrefix="0" xfId="0">
      <alignment horizontal="center" vertical="bottom"/>
    </xf>
    <xf numFmtId="0" fontId="5" fillId="0" borderId="10" applyAlignment="1" pivotButton="0" quotePrefix="0" xfId="0">
      <alignment horizontal="center" vertical="bottom"/>
    </xf>
    <xf numFmtId="0" fontId="17" fillId="13" borderId="14" applyAlignment="1" pivotButton="0" quotePrefix="0" xfId="0">
      <alignment horizontal="center" vertical="top"/>
    </xf>
    <xf numFmtId="0" fontId="5" fillId="0" borderId="14" applyAlignment="1" pivotButton="0" quotePrefix="0" xfId="0">
      <alignment horizontal="left" vertical="bottom"/>
    </xf>
    <xf numFmtId="0" fontId="17" fillId="14" borderId="14" applyAlignment="1" pivotButton="0" quotePrefix="0" xfId="0">
      <alignment horizontal="center" vertical="top"/>
    </xf>
    <xf numFmtId="0" fontId="17" fillId="15" borderId="14" applyAlignment="1" pivotButton="0" quotePrefix="0" xfId="0">
      <alignment horizontal="center" vertical="top"/>
    </xf>
    <xf numFmtId="0" fontId="18" fillId="16" borderId="14" applyAlignment="1" pivotButton="0" quotePrefix="0" xfId="0">
      <alignment horizontal="center" vertical="top" wrapText="1"/>
    </xf>
    <xf numFmtId="0" fontId="5" fillId="0" borderId="14" applyAlignment="1" pivotButton="0" quotePrefix="0" xfId="0">
      <alignment horizontal="left" vertical="bottom" wrapText="1"/>
    </xf>
    <xf numFmtId="0" fontId="8" fillId="3" borderId="14" applyAlignment="1" pivotButton="0" quotePrefix="0" xfId="0">
      <alignment horizontal="center" vertical="bottom"/>
    </xf>
    <xf numFmtId="0" fontId="8" fillId="3" borderId="7" applyAlignment="1" pivotButton="0" quotePrefix="0" xfId="0">
      <alignment horizontal="center" vertical="bottom"/>
    </xf>
    <xf numFmtId="0" fontId="9" fillId="4" borderId="14" applyAlignment="1" pivotButton="0" quotePrefix="0" xfId="0">
      <alignment horizontal="center" vertical="top"/>
    </xf>
    <xf numFmtId="0" fontId="5" fillId="0" borderId="14" applyAlignment="1" pivotButton="0" quotePrefix="0" xfId="0">
      <alignment horizontal="left" vertical="bottom"/>
    </xf>
    <xf numFmtId="0" fontId="4" fillId="0" borderId="14" applyAlignment="1" pivotButton="0" quotePrefix="0" xfId="0">
      <alignment horizontal="center"/>
    </xf>
    <xf numFmtId="14" fontId="4" fillId="0" borderId="14" applyAlignment="1" pivotButton="0" quotePrefix="0" xfId="0">
      <alignment horizontal="center" vertical="bottom"/>
    </xf>
    <xf numFmtId="164" fontId="4" fillId="0" borderId="14" applyAlignment="1" pivotButton="0" quotePrefix="0" xfId="0">
      <alignment horizontal="center"/>
    </xf>
    <xf numFmtId="0" fontId="5" fillId="0" borderId="0" applyAlignment="1" pivotButton="0" quotePrefix="0" xfId="0">
      <alignment horizontal="center" vertical="bottom"/>
    </xf>
    <xf numFmtId="0" fontId="4" fillId="0" borderId="0" applyAlignment="1" pivotButton="0" quotePrefix="0" xfId="0">
      <alignment horizontal="center"/>
    </xf>
    <xf numFmtId="0" fontId="19" fillId="10" borderId="0" applyAlignment="1" pivotButton="0" quotePrefix="0" xfId="0">
      <alignment horizontal="center" vertical="center"/>
    </xf>
    <xf numFmtId="0" fontId="20" fillId="3" borderId="14" applyAlignment="1" pivotButton="0" quotePrefix="0" xfId="0">
      <alignment horizontal="center"/>
    </xf>
    <xf numFmtId="0" fontId="21" fillId="0" borderId="14" applyAlignment="1" pivotButton="0" quotePrefix="0" xfId="0">
      <alignment horizontal="center" vertical="top" wrapText="1"/>
    </xf>
    <xf numFmtId="0" fontId="20" fillId="3" borderId="0" applyAlignment="1" pivotButton="0" quotePrefix="0" xfId="0">
      <alignment horizontal="center"/>
    </xf>
    <xf numFmtId="0" fontId="20" fillId="3" borderId="1" applyAlignment="1" pivotButton="0" quotePrefix="0" xfId="0">
      <alignment horizontal="center" vertical="center"/>
    </xf>
    <xf numFmtId="0" fontId="14" fillId="13" borderId="14" applyAlignment="1" pivotButton="0" quotePrefix="0" xfId="0">
      <alignment horizontal="center"/>
    </xf>
    <xf numFmtId="0" fontId="14" fillId="13" borderId="14" applyAlignment="1" pivotButton="0" quotePrefix="0" xfId="0">
      <alignment horizontal="center"/>
    </xf>
    <xf numFmtId="0" fontId="14" fillId="13" borderId="14" applyAlignment="1" pivotButton="0" quotePrefix="0" xfId="0">
      <alignment horizontal="center" vertical="center"/>
    </xf>
    <xf numFmtId="0" fontId="22" fillId="14" borderId="14" applyAlignment="1" pivotButton="0" quotePrefix="0" xfId="0">
      <alignment horizontal="center"/>
    </xf>
    <xf numFmtId="0" fontId="22" fillId="14" borderId="14" applyAlignment="1" pivotButton="0" quotePrefix="0" xfId="0">
      <alignment horizontal="center"/>
    </xf>
    <xf numFmtId="0" fontId="22" fillId="14" borderId="14" applyAlignment="1" pivotButton="0" quotePrefix="0" xfId="0">
      <alignment horizontal="center" vertical="center"/>
    </xf>
    <xf numFmtId="0" fontId="22" fillId="17" borderId="14" applyAlignment="1" pivotButton="0" quotePrefix="0" xfId="0">
      <alignment horizontal="center"/>
    </xf>
    <xf numFmtId="0" fontId="22" fillId="17" borderId="14" applyAlignment="1" pivotButton="0" quotePrefix="0" xfId="0">
      <alignment horizontal="center"/>
    </xf>
    <xf numFmtId="0" fontId="22" fillId="17" borderId="14" applyAlignment="1" pivotButton="0" quotePrefix="0" xfId="0">
      <alignment horizontal="center" vertical="center"/>
    </xf>
    <xf numFmtId="0" fontId="22" fillId="18" borderId="14" applyAlignment="1" pivotButton="0" quotePrefix="0" xfId="0">
      <alignment horizontal="center"/>
    </xf>
    <xf numFmtId="0" fontId="22" fillId="18" borderId="14" applyAlignment="1" pivotButton="0" quotePrefix="0" xfId="0">
      <alignment horizontal="center"/>
    </xf>
    <xf numFmtId="0" fontId="22" fillId="18" borderId="14" applyAlignment="1" pivotButton="0" quotePrefix="0" xfId="0">
      <alignment horizontal="center" vertical="center"/>
    </xf>
    <xf numFmtId="0" fontId="4" fillId="0" borderId="14" applyAlignment="1" pivotButton="0" quotePrefix="0" xfId="0">
      <alignment horizontal="center"/>
    </xf>
    <xf numFmtId="0" fontId="19" fillId="10" borderId="12" applyAlignment="1" pivotButton="0" quotePrefix="0" xfId="0">
      <alignment horizontal="center" vertical="center"/>
    </xf>
    <xf numFmtId="0" fontId="4" fillId="0" borderId="13" applyAlignment="1" pivotButton="0" quotePrefix="0" xfId="0">
      <alignment vertical="center"/>
    </xf>
    <xf numFmtId="0" fontId="20" fillId="3" borderId="0" applyAlignment="1" pivotButton="0" quotePrefix="0" xfId="0">
      <alignment horizontal="center" vertical="center"/>
    </xf>
    <xf numFmtId="0" fontId="0" fillId="0" borderId="0" pivotButton="0" quotePrefix="0" xfId="0"/>
    <xf numFmtId="0" fontId="1" fillId="0" borderId="14" applyAlignment="1" pivotButton="0" quotePrefix="0" xfId="0">
      <alignment horizontal="center" vertical="center"/>
    </xf>
    <xf numFmtId="0" fontId="2" fillId="0" borderId="14" applyAlignment="1" pivotButton="0" quotePrefix="0" xfId="0">
      <alignment horizontal="center" vertical="center"/>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7" fillId="0" borderId="14"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5" pivotButton="0" quotePrefix="0" xfId="0"/>
    <xf numFmtId="0" fontId="9" fillId="4" borderId="14" applyAlignment="1" pivotButton="0" quotePrefix="0" xfId="0">
      <alignment horizontal="center" vertical="center"/>
    </xf>
    <xf numFmtId="0" fontId="2" fillId="11" borderId="14" applyAlignment="1" pivotButton="0" quotePrefix="0" xfId="0">
      <alignment horizontal="center" vertical="center" wrapText="1"/>
    </xf>
    <xf numFmtId="0" fontId="2" fillId="12" borderId="14" applyAlignment="1" pivotButton="0" quotePrefix="0" xfId="0">
      <alignment horizontal="center" vertical="center" wrapText="1"/>
    </xf>
    <xf numFmtId="0" fontId="1" fillId="0" borderId="14" applyAlignment="1" pivotButton="0" quotePrefix="0" xfId="0">
      <alignment horizontal="center"/>
    </xf>
    <xf numFmtId="0" fontId="20" fillId="3" borderId="14" applyAlignment="1" pivotButton="0" quotePrefix="0" xfId="0">
      <alignment horizontal="center" vertical="center"/>
    </xf>
    <xf numFmtId="0" fontId="23" fillId="19" borderId="0" pivotButton="0" quotePrefix="0" xfId="0"/>
    <xf numFmtId="0" fontId="0" fillId="0" borderId="0" applyAlignment="1" pivotButton="0" quotePrefix="0" xfId="0">
      <alignment vertical="top" wrapText="1"/>
    </xf>
    <xf numFmtId="0" fontId="24" fillId="0" borderId="0" applyAlignment="1" pivotButton="0" quotePrefix="0" xfId="0">
      <alignment vertical="top" wrapText="1"/>
    </xf>
    <xf numFmtId="0" fontId="23" fillId="19" borderId="0" applyAlignment="1" pivotButton="0" quotePrefix="0" xfId="0">
      <alignment vertical="top" wrapText="1"/>
    </xf>
    <xf numFmtId="0" fontId="24" fillId="0" borderId="0" pivotButton="0" quotePrefix="0" xfId="0"/>
    <xf numFmtId="0" fontId="23" fillId="0" borderId="0" pivotButton="0" quotePrefix="0" xfId="0"/>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9" fontId="0" fillId="0" borderId="0" applyAlignment="1" pivotButton="0" quotePrefix="0" xfId="0">
      <alignment vertical="top" wrapText="1"/>
    </xf>
    <xf numFmtId="0" fontId="23" fillId="20" borderId="0" applyAlignment="1" pivotButton="0" quotePrefix="0" xfId="0">
      <alignment vertical="top" wrapText="1"/>
    </xf>
    <xf numFmtId="9" fontId="23" fillId="20" borderId="0" applyAlignment="1" pivotButton="0" quotePrefix="0" xfId="0">
      <alignment vertical="top" wrapText="1"/>
    </xf>
    <xf numFmtId="0" fontId="23" fillId="21" borderId="0" applyAlignment="1" pivotButton="0" quotePrefix="0" xfId="0">
      <alignment vertical="top" wrapText="1"/>
    </xf>
    <xf numFmtId="0" fontId="3" fillId="0" borderId="0" applyAlignment="1" pivotButton="0" quotePrefix="0" xfId="0">
      <alignment vertical="top" wrapText="1"/>
    </xf>
    <xf numFmtId="0" fontId="28" fillId="0" borderId="0" applyAlignment="1" pivotButton="0" quotePrefix="0" xfId="0">
      <alignment vertical="top" wrapText="1"/>
    </xf>
  </cellXfs>
  <cellStyles count="1">
    <cellStyle name="Normal" xfId="0" builtinId="0"/>
  </cellStyles>
  <dxfs count="8">
    <dxf>
      <font/>
      <fill>
        <patternFill patternType="solid">
          <fgColor rgb="FFCC0000"/>
          <bgColor rgb="FFCC0000"/>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A61C00"/>
          <bgColor rgb="FFA61C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tc={c942e778-99b9-41cb-95b4-a9e93a4e5691}</author>
    <author>tc={9ee0d9c4-f238-417d-b546-90a160721610}</author>
  </authors>
  <commentList>
    <comment ref="C1" authorId="0" shapeId="0">
      <text>
        <t xml:space="preserve">[Threaded comment]
 Your version of Excel allows you to read this threaded comment; however, any edits to it will get removed if the file is opened in a newer version of Excel. Learn more: https://go.microsoft.com/fwlink/?linkid=870924
Comment:
	Hi @anshu.shaik@fissionlabs.com Could you please also add the steps to the tests. This is something we've been to complete for the tests, so let's try and add the steps for the new test cases we add to the test plan. So, please add the steps for the new scenarios you added.
Assigned to anshu.shaik@fissionlabs.com
Reply:
	Hi @nsaxena@dimagi.com ,
I've added steps to new test scenarios. Could you please verify and let me know if there is anything else to be modify or add. Thanks!!
Reassigned to nsaxena@dimagi.com
</t>
      </text>
    </comment>
    <comment ref="B36" authorId="1" shapeId="0">
      <text>
        <t xml:space="preserve">[Threaded comment]
 Your version of Excel allows you to read this threaded comment; however, any edits to it will get removed if the file is opened in a newer version of Excel. Learn more: https://go.microsoft.com/fwlink/?linkid=870924
Comment:
	@anshu.shaik@fissionlabs.com Could you please update these test scenarios if they are still valid and also add the correct steps for these tests.? Let me know if you have any questions.
Assigned to anshu.shaik@fissionlabs.com
Reply:
	@nsaxena@dimagi.com I've updated the test cases with correct steps and removed invalid scenarios. Could you please check and let me know if i missed anything?
1 total reaction
Nitin Saxena reacted with 👍🏼 at 2026-04-02 5:05 AM UTC
Reassigned to nsaxena@dimagi.com
</t>
      </text>
    </comment>
  </commentList>
</comments>
</file>

<file path=xl/comments/comment2.xml><?xml version="1.0" encoding="utf-8"?>
<comments xmlns="http://schemas.openxmlformats.org/spreadsheetml/2006/main">
  <authors>
    <author>tc={ee18a058-e369-465e-acb0-abb79ad1dfdb}</author>
  </authors>
  <commentList>
    <comment ref="C3" authorId="0" shapeId="0">
      <text>
        <t xml:space="preserve">[Threaded comment]
 Your version of Excel allows you to read this threaded comment; however, any edits to it will get removed if the file is opened in a newer version of Excel. Learn more: https://go.microsoft.com/fwlink/?linkid=870924
Comment:
	@anshu.shaik@fissionlabs.com Do we have any tests where we are describing how to configure geo boundary or geo points in an application on HQ? If not, we might wanna add those scenarios, and link them here for reference.
Assigned to anshu.shaik@fissionlabs.com
Reply:
	@nsaxena@dimagi.com Could you please give me access to the HQ master test plan to add relevant TCs?
Reassigned to nsaxena@dimagi.com
Reply:
	@anshu.shaik@fissionlabs.com You can add the tests here https://docs.google.com/spreadsheets/d/1ENauf0cWqR0c9Seu29xarLucB78j3bNJzuQ7ut0T7Fs/edit?gid=2#gid=2 Once you've added the tests, please link them here in the notes column so that anyone who runs the tests know where how to configure.
Reassigned to anshu.shaik@fissionlabs.com
Reply:
	@nsaxena@dimagi.com Added the tests and linked them here for reference. Could you please check and let me know if anything is missing?
Reassigned to nsaxena@dimagi.com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2.xml.rels><Relationships xmlns="http://schemas.openxmlformats.org/package/2006/relationships"><Relationship Type="http://schemas.openxmlformats.org/officeDocument/2006/relationships/hyperlink" Target="https://docs.google.com/spreadsheets/d/1ENauf0cWqR0c9Seu29xarLucB78j3bNJzuQ7ut0T7Fs/edit?gid=2"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2" customWidth="1" style="145" min="1" max="1"/>
    <col width="104" customWidth="1" style="145" min="2" max="2"/>
  </cols>
  <sheetData>
    <row r="1">
      <c r="A1" s="171" t="inlineStr">
        <is>
          <t>Read Me — Tab Guide &amp; Legend</t>
        </is>
      </c>
      <c r="B1" s="166" t="n"/>
    </row>
    <row r="2">
      <c r="A2" s="172" t="inlineStr">
        <is>
          <t>Connect QA Gap Analysis · Mobile App Regression stream</t>
        </is>
      </c>
      <c r="B2" s="166" t="n"/>
    </row>
    <row r="3">
      <c r="A3" s="166" t="inlineStr"/>
      <c r="B3" s="166" t="n"/>
    </row>
    <row r="4">
      <c r="A4" s="168" t="inlineStr">
        <is>
          <t>TWO OUTPUTS OF THIS EXERCISE</t>
        </is>
      </c>
      <c r="B4" s="166" t="n"/>
    </row>
    <row r="5">
      <c r="A5" s="166" t="inlineStr">
        <is>
          <t>Output 1: MTP completeness</t>
        </is>
      </c>
      <c r="B5" s="166" t="inlineStr">
        <is>
          <t>Everything the product does that was NOT documented in this test plan. ALL functional gaps get added to the plan, whether or not engineering already tests them.</t>
        </is>
      </c>
    </row>
    <row r="6">
      <c r="A6" s="166" t="inlineStr">
        <is>
          <t>Output 2: QA automation backlog</t>
        </is>
      </c>
      <c r="B6" s="166" t="inlineStr">
        <is>
          <t>The subset QA still needs to automate — the ones engineering does NOT already cover. Filter the Gap Analysis Action column for "Automate".</t>
        </is>
      </c>
    </row>
    <row r="7">
      <c r="A7" s="166" t="inlineStr"/>
      <c r="B7" s="166" t="n"/>
    </row>
    <row r="8">
      <c r="A8" s="168" t="inlineStr">
        <is>
          <t>TAB GUIDE (4 analysis tabs)</t>
        </is>
      </c>
      <c r="B8" s="166" t="n"/>
    </row>
    <row r="9">
      <c r="A9" s="166" t="inlineStr">
        <is>
          <t>Read Me</t>
        </is>
      </c>
      <c r="B9" s="166" t="inlineStr">
        <is>
          <t>This tab. The key to the workbook.</t>
        </is>
      </c>
    </row>
    <row r="10">
      <c r="A10" s="166" t="inlineStr">
        <is>
          <t>Dashboard</t>
        </is>
      </c>
      <c r="B10" s="166" t="inlineStr">
        <is>
          <t>One-screen live dashboard: the two outputs (add-to-MTP / automate), dev + reconcile counts, AND the Coverage Tracker — per-surface automation % of existing MTP cases. Read this first.</t>
        </is>
      </c>
    </row>
    <row r="11">
      <c r="A11" s="166" t="inlineStr">
        <is>
          <t>Gap Analysis  (MAIN OUTPUT)</t>
        </is>
      </c>
      <c r="B11" s="166" t="inlineStr">
        <is>
          <t>Every coverage gap found — behaviour in the code with NO case in the test plan. Each row has its Bucket, Eng Coverage, and Action. Reviewers work here.</t>
        </is>
      </c>
    </row>
    <row r="12">
      <c r="A12" s="166" t="inlineStr">
        <is>
          <t>Automation (existing MTP)</t>
        </is>
      </c>
      <c r="B12" s="166" t="inlineStr">
        <is>
          <t>The existing master test cases and their automation status: Green = already automated, Yellow = automatable-not-built, Red = manual-only. (This is the pass-1 baseline; the Dashboard Coverage Tracker rolls it up.)</t>
        </is>
      </c>
    </row>
    <row r="13">
      <c r="A13" s="166" t="inlineStr"/>
      <c r="B13" s="166" t="n"/>
    </row>
    <row r="14">
      <c r="A14" s="168" t="inlineStr">
        <is>
          <t>ORIGINAL TABS (not from this exercise)</t>
        </is>
      </c>
      <c r="B14" s="166" t="n"/>
    </row>
    <row r="15">
      <c r="A15" s="166" t="inlineStr">
        <is>
          <t>Test Tracker / Test Tracker Horizontal</t>
        </is>
      </c>
      <c r="B15" s="166" t="inlineStr">
        <is>
          <t>Pre-existing manual-execution trackers (run pass/fail). Left untouched.</t>
        </is>
      </c>
    </row>
    <row r="16">
      <c r="A16" s="166" t="inlineStr">
        <is>
          <t>Surface tabs (Login, Opportunity creation, Visit verification, ...)</t>
        </is>
      </c>
      <c r="B16" s="166" t="inlineStr">
        <is>
          <t>The existing master test plan — documented cases by product area. The "before" picture the gap analysis was measured against.</t>
        </is>
      </c>
    </row>
    <row r="17">
      <c r="A17" s="166" t="inlineStr"/>
      <c r="B17" s="166" t="n"/>
    </row>
    <row r="18">
      <c r="A18" s="168" t="inlineStr">
        <is>
          <t>GAP ANALYSIS — 3 row types (by Gap ID prefix)</t>
        </is>
      </c>
      <c r="B18" s="166" t="n"/>
    </row>
    <row r="19">
      <c r="A19" s="166" t="inlineStr">
        <is>
          <t>Functional gap</t>
        </is>
      </c>
      <c r="B19" s="166" t="inlineStr">
        <is>
          <t>Behaviour in code with no MTP case. Core finding. IDs: GAP-SRC-*, GAP-BE-*, GAP-FE-*.</t>
        </is>
      </c>
    </row>
    <row r="20">
      <c r="A20" s="166" t="inlineStr">
        <is>
          <t>Unit-test-coverage gap (dev)</t>
        </is>
      </c>
      <c r="B20" s="166" t="inlineStr">
        <is>
          <t>Where ENG code lacks a unit test. For dev teams. IDs: GAP-UTC-*.</t>
        </is>
      </c>
    </row>
    <row r="21">
      <c r="A21" s="166" t="inlineStr">
        <is>
          <t>Cross-cutting</t>
        </is>
      </c>
      <c r="B21" s="166" t="inlineStr">
        <is>
          <t>Hygiene / MTP-vs-code discrepancy / automation note. IDs: GAP-MISC-*, GAP-MMISC-*.</t>
        </is>
      </c>
    </row>
    <row r="22">
      <c r="A22" s="166" t="inlineStr"/>
      <c r="B22" s="166" t="n"/>
    </row>
    <row r="23">
      <c r="A23" s="168" t="inlineStr">
        <is>
          <t>BUCKET column</t>
        </is>
      </c>
      <c r="B23" s="166" t="inlineStr">
        <is>
          <t>🟢 Already automated  ·  🟡 Automatable-not-done (backlog)  ·  🔴 Manual only (real SMS/OTP/push/camera/device)</t>
        </is>
      </c>
    </row>
    <row r="24">
      <c r="A24" s="166" t="inlineStr">
        <is>
          <t>ENG COVERAGE column</t>
        </is>
      </c>
      <c r="B24" s="166" t="inlineStr">
        <is>
          <t>Eng-covered (logic) = eng already tests it, QA e2e only if critical  ·  QA-owned = eng cannot cover  ·  Partial = confirm w/ eng  ·  Eng GAP = eng missing a unit test  ·  N/A</t>
        </is>
      </c>
    </row>
    <row r="25">
      <c r="A25" s="166" t="inlineStr">
        <is>
          <t>ACTION column</t>
        </is>
      </c>
      <c r="B25" s="166" t="inlineStr">
        <is>
          <t>Add to MTP only (eng-covered)  ·  Add to MTP + Automate (QA-owned)  ·  Add to MTP + Automate (confirm w/ eng)  ·  Dev: add unit test  ·  Reconcile (plan/code)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4" customWidth="1" style="145" min="1" max="1"/>
    <col width="20" customWidth="1" style="145" min="2" max="2"/>
    <col width="20" customWidth="1" style="145" min="3" max="3"/>
    <col width="20" customWidth="1" style="145" min="4" max="4"/>
    <col width="20" customWidth="1" style="145" min="5" max="5"/>
    <col width="20" customWidth="1" style="145" min="6" max="6"/>
    <col width="28" customWidth="1" style="145" min="7" max="7"/>
  </cols>
  <sheetData>
    <row r="1">
      <c r="A1" s="167" t="inlineStr">
        <is>
          <t>Dashboard — outputs &amp; coverage (live)</t>
        </is>
      </c>
      <c r="B1" s="166" t="n"/>
      <c r="C1" s="166" t="n"/>
      <c r="D1" s="166" t="n"/>
      <c r="E1" s="166" t="n"/>
      <c r="F1" s="166" t="n"/>
      <c r="G1" s="166" t="n"/>
    </row>
    <row r="2">
      <c r="A2" s="166" t="n"/>
      <c r="B2" s="166" t="n"/>
      <c r="C2" s="166" t="n"/>
      <c r="D2" s="166" t="n"/>
      <c r="E2" s="166" t="n"/>
      <c r="F2" s="166" t="n"/>
      <c r="G2" s="166" t="n"/>
    </row>
    <row r="3">
      <c r="A3" s="177" t="inlineStr">
        <is>
          <t>OUTPUTS (from Gap Analysis)</t>
        </is>
      </c>
      <c r="B3" s="166" t="inlineStr"/>
      <c r="C3" s="166" t="n"/>
      <c r="D3" s="166" t="n"/>
      <c r="E3" s="166" t="n"/>
      <c r="F3" s="166" t="n"/>
      <c r="G3" s="166" t="n"/>
    </row>
    <row r="4">
      <c r="A4" s="166" t="inlineStr">
        <is>
          <t>Output 1: functional gaps to ADD to MTP</t>
        </is>
      </c>
      <c r="B4" s="166">
        <f>COUNTIF('Gap Analysis'!$L:$L,"Add to MTP*")</f>
        <v/>
      </c>
      <c r="C4" s="166" t="n"/>
      <c r="D4" s="166" t="n"/>
      <c r="E4" s="166" t="n"/>
      <c r="F4" s="166" t="n"/>
      <c r="G4" s="166" t="n"/>
    </row>
    <row r="5">
      <c r="A5" s="166" t="inlineStr">
        <is>
          <t xml:space="preserve">   ...of which eng-covered (add to MTP only, do NOT automate)</t>
        </is>
      </c>
      <c r="B5" s="166">
        <f>COUNTIF('Gap Analysis'!$L:$L,"Add to MTP only*")</f>
        <v/>
      </c>
      <c r="C5" s="166" t="n"/>
      <c r="D5" s="166" t="n"/>
      <c r="E5" s="166" t="n"/>
      <c r="F5" s="166" t="n"/>
      <c r="G5" s="166" t="n"/>
    </row>
    <row r="6">
      <c r="A6" s="166" t="inlineStr">
        <is>
          <t>Output 2: functional gaps to AUTOMATE (QA backlog)</t>
        </is>
      </c>
      <c r="B6" s="166">
        <f>COUNTIF('Gap Analysis'!$L:$L,"*Automate*")</f>
        <v/>
      </c>
      <c r="C6" s="166" t="n"/>
      <c r="D6" s="166" t="n"/>
      <c r="E6" s="166" t="n"/>
      <c r="F6" s="166" t="n"/>
      <c r="G6" s="166" t="n"/>
    </row>
    <row r="7">
      <c r="A7" s="166" t="inlineStr">
        <is>
          <t xml:space="preserve">   ...of which QA-owned (eng cannot cover)</t>
        </is>
      </c>
      <c r="B7" s="166">
        <f>COUNTIF('Gap Analysis'!$L:$L,"*QA-owned*")</f>
        <v/>
      </c>
      <c r="C7" s="166" t="n"/>
      <c r="D7" s="166" t="n"/>
      <c r="E7" s="166" t="n"/>
      <c r="F7" s="166" t="n"/>
      <c r="G7" s="166" t="n"/>
    </row>
    <row r="8">
      <c r="A8" s="166" t="inlineStr">
        <is>
          <t>Dev: unit-test-coverage gaps</t>
        </is>
      </c>
      <c r="B8" s="166">
        <f>COUNTIF('Gap Analysis'!$L:$L,"Dev:*")</f>
        <v/>
      </c>
      <c r="C8" s="166" t="n"/>
      <c r="D8" s="166" t="n"/>
      <c r="E8" s="166" t="n"/>
      <c r="F8" s="166" t="n"/>
      <c r="G8" s="166" t="n"/>
    </row>
    <row r="9">
      <c r="A9" s="166" t="inlineStr">
        <is>
          <t>Cross-cutting: reconcile plan/code</t>
        </is>
      </c>
      <c r="B9" s="166">
        <f>COUNTIF('Gap Analysis'!$L:$L,"Reconcile*")</f>
        <v/>
      </c>
      <c r="C9" s="166" t="n"/>
      <c r="D9" s="166" t="n"/>
      <c r="E9" s="166" t="n"/>
      <c r="F9" s="166" t="n"/>
      <c r="G9" s="166" t="n"/>
    </row>
    <row r="10">
      <c r="A10" s="166" t="inlineStr">
        <is>
          <t>Total Gap Analysis rows</t>
        </is>
      </c>
      <c r="B10" s="166">
        <f>COUNTA('Gap Analysis'!$A$2:$A$1000)</f>
        <v/>
      </c>
      <c r="C10" s="166" t="n"/>
      <c r="D10" s="166" t="n"/>
      <c r="E10" s="166" t="n"/>
      <c r="F10" s="166" t="n"/>
      <c r="G10" s="166" t="n"/>
    </row>
    <row r="11">
      <c r="A11" s="166" t="n"/>
      <c r="B11" s="166" t="n"/>
      <c r="C11" s="166" t="n"/>
      <c r="D11" s="166" t="n"/>
      <c r="E11" s="166" t="n"/>
      <c r="F11" s="166" t="n"/>
      <c r="G11" s="166" t="n"/>
    </row>
    <row r="12">
      <c r="A12" s="166" t="inlineStr">
        <is>
          <t>COVERAGE TRACKER — automation of existing MTP cases</t>
        </is>
      </c>
      <c r="B12" s="166" t="inlineStr"/>
      <c r="C12" s="166" t="n"/>
      <c r="D12" s="166" t="n"/>
      <c r="E12" s="166" t="n"/>
      <c r="F12" s="166" t="n"/>
      <c r="G12" s="166" t="n"/>
    </row>
    <row r="13">
      <c r="A13" s="168" t="inlineStr">
        <is>
          <t>Surface</t>
        </is>
      </c>
      <c r="B13" s="168" t="inlineStr">
        <is>
          <t>Automated (built)</t>
        </is>
      </c>
      <c r="C13" s="168" t="inlineStr">
        <is>
          <t>Automatable (not built)</t>
        </is>
      </c>
      <c r="D13" s="168" t="inlineStr">
        <is>
          <t>Manual only</t>
        </is>
      </c>
      <c r="E13" s="168" t="inlineStr">
        <is>
          <t>Total</t>
        </is>
      </c>
      <c r="F13" s="168" t="inlineStr">
        <is>
          <t>% Automated</t>
        </is>
      </c>
      <c r="G13" s="168" t="inlineStr">
        <is>
          <t>Note</t>
        </is>
      </c>
    </row>
    <row r="14">
      <c r="A14" s="166" t="inlineStr">
        <is>
          <t>Personal ID Tests</t>
        </is>
      </c>
      <c r="B14" s="166">
        <f>COUNTIFS('Automation (existing MTP)'!$B:$B,$A14,'Automation (existing MTP)'!$D:$D,"🟢*")</f>
        <v/>
      </c>
      <c r="C14" s="166">
        <f>COUNTIFS('Automation (existing MTP)'!$B:$B,$A14,'Automation (existing MTP)'!$D:$D,"🟡*")</f>
        <v/>
      </c>
      <c r="D14" s="166">
        <f>COUNTIFS('Automation (existing MTP)'!$B:$B,$A14,'Automation (existing MTP)'!$D:$D,"🔴*")</f>
        <v/>
      </c>
      <c r="E14" s="166">
        <f>B14+C14+D14</f>
        <v/>
      </c>
      <c r="F14" s="174">
        <f>IF(E14&gt;0,B14/E14,0)</f>
        <v/>
      </c>
      <c r="G14" s="166" t="inlineStr"/>
    </row>
    <row r="15">
      <c r="A15" s="166" t="inlineStr">
        <is>
          <t>Integration Tests (Connect)</t>
        </is>
      </c>
      <c r="B15" s="166">
        <f>COUNTIFS('Automation (existing MTP)'!$B:$B,$A15,'Automation (existing MTP)'!$D:$D,"🟢*")</f>
        <v/>
      </c>
      <c r="C15" s="166">
        <f>COUNTIFS('Automation (existing MTP)'!$B:$B,$A15,'Automation (existing MTP)'!$D:$D,"🟡*")</f>
        <v/>
      </c>
      <c r="D15" s="166">
        <f>COUNTIFS('Automation (existing MTP)'!$B:$B,$A15,'Automation (existing MTP)'!$D:$D,"🔴*")</f>
        <v/>
      </c>
      <c r="E15" s="166">
        <f>B15+C15+D15</f>
        <v/>
      </c>
      <c r="F15" s="174">
        <f>IF(E15&gt;0,B15/E15,0)</f>
        <v/>
      </c>
      <c r="G15" s="166" t="inlineStr"/>
    </row>
    <row r="16">
      <c r="A16" s="166" t="inlineStr">
        <is>
          <t>Connect Landing Page</t>
        </is>
      </c>
      <c r="B16" s="166">
        <f>COUNTIFS('Automation (existing MTP)'!$B:$B,$A16,'Automation (existing MTP)'!$D:$D,"🟢*")</f>
        <v/>
      </c>
      <c r="C16" s="166">
        <f>COUNTIFS('Automation (existing MTP)'!$B:$B,$A16,'Automation (existing MTP)'!$D:$D,"🟡*")</f>
        <v/>
      </c>
      <c r="D16" s="166">
        <f>COUNTIFS('Automation (existing MTP)'!$B:$B,$A16,'Automation (existing MTP)'!$D:$D,"🔴*")</f>
        <v/>
      </c>
      <c r="E16" s="166">
        <f>B16+C16+D16</f>
        <v/>
      </c>
      <c r="F16" s="174">
        <f>IF(E16&gt;0,B16/E16,0)</f>
        <v/>
      </c>
      <c r="G16" s="166" t="inlineStr"/>
    </row>
    <row r="17">
      <c r="A17" s="166" t="inlineStr">
        <is>
          <t>Connect messaging</t>
        </is>
      </c>
      <c r="B17" s="166">
        <f>COUNTIFS('Automation (existing MTP)'!$B:$B,$A17,'Automation (existing MTP)'!$D:$D,"🟢*")</f>
        <v/>
      </c>
      <c r="C17" s="166">
        <f>COUNTIFS('Automation (existing MTP)'!$B:$B,$A17,'Automation (existing MTP)'!$D:$D,"🟡*")</f>
        <v/>
      </c>
      <c r="D17" s="166">
        <f>COUNTIFS('Automation (existing MTP)'!$B:$B,$A17,'Automation (existing MTP)'!$D:$D,"🔴*")</f>
        <v/>
      </c>
      <c r="E17" s="166">
        <f>B17+C17+D17</f>
        <v/>
      </c>
      <c r="F17" s="174">
        <f>IF(E17&gt;0,B17/E17,0)</f>
        <v/>
      </c>
      <c r="G17" s="166" t="inlineStr"/>
    </row>
    <row r="18">
      <c r="A18" s="166" t="inlineStr">
        <is>
          <t>Connect Notifications</t>
        </is>
      </c>
      <c r="B18" s="166">
        <f>COUNTIFS('Automation (existing MTP)'!$B:$B,$A18,'Automation (existing MTP)'!$D:$D,"🟢*")</f>
        <v/>
      </c>
      <c r="C18" s="166">
        <f>COUNTIFS('Automation (existing MTP)'!$B:$B,$A18,'Automation (existing MTP)'!$D:$D,"🟡*")</f>
        <v/>
      </c>
      <c r="D18" s="166">
        <f>COUNTIFS('Automation (existing MTP)'!$B:$B,$A18,'Automation (existing MTP)'!$D:$D,"🔴*")</f>
        <v/>
      </c>
      <c r="E18" s="166">
        <f>B18+C18+D18</f>
        <v/>
      </c>
      <c r="F18" s="174">
        <f>IF(E18&gt;0,B18/E18,0)</f>
        <v/>
      </c>
      <c r="G18" s="166" t="inlineStr"/>
    </row>
    <row r="19">
      <c r="A19" s="166" t="inlineStr">
        <is>
          <t>Connect worker History</t>
        </is>
      </c>
      <c r="B19" s="166">
        <f>COUNTIFS('Automation (existing MTP)'!$B:$B,$A19,'Automation (existing MTP)'!$D:$D,"🟢*")</f>
        <v/>
      </c>
      <c r="C19" s="166">
        <f>COUNTIFS('Automation (existing MTP)'!$B:$B,$A19,'Automation (existing MTP)'!$D:$D,"🟡*")</f>
        <v/>
      </c>
      <c r="D19" s="166">
        <f>COUNTIFS('Automation (existing MTP)'!$B:$B,$A19,'Automation (existing MTP)'!$D:$D,"🔴*")</f>
        <v/>
      </c>
      <c r="E19" s="166">
        <f>B19+C19+D19</f>
        <v/>
      </c>
      <c r="F19" s="174">
        <f>IF(E19&gt;0,B19/E19,0)</f>
        <v/>
      </c>
      <c r="G19" s="166" t="inlineStr"/>
    </row>
    <row r="20">
      <c r="A20" s="166" t="inlineStr">
        <is>
          <t xml:space="preserve">Case List map </t>
        </is>
      </c>
      <c r="B20" s="166">
        <f>COUNTIFS('Automation (existing MTP)'!$B:$B,$A20,'Automation (existing MTP)'!$D:$D,"🟢*")</f>
        <v/>
      </c>
      <c r="C20" s="166">
        <f>COUNTIFS('Automation (existing MTP)'!$B:$B,$A20,'Automation (existing MTP)'!$D:$D,"🟡*")</f>
        <v/>
      </c>
      <c r="D20" s="166">
        <f>COUNTIFS('Automation (existing MTP)'!$B:$B,$A20,'Automation (existing MTP)'!$D:$D,"🔴*")</f>
        <v/>
      </c>
      <c r="E20" s="166">
        <f>B20+C20+D20</f>
        <v/>
      </c>
      <c r="F20" s="174">
        <f>IF(E20&gt;0,B20/E20,0)</f>
        <v/>
      </c>
      <c r="G20" s="166" t="inlineStr"/>
    </row>
    <row r="21">
      <c r="A21" s="175" t="inlineStr">
        <is>
          <t>TOTAL</t>
        </is>
      </c>
      <c r="B21" s="175">
        <f>SUM(B14:B20)</f>
        <v/>
      </c>
      <c r="C21" s="175">
        <f>SUM(C14:C20)</f>
        <v/>
      </c>
      <c r="D21" s="175">
        <f>SUM(D14:D20)</f>
        <v/>
      </c>
      <c r="E21" s="175">
        <f>SUM(E14:E20)</f>
        <v/>
      </c>
      <c r="F21" s="176">
        <f>IF(E21&gt;0,B21/E21,0)</f>
        <v/>
      </c>
      <c r="G21" s="1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cols>
    <col width="14" customWidth="1" style="145" min="1" max="1"/>
    <col width="26" customWidth="1" style="145" min="2" max="2"/>
    <col width="70" customWidth="1" style="145" min="3" max="3"/>
    <col width="26" customWidth="1" style="145" min="4" max="4"/>
    <col width="48" customWidth="1" style="145" min="5" max="5"/>
    <col width="9" customWidth="1" style="145" min="6" max="6"/>
    <col width="9" customWidth="1" style="145" min="7" max="7"/>
    <col width="12" customWidth="1" style="145" min="8" max="8"/>
    <col width="40" customWidth="1" style="145" min="9" max="9"/>
    <col width="28" customWidth="1" style="145" min="10" max="10"/>
    <col width="46" customWidth="1" style="145" min="11" max="11"/>
    <col width="40" customWidth="1" style="145" min="12" max="12"/>
  </cols>
  <sheetData>
    <row r="1">
      <c r="A1" s="165" t="inlineStr">
        <is>
          <t>Gap ID</t>
        </is>
      </c>
      <c r="B1" s="165" t="inlineStr">
        <is>
          <t>Surface</t>
        </is>
      </c>
      <c r="C1" s="165" t="inlineStr">
        <is>
          <t>Description</t>
        </is>
      </c>
      <c r="D1" s="165" t="inlineStr">
        <is>
          <t>Bucket</t>
        </is>
      </c>
      <c r="E1" s="165" t="inlineStr">
        <is>
          <t>Rationale/Source</t>
        </is>
      </c>
      <c r="F1" s="165" t="inlineStr">
        <is>
          <t>Priority</t>
        </is>
      </c>
      <c r="G1" s="165" t="inlineStr">
        <is>
          <t>Status</t>
        </is>
      </c>
      <c r="H1" s="165" t="inlineStr">
        <is>
          <t>Assignee</t>
        </is>
      </c>
      <c r="I1" s="165" t="inlineStr">
        <is>
          <t>Reviewer's Notes</t>
        </is>
      </c>
      <c r="J1" s="165" t="inlineStr">
        <is>
          <t>Source</t>
        </is>
      </c>
      <c r="K1" s="165" t="inlineStr">
        <is>
          <t>Eng Coverage</t>
        </is>
      </c>
      <c r="L1" s="165" t="inlineStr">
        <is>
          <t>Action</t>
        </is>
      </c>
    </row>
    <row r="2">
      <c r="A2" s="166" t="inlineStr">
        <is>
          <t>GAP-MMISC-01</t>
        </is>
      </c>
      <c r="B2" s="166" t="inlineStr">
        <is>
          <t>Cross-cutting</t>
        </is>
      </c>
      <c r="C2" s="166" t="inlineStr">
        <is>
          <t>Duplicate TC_ ID namespace: 'Personal ID Tests' and 'Integration Tests (Connect)' both number TC_01, TC_02... - impossible to reference a case unambiguously</t>
        </is>
      </c>
      <c r="D2" s="166" t="inlineStr">
        <is>
          <t>🟡 Automatable - not yet done</t>
        </is>
      </c>
      <c r="E2" s="166" t="inlineStr">
        <is>
          <t>MTP hygiene: namespace collision across two tabs</t>
        </is>
      </c>
      <c r="F2" s="166" t="inlineStr">
        <is>
          <t>High</t>
        </is>
      </c>
      <c r="G2" s="166" t="inlineStr">
        <is>
          <t>New</t>
        </is>
      </c>
      <c r="H2" s="166" t="n"/>
      <c r="I2" s="166" t="n"/>
      <c r="J2" s="166" t="inlineStr">
        <is>
          <t>Pass 1 (mobile): MTP vs test suite</t>
        </is>
      </c>
      <c r="K2" s="166" t="inlineStr">
        <is>
          <t>N/A (hygiene/discrepancy/automation note)</t>
        </is>
      </c>
      <c r="L2" s="166" t="inlineStr">
        <is>
          <t>Reconcile (plan/code)</t>
        </is>
      </c>
    </row>
    <row r="3">
      <c r="A3" s="166" t="inlineStr">
        <is>
          <t>GAP-MMISC-02</t>
        </is>
      </c>
      <c r="B3" s="166" t="inlineStr">
        <is>
          <t>Cross-cutting</t>
        </is>
      </c>
      <c r="C3" s="166" t="inlineStr">
        <is>
          <t>Mobile suite allure tags use an older scheme (PID_x/CONNECT_x/Notification_x/Messaging_x) that no longer matches current MTP IDs (TC_/OLP_/Notifications_) - covered-case mapping is best-guess until reconciled</t>
        </is>
      </c>
      <c r="D3" s="166" t="inlineStr">
        <is>
          <t>🟡 Automatable - not yet done</t>
        </is>
      </c>
      <c r="E3" s="166" t="inlineStr">
        <is>
          <t>Suite/MTP ID drift discovered in mobile pass 1</t>
        </is>
      </c>
      <c r="F3" s="166" t="inlineStr">
        <is>
          <t>High</t>
        </is>
      </c>
      <c r="G3" s="166" t="inlineStr">
        <is>
          <t>New</t>
        </is>
      </c>
      <c r="H3" s="166" t="n"/>
      <c r="I3" s="166" t="n"/>
      <c r="J3" s="166" t="inlineStr">
        <is>
          <t>Pass 1 (mobile): MTP vs test suite</t>
        </is>
      </c>
      <c r="K3" s="166" t="inlineStr">
        <is>
          <t>N/A (hygiene/discrepancy/automation note)</t>
        </is>
      </c>
      <c r="L3" s="166" t="inlineStr">
        <is>
          <t>Reconcile (plan/code)</t>
        </is>
      </c>
    </row>
    <row r="4">
      <c r="A4" s="166" t="inlineStr">
        <is>
          <t>GAP-MMISC-03</t>
        </is>
      </c>
      <c r="B4" s="166" t="inlineStr">
        <is>
          <t>Cross-cutting</t>
        </is>
      </c>
      <c r="C4" s="166" t="inlineStr">
        <is>
          <t>test_tc_03 wraps push-notification assertions in bare try/except (flag=True/False) - the invite-notification check can silently pass</t>
        </is>
      </c>
      <c r="D4" s="166" t="inlineStr">
        <is>
          <t>🟡 Automatable - not yet done</t>
        </is>
      </c>
      <c r="E4" s="166" t="inlineStr">
        <is>
          <t>Suite quality: assertions swallowed; fix in automation repo</t>
        </is>
      </c>
      <c r="F4" s="166" t="inlineStr">
        <is>
          <t>High</t>
        </is>
      </c>
      <c r="G4" s="166" t="inlineStr">
        <is>
          <t>New</t>
        </is>
      </c>
      <c r="H4" s="166" t="n"/>
      <c r="I4" s="166" t="n"/>
      <c r="J4" s="166" t="inlineStr">
        <is>
          <t>Pass 1 (mobile): MTP vs test suite</t>
        </is>
      </c>
      <c r="K4" s="166" t="inlineStr">
        <is>
          <t>N/A (hygiene/discrepancy/automation note)</t>
        </is>
      </c>
      <c r="L4" s="166" t="inlineStr">
        <is>
          <t>Reconcile (plan/code)</t>
        </is>
      </c>
    </row>
    <row r="5">
      <c r="A5" s="166" t="inlineStr">
        <is>
          <t>GAP-MMISC-04</t>
        </is>
      </c>
      <c r="B5" s="166" t="inlineStr">
        <is>
          <t>Cross-cutting</t>
        </is>
      </c>
      <c r="C5" s="166" t="inlineStr">
        <is>
          <t>Connect Landing Page tab header row has no 'Test Case ID' label in col A and starts mid-table - confirm no cases dropped in parsing</t>
        </is>
      </c>
      <c r="D5" s="166" t="inlineStr">
        <is>
          <t>🟡 Automatable - not yet done</t>
        </is>
      </c>
      <c r="E5" s="166" t="inlineStr">
        <is>
          <t>MTP hygiene: malformed header row</t>
        </is>
      </c>
      <c r="F5" s="166" t="inlineStr">
        <is>
          <t>Medium</t>
        </is>
      </c>
      <c r="G5" s="166" t="inlineStr">
        <is>
          <t>New</t>
        </is>
      </c>
      <c r="H5" s="166" t="n"/>
      <c r="I5" s="166" t="n"/>
      <c r="J5" s="166" t="inlineStr">
        <is>
          <t>Pass 1 (mobile): MTP vs test suite</t>
        </is>
      </c>
      <c r="K5" s="166" t="inlineStr">
        <is>
          <t>N/A (hygiene/discrepancy/automation note)</t>
        </is>
      </c>
      <c r="L5" s="166" t="inlineStr">
        <is>
          <t>Reconcile (plan/code)</t>
        </is>
      </c>
    </row>
    <row r="6">
      <c r="A6" s="166" t="inlineStr">
        <is>
          <t>GAP-MMISC-05</t>
        </is>
      </c>
      <c r="B6" s="166" t="inlineStr">
        <is>
          <t>Cross-cutting</t>
        </is>
      </c>
      <c r="C6" s="166" t="inlineStr">
        <is>
          <t>Connect messaging tab is duplicated between web MTP and mobile MTP with overlapping IDs - decide the single owner</t>
        </is>
      </c>
      <c r="D6" s="166" t="inlineStr">
        <is>
          <t>🟡 Automatable - not yet done</t>
        </is>
      </c>
      <c r="E6" s="166" t="inlineStr">
        <is>
          <t>Cross-MTP duplication (web vs mobile messaging)</t>
        </is>
      </c>
      <c r="F6" s="166" t="inlineStr">
        <is>
          <t>Medium</t>
        </is>
      </c>
      <c r="G6" s="166" t="inlineStr">
        <is>
          <t>New</t>
        </is>
      </c>
      <c r="H6" s="166" t="n"/>
      <c r="I6" s="166" t="n"/>
      <c r="J6" s="166" t="inlineStr">
        <is>
          <t>Pass 1 (mobile): MTP vs test suite</t>
        </is>
      </c>
      <c r="K6" s="166" t="inlineStr">
        <is>
          <t>N/A (hygiene/discrepancy/automation note)</t>
        </is>
      </c>
      <c r="L6" s="166" t="inlineStr">
        <is>
          <t>Reconcile (plan/code)</t>
        </is>
      </c>
    </row>
    <row r="7">
      <c r="A7" s="166" t="inlineStr">
        <is>
          <t>GAP-MMISC-06</t>
        </is>
      </c>
      <c r="B7" s="166" t="inlineStr">
        <is>
          <t>Cross-cutting</t>
        </is>
      </c>
      <c r="C7" s="166" t="inlineStr">
        <is>
          <t>test_tc_06 duplicates the commented-out test_06 body from test_tc_03 - dead code in suite</t>
        </is>
      </c>
      <c r="D7" s="166" t="inlineStr">
        <is>
          <t>🟡 Automatable - not yet done</t>
        </is>
      </c>
      <c r="E7" s="166" t="inlineStr">
        <is>
          <t>Suite hygiene: dead/duplicated code</t>
        </is>
      </c>
      <c r="F7" s="166" t="inlineStr">
        <is>
          <t>Low</t>
        </is>
      </c>
      <c r="G7" s="166" t="inlineStr">
        <is>
          <t>New</t>
        </is>
      </c>
      <c r="H7" s="166" t="n"/>
      <c r="I7" s="166" t="n"/>
      <c r="J7" s="166" t="inlineStr">
        <is>
          <t>Pass 1 (mobile): MTP vs test suite</t>
        </is>
      </c>
      <c r="K7" s="166" t="inlineStr">
        <is>
          <t>N/A (hygiene/discrepancy/automation note)</t>
        </is>
      </c>
      <c r="L7" s="166" t="inlineStr">
        <is>
          <t>Reconcile (plan/code)</t>
        </is>
      </c>
    </row>
    <row r="8">
      <c r="A8" s="166" t="inlineStr">
        <is>
          <t>GAP-SRC-M-01</t>
        </is>
      </c>
      <c r="B8" s="166" t="inlineStr">
        <is>
          <t>PersonalID - Email</t>
        </is>
      </c>
      <c r="C8" s="166" t="inlineStr">
        <is>
          <t>Email OTP collection: app offers to collect + verify an email after login (EmailOfferHelper), with sendEmailOtp/verifyEmailOtp endpoints</t>
        </is>
      </c>
      <c r="D8" s="166" t="inlineStr">
        <is>
          <t>🔴 Manual only</t>
        </is>
      </c>
      <c r="E8" s="166" t="inlineStr">
        <is>
          <t>MISSING from MTP - entire email-OTP path absent. Real email round-trip. Src: EmailOfferHelper.kt, ApiPersonalId.sendEmailOtp/verifyEmailOtp</t>
        </is>
      </c>
      <c r="F8" s="166" t="inlineStr">
        <is>
          <t>High</t>
        </is>
      </c>
      <c r="G8" s="166" t="inlineStr">
        <is>
          <t>New</t>
        </is>
      </c>
      <c r="H8" s="166" t="n"/>
      <c r="I8" s="166" t="n"/>
      <c r="J8" s="166" t="inlineStr">
        <is>
          <t>Pass 4 (mobile): commcare-android Connect source</t>
        </is>
      </c>
      <c r="K8" s="166" t="inlineStr">
        <is>
          <t>QA-owned (real device/external; eng cannot unit-test)</t>
        </is>
      </c>
      <c r="L8" s="166" t="inlineStr">
        <is>
          <t>Add to MTP + Automate (QA-owned)</t>
        </is>
      </c>
    </row>
    <row r="9">
      <c r="A9" s="166" t="inlineStr">
        <is>
          <t>GAP-SRC-M-02</t>
        </is>
      </c>
      <c r="B9" s="166" t="inlineStr">
        <is>
          <t>PersonalID - Email</t>
        </is>
      </c>
      <c r="C9" s="166" t="inlineStr">
        <is>
          <t>Email offer cadence: offered at most twice, second offer only after 30 days, skipped if email already set or toggle off</t>
        </is>
      </c>
      <c r="D9" s="166" t="inlineStr">
        <is>
          <t>🟡 Automatable - not yet done</t>
        </is>
      </c>
      <c r="E9" s="166" t="inlineStr">
        <is>
          <t>MISSING from MTP. Logic-level, unit-testable (EmailOfferHelperTest exists). Src: EmailOfferHelper.shouldOfferEmail</t>
        </is>
      </c>
      <c r="F9" s="166" t="inlineStr">
        <is>
          <t>Medium</t>
        </is>
      </c>
      <c r="G9" s="166" t="inlineStr">
        <is>
          <t>New</t>
        </is>
      </c>
      <c r="H9" s="166" t="n"/>
      <c r="I9" s="166" t="n"/>
      <c r="J9" s="166" t="inlineStr">
        <is>
          <t>Pass 4 (mobile): commcare-android Connect source</t>
        </is>
      </c>
      <c r="K9" s="166" t="inlineStr">
        <is>
          <t>Eng-covered (logic) - QA e2e only if critical journey</t>
        </is>
      </c>
      <c r="L9" s="166" t="inlineStr">
        <is>
          <t>Add to MTP only (eng-covered)</t>
        </is>
      </c>
    </row>
    <row r="10">
      <c r="A10" s="166" t="inlineStr">
        <is>
          <t>GAP-SRC-M-03</t>
        </is>
      </c>
      <c r="B10" s="166" t="inlineStr">
        <is>
          <t>PersonalID - Signup</t>
        </is>
      </c>
      <c r="C10" s="166" t="inlineStr">
        <is>
          <t>Device integrity / Play Integrity attestation during signup (reportIntegrity, startConfiguration; INTEGRITY_ERROR handling)</t>
        </is>
      </c>
      <c r="D10" s="166" t="inlineStr">
        <is>
          <t>🔴 Manual only</t>
        </is>
      </c>
      <c r="E10" s="166" t="inlineStr">
        <is>
          <t>MISSING from MTP. Google Play Integrity infra. Src: ApiPersonalId.reportIntegrity/startConfiguration, PersonalIdApiHandler</t>
        </is>
      </c>
      <c r="F10" s="166" t="inlineStr">
        <is>
          <t>High</t>
        </is>
      </c>
      <c r="G10" s="166" t="inlineStr">
        <is>
          <t>New</t>
        </is>
      </c>
      <c r="H10" s="166" t="n"/>
      <c r="I10" s="166" t="n"/>
      <c r="J10" s="166" t="inlineStr">
        <is>
          <t>Pass 4 (mobile): commcare-android Connect source</t>
        </is>
      </c>
      <c r="K10" s="166" t="inlineStr">
        <is>
          <t>QA-owned (real device/external; eng cannot unit-test)</t>
        </is>
      </c>
      <c r="L10" s="166" t="inlineStr">
        <is>
          <t>Add to MTP + Automate (QA-owned)</t>
        </is>
      </c>
    </row>
    <row r="11">
      <c r="A11" s="166" t="inlineStr">
        <is>
          <t>GAP-SRC-M-04</t>
        </is>
      </c>
      <c r="B11" s="166" t="inlineStr">
        <is>
          <t>PersonalID - Signup</t>
        </is>
      </c>
      <c r="C11" s="166" t="inlineStr">
        <is>
          <t>Firebase ID token validation with phone match; PHONE_MISMATCH error when the token phone differs</t>
        </is>
      </c>
      <c r="D11" s="166" t="inlineStr">
        <is>
          <t>🔴 Manual only</t>
        </is>
      </c>
      <c r="E11" s="166" t="inlineStr">
        <is>
          <t>MISSING from MTP. Firebase infra. Src: ApiPersonalId.validateFirebaseIdToken, PersonalIdApiHandler PHONE_MISMATCH</t>
        </is>
      </c>
      <c r="F11" s="166" t="inlineStr">
        <is>
          <t>High</t>
        </is>
      </c>
      <c r="G11" s="166" t="inlineStr">
        <is>
          <t>New</t>
        </is>
      </c>
      <c r="H11" s="166" t="n"/>
      <c r="I11" s="166" t="n"/>
      <c r="J11" s="166" t="inlineStr">
        <is>
          <t>Pass 4 (mobile): commcare-android Connect source</t>
        </is>
      </c>
      <c r="K11" s="166" t="inlineStr">
        <is>
          <t>QA-owned (real device/external; eng cannot unit-test)</t>
        </is>
      </c>
      <c r="L11" s="166" t="inlineStr">
        <is>
          <t>Add to MTP + Automate (QA-owned)</t>
        </is>
      </c>
    </row>
    <row r="12">
      <c r="A12" s="166" t="inlineStr">
        <is>
          <t>GAP-SRC-M-05</t>
        </is>
      </c>
      <c r="B12" s="166" t="inlineStr">
        <is>
          <t>PersonalID - Signup</t>
        </is>
      </c>
      <c r="C12" s="166" t="inlineStr">
        <is>
          <t>Duplicate-account block: ACTIVE_USER_EXISTS error when signing up with a phone already tied to an active account</t>
        </is>
      </c>
      <c r="D12" s="166" t="inlineStr">
        <is>
          <t>🟡 Automatable - not yet done</t>
        </is>
      </c>
      <c r="E12" s="166" t="inlineStr">
        <is>
          <t>MISSING from MTP (TC_18 covers fuzzy NAME dup, not phone). Src: PersonalIdApiHandler ACTIVE_USER_EXISTS</t>
        </is>
      </c>
      <c r="F12" s="166" t="inlineStr">
        <is>
          <t>High</t>
        </is>
      </c>
      <c r="G12" s="166" t="inlineStr">
        <is>
          <t>New</t>
        </is>
      </c>
      <c r="H12" s="166" t="n"/>
      <c r="I12" s="166" t="n"/>
      <c r="J12" s="166" t="inlineStr">
        <is>
          <t>Pass 4 (mobile): commcare-android Connect source</t>
        </is>
      </c>
      <c r="K12" s="166" t="inlineStr">
        <is>
          <t>Eng-covered (logic) - QA e2e only if critical journey</t>
        </is>
      </c>
      <c r="L12" s="166" t="inlineStr">
        <is>
          <t>Add to MTP only (eng-covered)</t>
        </is>
      </c>
    </row>
    <row r="13">
      <c r="A13" s="166" t="inlineStr">
        <is>
          <t>GAP-SRC-M-06</t>
        </is>
      </c>
      <c r="B13" s="166" t="inlineStr">
        <is>
          <t>PersonalID - Signup</t>
        </is>
      </c>
      <c r="C13" s="166" t="inlineStr">
        <is>
          <t>Unsupported-country / phone-not-validated block (UNSUPPORTED_COUNTRY, PHONE_NOT_VALIDATED -&gt; FORBIDDEN)</t>
        </is>
      </c>
      <c r="D13" s="166" t="inlineStr">
        <is>
          <t>🟡 Automatable - not yet done</t>
        </is>
      </c>
      <c r="E13" s="166" t="inlineStr">
        <is>
          <t>MISSING from MTP. Src: PersonalIdApiHandler UNSUPPORTED_COUNTRY/PHONE_NOT_VALIDATED</t>
        </is>
      </c>
      <c r="F13" s="166" t="inlineStr">
        <is>
          <t>Medium</t>
        </is>
      </c>
      <c r="G13" s="166" t="inlineStr">
        <is>
          <t>New</t>
        </is>
      </c>
      <c r="H13" s="166" t="n"/>
      <c r="I13" s="166" t="n"/>
      <c r="J13" s="166" t="inlineStr">
        <is>
          <t>Pass 4 (mobile): commcare-android Connect source</t>
        </is>
      </c>
      <c r="K13" s="166" t="inlineStr">
        <is>
          <t>Eng-covered (logic) - QA e2e only if critical journey</t>
        </is>
      </c>
      <c r="L13" s="166" t="inlineStr">
        <is>
          <t>Add to MTP only (eng-covered)</t>
        </is>
      </c>
    </row>
    <row r="14">
      <c r="A14" s="166" t="inlineStr">
        <is>
          <t>GAP-SRC-M-07</t>
        </is>
      </c>
      <c r="B14" s="166" t="inlineStr">
        <is>
          <t>PersonalID - Signup</t>
        </is>
      </c>
      <c r="C14" s="166" t="inlineStr">
        <is>
          <t>Uninvited-user OTP block: NOT_ALLOWED error when an uninvited user requests an OTP</t>
        </is>
      </c>
      <c r="D14" s="166" t="inlineStr">
        <is>
          <t>🟡 Automatable - not yet done</t>
        </is>
      </c>
      <c r="E14" s="166" t="inlineStr">
        <is>
          <t>MISSING from MTP. Src: PersonalIdApiHandler NOT_ALLOWED</t>
        </is>
      </c>
      <c r="F14" s="166" t="inlineStr">
        <is>
          <t>Medium</t>
        </is>
      </c>
      <c r="G14" s="166" t="inlineStr">
        <is>
          <t>New</t>
        </is>
      </c>
      <c r="H14" s="166" t="n"/>
      <c r="I14" s="166" t="n"/>
      <c r="J14" s="166" t="inlineStr">
        <is>
          <t>Pass 4 (mobile): commcare-android Connect source</t>
        </is>
      </c>
      <c r="K14" s="166" t="inlineStr">
        <is>
          <t>Eng-covered (logic) - QA e2e only if critical journey</t>
        </is>
      </c>
      <c r="L14" s="166" t="inlineStr">
        <is>
          <t>Add to MTP only (eng-covered)</t>
        </is>
      </c>
    </row>
    <row r="15">
      <c r="A15" s="166" t="inlineStr">
        <is>
          <t>GAP-SRC-M-08</t>
        </is>
      </c>
      <c r="B15" s="166" t="inlineStr">
        <is>
          <t>PersonalID - OTP</t>
        </is>
      </c>
      <c r="C15" s="166" t="inlineStr">
        <is>
          <t>Rate limiting: RATE_LIMITED error on too many OTP/auth attempts</t>
        </is>
      </c>
      <c r="D15" s="166" t="inlineStr">
        <is>
          <t>🔴 Manual only</t>
        </is>
      </c>
      <c r="E15" s="166" t="inlineStr">
        <is>
          <t>MISSING from MTP. Server-timing dependent. Src: PersonalIdApiHandler RATE_LIMITED</t>
        </is>
      </c>
      <c r="F15" s="166" t="inlineStr">
        <is>
          <t>Medium</t>
        </is>
      </c>
      <c r="G15" s="166" t="inlineStr">
        <is>
          <t>New</t>
        </is>
      </c>
      <c r="H15" s="166" t="n"/>
      <c r="I15" s="166" t="n"/>
      <c r="J15" s="166" t="inlineStr">
        <is>
          <t>Pass 4 (mobile): commcare-android Connect source</t>
        </is>
      </c>
      <c r="K15" s="166" t="inlineStr">
        <is>
          <t>QA-owned (real device/external; eng cannot unit-test)</t>
        </is>
      </c>
      <c r="L15" s="166" t="inlineStr">
        <is>
          <t>Add to MTP + Automate (QA-owned)</t>
        </is>
      </c>
    </row>
    <row r="16">
      <c r="A16" s="166" t="inlineStr">
        <is>
          <t>GAP-SRC-M-09</t>
        </is>
      </c>
      <c r="B16" s="166" t="inlineStr">
        <is>
          <t>PersonalID - Photo</t>
        </is>
      </c>
      <c r="C16" s="166" t="inlineStr">
        <is>
          <t>Photo upload errors: FILE_TOO_LARGE (photo exceeds server limit) and FAILED_TO_UPLOAD handling</t>
        </is>
      </c>
      <c r="D16" s="166" t="inlineStr">
        <is>
          <t>🟡 Automatable - not yet done</t>
        </is>
      </c>
      <c r="E16" s="166" t="inlineStr">
        <is>
          <t>MISSING from MTP (TC_23-27 cover happy-path capture only). Src: PersonalIdApiHandler FILE_TOO_LARGE/FAILED_TO_UPLOAD</t>
        </is>
      </c>
      <c r="F16" s="166" t="inlineStr">
        <is>
          <t>Medium</t>
        </is>
      </c>
      <c r="G16" s="166" t="inlineStr">
        <is>
          <t>New</t>
        </is>
      </c>
      <c r="H16" s="166" t="n"/>
      <c r="I16" s="166" t="n"/>
      <c r="J16" s="166" t="inlineStr">
        <is>
          <t>Pass 4 (mobile): commcare-android Connect source</t>
        </is>
      </c>
      <c r="K16" s="166" t="inlineStr">
        <is>
          <t>Eng-covered (logic) - QA e2e only if critical journey</t>
        </is>
      </c>
      <c r="L16" s="166" t="inlineStr">
        <is>
          <t>Add to MTP only (eng-covered)</t>
        </is>
      </c>
    </row>
    <row r="17">
      <c r="A17" s="166" t="inlineStr">
        <is>
          <t>GAP-SRC-M-10</t>
        </is>
      </c>
      <c r="B17" s="166" t="inlineStr">
        <is>
          <t>PersonalID - Recovery</t>
        </is>
      </c>
      <c r="C17" s="166" t="inlineStr">
        <is>
          <t>NO_RECOVERY_PIN_SET error path when recovering an account that never set a backup code</t>
        </is>
      </c>
      <c r="D17" s="166" t="inlineStr">
        <is>
          <t>🟡 Automatable - not yet done</t>
        </is>
      </c>
      <c r="E17" s="166" t="inlineStr">
        <is>
          <t>MISSING from MTP. Src: PersonalIdApiHandler NO_RECOVERY_PIN_SET</t>
        </is>
      </c>
      <c r="F17" s="166" t="inlineStr">
        <is>
          <t>Medium</t>
        </is>
      </c>
      <c r="G17" s="166" t="inlineStr">
        <is>
          <t>New</t>
        </is>
      </c>
      <c r="H17" s="166" t="n"/>
      <c r="I17" s="166" t="n"/>
      <c r="J17" s="166" t="inlineStr">
        <is>
          <t>Pass 4 (mobile): commcare-android Connect source</t>
        </is>
      </c>
      <c r="K17" s="166" t="inlineStr">
        <is>
          <t>Eng-covered (logic) - QA e2e only if critical journey</t>
        </is>
      </c>
      <c r="L17" s="166" t="inlineStr">
        <is>
          <t>Add to MTP only (eng-covered)</t>
        </is>
      </c>
    </row>
    <row r="18">
      <c r="A18" s="166" t="inlineStr">
        <is>
          <t>GAP-SRC-M-11</t>
        </is>
      </c>
      <c r="B18" s="166" t="inlineStr">
        <is>
          <t>PersonalID - OTP</t>
        </is>
      </c>
      <c r="C18" s="166" t="inlineStr">
        <is>
          <t>SMS User Consent auto-read: app auto-reads the incoming OTP SMS via Google consent dialog (SMSBroadcastReceiver / SmsRetriever)</t>
        </is>
      </c>
      <c r="D18" s="166" t="inlineStr">
        <is>
          <t>🔴 Manual only</t>
        </is>
      </c>
      <c r="E18" s="166" t="inlineStr">
        <is>
          <t>MISSING from MTP (only manual OTP entry covered). Real SMS. Src: SMSBroadcastReceiver.java</t>
        </is>
      </c>
      <c r="F18" s="166" t="inlineStr">
        <is>
          <t>Medium</t>
        </is>
      </c>
      <c r="G18" s="166" t="inlineStr">
        <is>
          <t>New</t>
        </is>
      </c>
      <c r="H18" s="166" t="n"/>
      <c r="I18" s="166" t="n"/>
      <c r="J18" s="166" t="inlineStr">
        <is>
          <t>Pass 4 (mobile): commcare-android Connect source</t>
        </is>
      </c>
      <c r="K18" s="166" t="inlineStr">
        <is>
          <t>QA-owned (real device/external; eng cannot unit-test)</t>
        </is>
      </c>
      <c r="L18" s="166" t="inlineStr">
        <is>
          <t>Add to MTP + Automate (QA-owned)</t>
        </is>
      </c>
    </row>
    <row r="19">
      <c r="A19" s="166" t="inlineStr">
        <is>
          <t>GAP-SRC-M-12</t>
        </is>
      </c>
      <c r="B19" s="166" t="inlineStr">
        <is>
          <t>PersonalID - Profile</t>
        </is>
      </c>
      <c r="C19" s="166" t="inlineStr">
        <is>
          <t>Profile update: edit display name, photo, and secondary phone after account creation (updateProfile / secondary_phone)</t>
        </is>
      </c>
      <c r="D19" s="166" t="inlineStr">
        <is>
          <t>🟡 Automatable - not yet done</t>
        </is>
      </c>
      <c r="E19" s="166" t="inlineStr">
        <is>
          <t>MISSING from MTP (creation covered, editing not). Src: ApiPersonalId.updateUserProfile</t>
        </is>
      </c>
      <c r="F19" s="166" t="inlineStr">
        <is>
          <t>High</t>
        </is>
      </c>
      <c r="G19" s="166" t="inlineStr">
        <is>
          <t>New</t>
        </is>
      </c>
      <c r="H19" s="166" t="n"/>
      <c r="I19" s="166" t="n"/>
      <c r="J19" s="166" t="inlineStr">
        <is>
          <t>Pass 4 (mobile): commcare-android Connect source</t>
        </is>
      </c>
      <c r="K19" s="166" t="inlineStr">
        <is>
          <t>Eng-covered (logic) - QA e2e only if critical journey</t>
        </is>
      </c>
      <c r="L19" s="166" t="inlineStr">
        <is>
          <t>Add to MTP only (eng-covered)</t>
        </is>
      </c>
    </row>
    <row r="20">
      <c r="A20" s="166" t="inlineStr">
        <is>
          <t>GAP-SRC-M-13</t>
        </is>
      </c>
      <c r="B20" s="166" t="inlineStr">
        <is>
          <t>PersonalID - Signup</t>
        </is>
      </c>
      <c r="C20" s="166" t="inlineStr">
        <is>
          <t>Device OS-version eligibility gate: signup requires Android 9 (SDK&gt;=P) via checkDeviceCompability</t>
        </is>
      </c>
      <c r="D20" s="166" t="inlineStr">
        <is>
          <t>🟡 Automatable - not yet done</t>
        </is>
      </c>
      <c r="E20" s="166" t="inlineStr">
        <is>
          <t>PARTIAL vs TC_35 (which is no-fingerprint). OS-version gate distinct. Src: PersonalIdManager.checkDeviceCompability</t>
        </is>
      </c>
      <c r="F20" s="166" t="inlineStr">
        <is>
          <t>Medium</t>
        </is>
      </c>
      <c r="G20" s="166" t="inlineStr">
        <is>
          <t>New</t>
        </is>
      </c>
      <c r="H20" s="166" t="n"/>
      <c r="I20" s="166" t="n"/>
      <c r="J20" s="166" t="inlineStr">
        <is>
          <t>Pass 4 (mobile): commcare-android Connect source</t>
        </is>
      </c>
      <c r="K20" s="166" t="inlineStr">
        <is>
          <t>Eng-covered (logic) - QA e2e only if critical journey</t>
        </is>
      </c>
      <c r="L20" s="166" t="inlineStr">
        <is>
          <t>Add to MTP only (eng-covered)</t>
        </is>
      </c>
    </row>
    <row r="21">
      <c r="A21" s="166" t="inlineStr">
        <is>
          <t>GAP-SRC-M-14</t>
        </is>
      </c>
      <c r="B21" s="166" t="inlineStr">
        <is>
          <t>PersonalID - Startup</t>
        </is>
      </c>
      <c r="C21" s="166" t="inlineStr">
        <is>
          <t>Corrupt-DB recovery: on broken Connect DB at init, user is shown PERSONALID_DB_STARTUP_ERROR global error</t>
        </is>
      </c>
      <c r="D21" s="166" t="inlineStr">
        <is>
          <t>🔴 Manual only</t>
        </is>
      </c>
      <c r="E21" s="166" t="inlineStr">
        <is>
          <t>MISSING from MTP. Requires DB corruption. Src: PersonalIdManager.init / ConnectDatabaseHelper.isDbBroken</t>
        </is>
      </c>
      <c r="F21" s="166" t="inlineStr">
        <is>
          <t>Medium</t>
        </is>
      </c>
      <c r="G21" s="166" t="inlineStr">
        <is>
          <t>New</t>
        </is>
      </c>
      <c r="H21" s="166" t="n"/>
      <c r="I21" s="166" t="n"/>
      <c r="J21" s="166" t="inlineStr">
        <is>
          <t>Pass 4 (mobile): commcare-android Connect source</t>
        </is>
      </c>
      <c r="K21" s="166" t="inlineStr">
        <is>
          <t>QA-owned (real device/external; eng cannot unit-test)</t>
        </is>
      </c>
      <c r="L21" s="166" t="inlineStr">
        <is>
          <t>Add to MTP + Automate (QA-owned)</t>
        </is>
      </c>
    </row>
    <row r="22">
      <c r="A22" s="166" t="inlineStr">
        <is>
          <t>GAP-SRC-M-15</t>
        </is>
      </c>
      <c r="B22" s="166" t="inlineStr">
        <is>
          <t>PersonalID - Linking</t>
        </is>
      </c>
      <c r="C22" s="166" t="inlineStr">
        <is>
          <t>Second link-to-PersonalID offer shown again after 30 days, capped at 2 offers</t>
        </is>
      </c>
      <c r="D22" s="166" t="inlineStr">
        <is>
          <t>🔴 Manual only</t>
        </is>
      </c>
      <c r="E22" s="166" t="inlineStr">
        <is>
          <t>MISSING from MTP (TC_36 covers first prompt only). Time-dependent. Src: PersonalIdManager.evaluateLinkOffer</t>
        </is>
      </c>
      <c r="F22" s="166" t="inlineStr">
        <is>
          <t>Medium</t>
        </is>
      </c>
      <c r="G22" s="166" t="inlineStr">
        <is>
          <t>New</t>
        </is>
      </c>
      <c r="H22" s="166" t="n"/>
      <c r="I22" s="166" t="n"/>
      <c r="J22" s="166" t="inlineStr">
        <is>
          <t>Pass 4 (mobile): commcare-android Connect source</t>
        </is>
      </c>
      <c r="K22" s="166" t="inlineStr">
        <is>
          <t>QA-owned (real device/external; eng cannot unit-test)</t>
        </is>
      </c>
      <c r="L22" s="166" t="inlineStr">
        <is>
          <t>Add to MTP + Automate (QA-owned)</t>
        </is>
      </c>
    </row>
    <row r="23">
      <c r="A23" s="166" t="inlineStr">
        <is>
          <t>GAP-SRC-M-16</t>
        </is>
      </c>
      <c r="B23" s="166" t="inlineStr">
        <is>
          <t>PersonalID - Linking</t>
        </is>
      </c>
      <c r="C23" s="166" t="inlineStr">
        <is>
          <t>Delink prompt on password login: logging into a PersonalId-managed app with password prompts to sever the link (mobile-side)</t>
        </is>
      </c>
      <c r="D23" s="166" t="inlineStr">
        <is>
          <t>🟡 Automatable - not yet done</t>
        </is>
      </c>
      <c r="E23" s="166" t="inlineStr">
        <is>
          <t>PARTIAL vs TC_40-42 (web/HQ side). Mobile delink dialog distinct. Src: PersonalIdManager.promptToDelinkPersonalIdApp</t>
        </is>
      </c>
      <c r="F23" s="166" t="inlineStr">
        <is>
          <t>Medium</t>
        </is>
      </c>
      <c r="G23" s="166" t="inlineStr">
        <is>
          <t>New</t>
        </is>
      </c>
      <c r="H23" s="166" t="n"/>
      <c r="I23" s="166" t="n"/>
      <c r="J23" s="166" t="inlineStr">
        <is>
          <t>Pass 4 (mobile): commcare-android Connect source</t>
        </is>
      </c>
      <c r="K23" s="166" t="inlineStr">
        <is>
          <t>Eng-covered (logic) - QA e2e only if critical journey</t>
        </is>
      </c>
      <c r="L23" s="166" t="inlineStr">
        <is>
          <t>Add to MTP only (eng-covered)</t>
        </is>
      </c>
    </row>
    <row r="24">
      <c r="A24" s="166" t="inlineStr">
        <is>
          <t>GAP-SRC-M-17</t>
        </is>
      </c>
      <c r="B24" s="166" t="inlineStr">
        <is>
          <t>Connect - App Launch</t>
        </is>
      </c>
      <c r="C24" s="166" t="inlineStr">
        <is>
          <t>Auto-login launch retry: learn/deliver launch retries up to 3 attempts then shows a persistent-error dialog</t>
        </is>
      </c>
      <c r="D24" s="166" t="inlineStr">
        <is>
          <t>🟡 Automatable - not yet done</t>
        </is>
      </c>
      <c r="E24" s="166" t="inlineStr">
        <is>
          <t>MISSING from MTP (download/open covered, retry/failure not). Src: LaunchOutcomeRouter MAX_LAUNCH_ATTEMPTS=3</t>
        </is>
      </c>
      <c r="F24" s="166" t="inlineStr">
        <is>
          <t>High</t>
        </is>
      </c>
      <c r="G24" s="166" t="inlineStr">
        <is>
          <t>New</t>
        </is>
      </c>
      <c r="H24" s="166" t="n"/>
      <c r="I24" s="166" t="n"/>
      <c r="J24" s="166" t="inlineStr">
        <is>
          <t>Pass 4 (mobile): commcare-android Connect source</t>
        </is>
      </c>
      <c r="K24" s="166" t="inlineStr">
        <is>
          <t>Eng-covered (logic) - QA e2e only if critical journey</t>
        </is>
      </c>
      <c r="L24" s="166" t="inlineStr">
        <is>
          <t>Add to MTP only (eng-covered)</t>
        </is>
      </c>
    </row>
    <row r="25">
      <c r="A25" s="166" t="inlineStr">
        <is>
          <t>GAP-SRC-M-18</t>
        </is>
      </c>
      <c r="B25" s="166" t="inlineStr">
        <is>
          <t>Connect - App Launch</t>
        </is>
      </c>
      <c r="C25" s="166" t="inlineStr">
        <is>
          <t>App seat failure recovery: a seat failure routes the user back to DispatchActivity</t>
        </is>
      </c>
      <c r="D25" s="166" t="inlineStr">
        <is>
          <t>🟡 Automatable - not yet done</t>
        </is>
      </c>
      <c r="E25" s="166" t="inlineStr">
        <is>
          <t>MISSING from MTP. Src: LaunchOutcomeRouter AppSeatFailed / recoverFromSeatFailure</t>
        </is>
      </c>
      <c r="F25" s="166" t="inlineStr">
        <is>
          <t>Medium</t>
        </is>
      </c>
      <c r="G25" s="166" t="inlineStr">
        <is>
          <t>New</t>
        </is>
      </c>
      <c r="H25" s="166" t="n"/>
      <c r="I25" s="166" t="n"/>
      <c r="J25" s="166" t="inlineStr">
        <is>
          <t>Pass 4 (mobile): commcare-android Connect source</t>
        </is>
      </c>
      <c r="K25" s="166" t="inlineStr">
        <is>
          <t>Eng-covered (logic) - QA e2e only if critical journey</t>
        </is>
      </c>
      <c r="L25" s="166" t="inlineStr">
        <is>
          <t>Add to MTP only (eng-covered)</t>
        </is>
      </c>
    </row>
    <row r="26">
      <c r="A26" s="166" t="inlineStr">
        <is>
          <t>GAP-SRC-M-19</t>
        </is>
      </c>
      <c r="B26" s="166" t="inlineStr">
        <is>
          <t>Connect - App Launch</t>
        </is>
      </c>
      <c r="C26" s="166" t="inlineStr">
        <is>
          <t>Launch progress dialog states: Seating / Signing-in / Syncing (with %) shown during auto-login</t>
        </is>
      </c>
      <c r="D26" s="166" t="inlineStr">
        <is>
          <t>🟡 Automatable - not yet done</t>
        </is>
      </c>
      <c r="E26" s="166" t="inlineStr">
        <is>
          <t>MISSING from MTP. Src: LaunchProgressMapper / ConnectAppLaunchController</t>
        </is>
      </c>
      <c r="F26" s="166" t="inlineStr">
        <is>
          <t>Low</t>
        </is>
      </c>
      <c r="G26" s="166" t="inlineStr">
        <is>
          <t>New</t>
        </is>
      </c>
      <c r="H26" s="166" t="n"/>
      <c r="I26" s="166" t="n"/>
      <c r="J26" s="166" t="inlineStr">
        <is>
          <t>Pass 4 (mobile): commcare-android Connect source</t>
        </is>
      </c>
      <c r="K26" s="166" t="inlineStr">
        <is>
          <t>Eng-covered (logic) - QA e2e only if critical journey</t>
        </is>
      </c>
      <c r="L26" s="166" t="inlineStr">
        <is>
          <t>Add to MTP only (eng-covered)</t>
        </is>
      </c>
    </row>
    <row r="27">
      <c r="A27" s="166" t="inlineStr">
        <is>
          <t>GAP-SRC-M-20</t>
        </is>
      </c>
      <c r="B27" s="166" t="inlineStr">
        <is>
          <t>Connect - Feature Flags</t>
        </is>
      </c>
      <c r="C27" s="166" t="inlineStr">
        <is>
          <t>Release-toggle-gated behaviour: features enabled/disabled by server release toggles fetched periodically</t>
        </is>
      </c>
      <c r="D27" s="166" t="inlineStr">
        <is>
          <t>🟡 Automatable - not yet done</t>
        </is>
      </c>
      <c r="E27" s="166" t="inlineStr">
        <is>
          <t>MISSING from MTP (no toggle-gated case). Src: ConnectReleaseTogglesWorker, ReleaseToggleHelper</t>
        </is>
      </c>
      <c r="F27" s="166" t="inlineStr">
        <is>
          <t>Medium</t>
        </is>
      </c>
      <c r="G27" s="166" t="inlineStr">
        <is>
          <t>New</t>
        </is>
      </c>
      <c r="H27" s="166" t="n"/>
      <c r="I27" s="166" t="n"/>
      <c r="J27" s="166" t="inlineStr">
        <is>
          <t>Pass 4 (mobile): commcare-android Connect source</t>
        </is>
      </c>
      <c r="K27" s="166" t="inlineStr">
        <is>
          <t>Eng-covered (logic) - QA e2e only if critical journey</t>
        </is>
      </c>
      <c r="L27" s="166" t="inlineStr">
        <is>
          <t>Add to MTP only (eng-covered)</t>
        </is>
      </c>
    </row>
    <row r="28">
      <c r="A28" s="166" t="inlineStr">
        <is>
          <t>GAP-SRC-M-21</t>
        </is>
      </c>
      <c r="B28" s="166" t="inlineStr">
        <is>
          <t>Connect - Deep Links</t>
        </is>
      </c>
      <c r="C28" s="166" t="inlineStr">
        <is>
          <t>Generic-opportunity deep link resolves destination by job status (payments/delivery/learn/summary)</t>
        </is>
      </c>
      <c r="D28" s="166" t="inlineStr">
        <is>
          <t>🟡 Automatable - not yet done</t>
        </is>
      </c>
      <c r="E28" s="166" t="inlineStr">
        <is>
          <t>MISSING from MTP. Src: ConnectJobHelper.resolveGenericOpportunityDestination</t>
        </is>
      </c>
      <c r="F28" s="166" t="inlineStr">
        <is>
          <t>Medium</t>
        </is>
      </c>
      <c r="G28" s="166" t="inlineStr">
        <is>
          <t>New</t>
        </is>
      </c>
      <c r="H28" s="166" t="n"/>
      <c r="I28" s="166" t="n"/>
      <c r="J28" s="166" t="inlineStr">
        <is>
          <t>Pass 4 (mobile): commcare-android Connect source</t>
        </is>
      </c>
      <c r="K28" s="166" t="inlineStr">
        <is>
          <t>Eng-covered (logic) - QA e2e only if critical journey</t>
        </is>
      </c>
      <c r="L28" s="166" t="inlineStr">
        <is>
          <t>Add to MTP only (eng-covered)</t>
        </is>
      </c>
    </row>
    <row r="29">
      <c r="A29" s="166" t="inlineStr">
        <is>
          <t>GAP-SRC-M-22</t>
        </is>
      </c>
      <c r="B29" s="166" t="inlineStr">
        <is>
          <t>Connect - Messaging</t>
        </is>
      </c>
      <c r="C29" s="166" t="inlineStr">
        <is>
          <t>Offline outgoing-message queue: unconfirmed outgoing messages are resent when connectivity returns</t>
        </is>
      </c>
      <c r="D29" s="166" t="inlineStr">
        <is>
          <t>🔴 Manual only</t>
        </is>
      </c>
      <c r="E29" s="166" t="inlineStr">
        <is>
          <t>MISSING from MTP. Offline-dependent. Src: MessageManager.sendUnsentMessages</t>
        </is>
      </c>
      <c r="F29" s="166" t="inlineStr">
        <is>
          <t>Medium</t>
        </is>
      </c>
      <c r="G29" s="166" t="inlineStr">
        <is>
          <t>New</t>
        </is>
      </c>
      <c r="H29" s="166" t="n"/>
      <c r="I29" s="166" t="n"/>
      <c r="J29" s="166" t="inlineStr">
        <is>
          <t>Pass 4 (mobile): commcare-android Connect source</t>
        </is>
      </c>
      <c r="K29" s="166" t="inlineStr">
        <is>
          <t>QA-owned (real device/external; eng cannot unit-test)</t>
        </is>
      </c>
      <c r="L29" s="166" t="inlineStr">
        <is>
          <t>Add to MTP + Automate (QA-owned)</t>
        </is>
      </c>
    </row>
    <row r="30">
      <c r="A30" s="166" t="inlineStr">
        <is>
          <t>GAP-SRC-M-23</t>
        </is>
      </c>
      <c r="B30" s="166" t="inlineStr">
        <is>
          <t>Connect - Messaging</t>
        </is>
      </c>
      <c r="C30" s="166" t="inlineStr">
        <is>
          <t>End-to-end message encryption: messages encrypted with channel key; send blocked if no encryption key present</t>
        </is>
      </c>
      <c r="D30" s="166" t="inlineStr">
        <is>
          <t>🟡 Automatable - not yet done</t>
        </is>
      </c>
      <c r="E30" s="166" t="inlineStr">
        <is>
          <t>MISSING from MTP. Src: MessageManager.sendMessage / ApiPersonalId.sendMessagingMessage (ciphertext/nonce/tag)</t>
        </is>
      </c>
      <c r="F30" s="166" t="inlineStr">
        <is>
          <t>Medium</t>
        </is>
      </c>
      <c r="G30" s="166" t="inlineStr">
        <is>
          <t>New</t>
        </is>
      </c>
      <c r="H30" s="166" t="n"/>
      <c r="I30" s="166" t="n"/>
      <c r="J30" s="166" t="inlineStr">
        <is>
          <t>Pass 4 (mobile): commcare-android Connect source</t>
        </is>
      </c>
      <c r="K30" s="166" t="inlineStr">
        <is>
          <t>Eng-covered (logic) - QA e2e only if critical journey</t>
        </is>
      </c>
      <c r="L30" s="166" t="inlineStr">
        <is>
          <t>Add to MTP only (eng-covered)</t>
        </is>
      </c>
    </row>
    <row r="31">
      <c r="A31" s="166" t="inlineStr">
        <is>
          <t>GAP-SRC-M-24</t>
        </is>
      </c>
      <c r="B31" s="166" t="inlineStr">
        <is>
          <t>Connect - Notifications</t>
        </is>
      </c>
      <c r="C31" s="166" t="inlineStr">
        <is>
          <t>Periodic push-notification retrieval (polling, not just live push) scheduled on login, cancelled on logout</t>
        </is>
      </c>
      <c r="D31" s="166" t="inlineStr">
        <is>
          <t>🟡 Automatable - not yet done</t>
        </is>
      </c>
      <c r="E31" s="166" t="inlineStr">
        <is>
          <t>MISSING from MTP (all notif cases are live-push). Src: NotificationsSyncWorkerManager, PersonalIdManager.userUnlockedPersonalId</t>
        </is>
      </c>
      <c r="F31" s="166" t="inlineStr">
        <is>
          <t>Medium</t>
        </is>
      </c>
      <c r="G31" s="166" t="inlineStr">
        <is>
          <t>New</t>
        </is>
      </c>
      <c r="H31" s="166" t="n"/>
      <c r="I31" s="166" t="n"/>
      <c r="J31" s="166" t="inlineStr">
        <is>
          <t>Pass 4 (mobile): commcare-android Connect source</t>
        </is>
      </c>
      <c r="K31" s="166" t="inlineStr">
        <is>
          <t>Eng-covered (logic) - QA e2e only if critical journey</t>
        </is>
      </c>
      <c r="L31" s="166" t="inlineStr">
        <is>
          <t>Add to MTP only (eng-covered)</t>
        </is>
      </c>
    </row>
    <row r="32">
      <c r="A32" s="166" t="inlineStr">
        <is>
          <t>GAP-SRC-M-25</t>
        </is>
      </c>
      <c r="B32" s="166" t="inlineStr">
        <is>
          <t>Connect - Background</t>
        </is>
      </c>
      <c r="C32" s="166" t="inlineStr">
        <is>
          <t>Heartbeat worker: 4-hourly heartbeat refreshing FCM token, requires network + battery-not-low</t>
        </is>
      </c>
      <c r="D32" s="166" t="inlineStr">
        <is>
          <t>🔴 Manual only</t>
        </is>
      </c>
      <c r="E32" s="166" t="inlineStr">
        <is>
          <t>MISSING from MTP. Background/time-dependent. Src: PersonalIdManager.scheduleHeartbeat, ConnectHeartbeatWorker</t>
        </is>
      </c>
      <c r="F32" s="166" t="inlineStr">
        <is>
          <t>Low</t>
        </is>
      </c>
      <c r="G32" s="166" t="inlineStr">
        <is>
          <t>New</t>
        </is>
      </c>
      <c r="H32" s="166" t="n"/>
      <c r="I32" s="166" t="n"/>
      <c r="J32" s="166" t="inlineStr">
        <is>
          <t>Pass 4 (mobile): commcare-android Connect source</t>
        </is>
      </c>
      <c r="K32" s="166" t="inlineStr">
        <is>
          <t>QA-owned (real device/external; eng cannot unit-test)</t>
        </is>
      </c>
      <c r="L32" s="166" t="inlineStr">
        <is>
          <t>Add to MTP + Automate (QA-owned)</t>
        </is>
      </c>
    </row>
    <row r="33">
      <c r="A33" s="166" t="inlineStr">
        <is>
          <t>GAP-UTC-M-01</t>
        </is>
      </c>
      <c r="B33" s="166" t="inlineStr">
        <is>
          <t>PersonalIdManager</t>
        </is>
      </c>
      <c r="C33" s="166" t="inlineStr">
        <is>
          <t>No direct unit test for PersonalIdManager (status transitions, link/delink orchestration, token validity) despite it being the PersonalID workflow hub</t>
        </is>
      </c>
      <c r="D33" s="166" t="inlineStr">
        <is>
          <t>🟡 Automatable - not yet done</t>
        </is>
      </c>
      <c r="E33" s="166" t="inlineStr">
        <is>
          <t>Unit-test coverage gap. Src: connect/PersonalIdManager.java (656 lines)</t>
        </is>
      </c>
      <c r="F33" s="166" t="inlineStr">
        <is>
          <t>High</t>
        </is>
      </c>
      <c r="G33" s="166" t="inlineStr">
        <is>
          <t>New</t>
        </is>
      </c>
      <c r="H33" s="166" t="n"/>
      <c r="I33" s="166" t="n"/>
      <c r="J33" s="166" t="inlineStr">
        <is>
          <t>Pass 4 (mobile): commcare-android Connect source</t>
        </is>
      </c>
      <c r="K33" s="166" t="inlineStr">
        <is>
          <t>Eng GAP (no unit test) - dev deliverable</t>
        </is>
      </c>
      <c r="L33" s="166" t="inlineStr">
        <is>
          <t>Dev: add unit test</t>
        </is>
      </c>
    </row>
    <row r="34">
      <c r="A34" s="166" t="inlineStr">
        <is>
          <t>GAP-UTC-M-02</t>
        </is>
      </c>
      <c r="B34" s="166" t="inlineStr">
        <is>
          <t>MessageManager</t>
        </is>
      </c>
      <c r="C34" s="166" t="inlineStr">
        <is>
          <t>No unit test for MessageManager (channel consent, encryption-key retrieval, unsent-message resend)</t>
        </is>
      </c>
      <c r="D34" s="166" t="inlineStr">
        <is>
          <t>🟡 Automatable - not yet done</t>
        </is>
      </c>
      <c r="E34" s="166" t="inlineStr">
        <is>
          <t>Unit-test coverage gap. Src: connect/MessageManager.java</t>
        </is>
      </c>
      <c r="F34" s="166" t="inlineStr">
        <is>
          <t>Medium</t>
        </is>
      </c>
      <c r="G34" s="166" t="inlineStr">
        <is>
          <t>New</t>
        </is>
      </c>
      <c r="H34" s="166" t="n"/>
      <c r="I34" s="166" t="n"/>
      <c r="J34" s="166" t="inlineStr">
        <is>
          <t>Pass 4 (mobile): commcare-android Connect source</t>
        </is>
      </c>
      <c r="K34" s="166" t="inlineStr">
        <is>
          <t>Eng GAP (no unit test) - dev deliverable</t>
        </is>
      </c>
      <c r="L34" s="166" t="inlineStr">
        <is>
          <t>Dev: add unit test</t>
        </is>
      </c>
    </row>
    <row r="35">
      <c r="A35" s="166" t="inlineStr">
        <is>
          <t>GAP-UTC-M-03</t>
        </is>
      </c>
      <c r="B35" s="166" t="inlineStr">
        <is>
          <t>ConnectSsoHelper</t>
        </is>
      </c>
      <c r="C35" s="166" t="inlineStr">
        <is>
          <t>No unit test for ConnectSsoHelper (PersonalID/HQ token exchange + HQ-worker linking branches)</t>
        </is>
      </c>
      <c r="D35" s="166" t="inlineStr">
        <is>
          <t>🟡 Automatable - not yet done</t>
        </is>
      </c>
      <c r="E35" s="166" t="inlineStr">
        <is>
          <t>Unit-test coverage gap. Src: connect/network/ConnectSsoHelper.java</t>
        </is>
      </c>
      <c r="F35" s="166" t="inlineStr">
        <is>
          <t>Medium</t>
        </is>
      </c>
      <c r="G35" s="166" t="inlineStr">
        <is>
          <t>New</t>
        </is>
      </c>
      <c r="H35" s="166" t="n"/>
      <c r="I35" s="166" t="n"/>
      <c r="J35" s="166" t="inlineStr">
        <is>
          <t>Pass 4 (mobile): commcare-android Connect source</t>
        </is>
      </c>
      <c r="K35" s="166" t="inlineStr">
        <is>
          <t>Eng GAP (no unit test) - dev deliverable</t>
        </is>
      </c>
      <c r="L35" s="166" t="inlineStr">
        <is>
          <t>Dev: add unit test</t>
        </is>
      </c>
    </row>
    <row r="36">
      <c r="A36" s="166" t="inlineStr">
        <is>
          <t>GAP-UTC-M-04</t>
        </is>
      </c>
      <c r="B36" s="166" t="inlineStr">
        <is>
          <t>SMSBroadcastReceiver</t>
        </is>
      </c>
      <c r="C36" s="166" t="inlineStr">
        <is>
          <t>No unit test for SMS consent receiver (success/timeout/error branches)</t>
        </is>
      </c>
      <c r="D36" s="166" t="inlineStr">
        <is>
          <t>🟡 Automatable - not yet done</t>
        </is>
      </c>
      <c r="E36" s="166" t="inlineStr">
        <is>
          <t>Unit-test coverage gap. Src: connect/SMSBroadcastReceiver.java</t>
        </is>
      </c>
      <c r="F36" s="166" t="inlineStr">
        <is>
          <t>Low</t>
        </is>
      </c>
      <c r="G36" s="166" t="inlineStr">
        <is>
          <t>New</t>
        </is>
      </c>
      <c r="H36" s="166" t="n"/>
      <c r="I36" s="166" t="n"/>
      <c r="J36" s="166" t="inlineStr">
        <is>
          <t>Pass 4 (mobile): commcare-android Connect source</t>
        </is>
      </c>
      <c r="K36" s="166" t="inlineStr">
        <is>
          <t>Eng GAP (no unit test) - dev deliverable</t>
        </is>
      </c>
      <c r="L36" s="166" t="inlineStr">
        <is>
          <t>Dev: add unit test</t>
        </is>
      </c>
    </row>
    <row r="37">
      <c r="A37" s="166" t="inlineStr">
        <is>
          <t>GAP-UTC-M-05</t>
        </is>
      </c>
      <c r="B37" s="166" t="inlineStr">
        <is>
          <t>ApiPersonalId/ApiConnect</t>
        </is>
      </c>
      <c r="C37" s="166" t="inlineStr">
        <is>
          <t>API request builders (params/headers/auth) exercised only via mock server, no per-endpoint builder unit tests</t>
        </is>
      </c>
      <c r="D37" s="166" t="inlineStr">
        <is>
          <t>🟡 Automatable - not yet done</t>
        </is>
      </c>
      <c r="E37" s="166" t="inlineStr">
        <is>
          <t>Unit-test coverage gap (partial). Src: connect/network/ApiPersonalId.java, ApiConnect.java</t>
        </is>
      </c>
      <c r="F37" s="166" t="inlineStr">
        <is>
          <t>Low</t>
        </is>
      </c>
      <c r="G37" s="166" t="inlineStr">
        <is>
          <t>New</t>
        </is>
      </c>
      <c r="H37" s="166" t="n"/>
      <c r="I37" s="166" t="n"/>
      <c r="J37" s="166" t="inlineStr">
        <is>
          <t>Pass 4 (mobile): commcare-android Connect source</t>
        </is>
      </c>
      <c r="K37" s="166" t="inlineStr">
        <is>
          <t>Eng GAP (no unit test) - dev deliverable</t>
        </is>
      </c>
      <c r="L37" s="166" t="inlineStr">
        <is>
          <t>Dev: add unit test</t>
        </is>
      </c>
    </row>
    <row r="38">
      <c r="A38" s="166" t="inlineStr">
        <is>
          <t>GAP-SRC-M-26</t>
        </is>
      </c>
      <c r="B38" s="166" t="inlineStr">
        <is>
          <t>PersonalID - Signup</t>
        </is>
      </c>
      <c r="C38" s="166" t="inlineStr">
        <is>
          <t>GPS location is MANDATORY to continue signup: continue button stays disabled until a location is acquired; screen shows 'using your location' / 'no location found' tooltip</t>
        </is>
      </c>
      <c r="D38" s="166" t="inlineStr">
        <is>
          <t>🟡 Automatable - not yet done</t>
        </is>
      </c>
      <c r="E38" s="166" t="inlineStr">
        <is>
          <t>MISSING from MTP (TC_06 covers phone field only, not location gating). Src: PersonalIdPhoneFragment.allowedToContinue</t>
        </is>
      </c>
      <c r="F38" s="166" t="inlineStr">
        <is>
          <t>High</t>
        </is>
      </c>
      <c r="G38" s="166" t="inlineStr">
        <is>
          <t>New</t>
        </is>
      </c>
      <c r="H38" s="166" t="n"/>
      <c r="I38" s="166" t="n"/>
      <c r="J38" s="166" t="inlineStr">
        <is>
          <t>Pass 4 (mobile) batch 2: fragment UI layer</t>
        </is>
      </c>
      <c r="K38" s="166" t="inlineStr">
        <is>
          <t>Eng-covered (logic) - QA e2e only if critical journey</t>
        </is>
      </c>
      <c r="L38" s="166" t="inlineStr">
        <is>
          <t>Add to MTP only (eng-covered)</t>
        </is>
      </c>
    </row>
    <row r="39">
      <c r="A39" s="166" t="inlineStr">
        <is>
          <t>GAP-SRC-M-27</t>
        </is>
      </c>
      <c r="B39" s="166" t="inlineStr">
        <is>
          <t>PersonalID - Signup</t>
        </is>
      </c>
      <c r="C39" s="166" t="inlineStr">
        <is>
          <t>Location permission / GPS-off handling: dedicated permission-error screens, GPS-settings resolution prompt, and 'grant location' recovery screens</t>
        </is>
      </c>
      <c r="D39" s="166" t="inlineStr">
        <is>
          <t>🟡 Automatable - not yet done</t>
        </is>
      </c>
      <c r="E39" s="166" t="inlineStr">
        <is>
          <t>MISSING from MTP. Src: PersonalIdPhoneFragment.onLocationRequestFailure / navigateToPermissionErrorMessageDisplay</t>
        </is>
      </c>
      <c r="F39" s="166" t="inlineStr">
        <is>
          <t>High</t>
        </is>
      </c>
      <c r="G39" s="166" t="inlineStr">
        <is>
          <t>New</t>
        </is>
      </c>
      <c r="H39" s="166" t="n"/>
      <c r="I39" s="166" t="n"/>
      <c r="J39" s="166" t="inlineStr">
        <is>
          <t>Pass 4 (mobile) batch 2: fragment UI layer</t>
        </is>
      </c>
      <c r="K39" s="166" t="inlineStr">
        <is>
          <t>Eng-covered (logic) - QA e2e only if critical journey</t>
        </is>
      </c>
      <c r="L39" s="166" t="inlineStr">
        <is>
          <t>Add to MTP only (eng-covered)</t>
        </is>
      </c>
    </row>
    <row r="40">
      <c r="A40" s="166" t="inlineStr">
        <is>
          <t>GAP-SRC-M-28</t>
        </is>
      </c>
      <c r="B40" s="166" t="inlineStr">
        <is>
          <t>PersonalID - Signup</t>
        </is>
      </c>
      <c r="C40" s="166" t="inlineStr">
        <is>
          <t>Consent checkbox must be ticked before Continue is enabled on the phone screen</t>
        </is>
      </c>
      <c r="D40" s="166" t="inlineStr">
        <is>
          <t>🟡 Automatable - not yet done</t>
        </is>
      </c>
      <c r="E40" s="166" t="inlineStr">
        <is>
          <t>MISSING from MTP. Src: PersonalIdPhoneFragment.allowedToContinue (connectConsentCheck)</t>
        </is>
      </c>
      <c r="F40" s="166" t="inlineStr">
        <is>
          <t>Medium</t>
        </is>
      </c>
      <c r="G40" s="166" t="inlineStr">
        <is>
          <t>New</t>
        </is>
      </c>
      <c r="H40" s="166" t="n"/>
      <c r="I40" s="166" t="n"/>
      <c r="J40" s="166" t="inlineStr">
        <is>
          <t>Pass 4 (mobile) batch 2: fragment UI layer</t>
        </is>
      </c>
      <c r="K40" s="166" t="inlineStr">
        <is>
          <t>Eng-covered (logic) - QA e2e only if critical journey</t>
        </is>
      </c>
      <c r="L40" s="166" t="inlineStr">
        <is>
          <t>Add to MTP only (eng-covered)</t>
        </is>
      </c>
    </row>
    <row r="41">
      <c r="A41" s="166" t="inlineStr">
        <is>
          <t>GAP-SRC-M-29</t>
        </is>
      </c>
      <c r="B41" s="166" t="inlineStr">
        <is>
          <t>PersonalID - Signup</t>
        </is>
      </c>
      <c r="C41" s="166" t="inlineStr">
        <is>
          <t>Google Play Services availability check on the phone screen; missing/outdated Play Services shows an update/resolution prompt and blocks signup</t>
        </is>
      </c>
      <c r="D41" s="166" t="inlineStr">
        <is>
          <t>🟡 Automatable - not yet done</t>
        </is>
      </c>
      <c r="E41" s="166" t="inlineStr">
        <is>
          <t>MISSING from MTP. Src: PersonalIdPhoneFragment.checkGooglePlayServices</t>
        </is>
      </c>
      <c r="F41" s="166" t="inlineStr">
        <is>
          <t>Medium</t>
        </is>
      </c>
      <c r="G41" s="166" t="inlineStr">
        <is>
          <t>New</t>
        </is>
      </c>
      <c r="H41" s="166" t="n"/>
      <c r="I41" s="166" t="n"/>
      <c r="J41" s="166" t="inlineStr">
        <is>
          <t>Pass 4 (mobile) batch 2: fragment UI layer</t>
        </is>
      </c>
      <c r="K41" s="166" t="inlineStr">
        <is>
          <t>Eng-covered (logic) - QA e2e only if critical journey</t>
        </is>
      </c>
      <c r="L41" s="166" t="inlineStr">
        <is>
          <t>Add to MTP only (eng-covered)</t>
        </is>
      </c>
    </row>
    <row r="42">
      <c r="A42" s="166" t="inlineStr">
        <is>
          <t>GAP-SRC-M-30</t>
        </is>
      </c>
      <c r="B42" s="166" t="inlineStr">
        <is>
          <t>PersonalID - Signup</t>
        </is>
      </c>
      <c r="C42" s="166" t="inlineStr">
        <is>
          <t>Phone-number hint autofill: Google phone picker pre-fills country code + number on field focus</t>
        </is>
      </c>
      <c r="D42" s="166" t="inlineStr">
        <is>
          <t>🟡 Automatable - not yet done</t>
        </is>
      </c>
      <c r="E42" s="166" t="inlineStr">
        <is>
          <t>MISSING from MTP. Src: PersonalIdPhoneFragment.setupPhoneHintLauncher / displayPhoneNumber</t>
        </is>
      </c>
      <c r="F42" s="166" t="inlineStr">
        <is>
          <t>Low</t>
        </is>
      </c>
      <c r="G42" s="166" t="inlineStr">
        <is>
          <t>New</t>
        </is>
      </c>
      <c r="H42" s="166" t="n"/>
      <c r="I42" s="166" t="n"/>
      <c r="J42" s="166" t="inlineStr">
        <is>
          <t>Pass 4 (mobile) batch 2: fragment UI layer</t>
        </is>
      </c>
      <c r="K42" s="166" t="inlineStr">
        <is>
          <t>Eng-covered (logic) - QA e2e only if critical journey</t>
        </is>
      </c>
      <c r="L42" s="166" t="inlineStr">
        <is>
          <t>Add to MTP only (eng-covered)</t>
        </is>
      </c>
    </row>
    <row r="43">
      <c r="A43" s="166" t="inlineStr">
        <is>
          <t>GAP-SRC-M-31</t>
        </is>
      </c>
      <c r="B43" s="166" t="inlineStr">
        <is>
          <t>PersonalID - OTP</t>
        </is>
      </c>
      <c r="C43" s="166" t="inlineStr">
        <is>
          <t>Dual OTP provider with fallback: Firebase by default, auto-switches to Twilio (via PersonalID) on first resend or a non-recoverable Firebase error</t>
        </is>
      </c>
      <c r="D43" s="166" t="inlineStr">
        <is>
          <t>🔴 Manual only</t>
        </is>
      </c>
      <c r="E43" s="166" t="inlineStr">
        <is>
          <t>MISSING from MTP (no notion of two OTP providers). Real SMS across providers. Src: PersonalIdPhoneVerificationFragment.setupOtpManager/shouldAutoSwitchToPersonalIdAuth</t>
        </is>
      </c>
      <c r="F43" s="166" t="inlineStr">
        <is>
          <t>High</t>
        </is>
      </c>
      <c r="G43" s="166" t="inlineStr">
        <is>
          <t>New</t>
        </is>
      </c>
      <c r="H43" s="166" t="n"/>
      <c r="I43" s="166" t="n"/>
      <c r="J43" s="166" t="inlineStr">
        <is>
          <t>Pass 4 (mobile) batch 2: fragment UI layer</t>
        </is>
      </c>
      <c r="K43" s="166" t="inlineStr">
        <is>
          <t>QA-owned (real device/external; eng cannot unit-test)</t>
        </is>
      </c>
      <c r="L43" s="166" t="inlineStr">
        <is>
          <t>Add to MTP + Automate (QA-owned)</t>
        </is>
      </c>
    </row>
    <row r="44">
      <c r="A44" s="166" t="inlineStr">
        <is>
          <t>GAP-SRC-M-32</t>
        </is>
      </c>
      <c r="B44" s="166" t="inlineStr">
        <is>
          <t>PersonalID - OTP</t>
        </is>
      </c>
      <c r="C44" s="166" t="inlineStr">
        <is>
          <t>OTP 'too many attempts' / verification-failed error messages (TOO_MANY_REQUESTS, VERIFICATION_FAILED, INVALID_CREDENTIAL)</t>
        </is>
      </c>
      <c r="D44" s="166" t="inlineStr">
        <is>
          <t>🔴 Manual only</t>
        </is>
      </c>
      <c r="E44" s="166" t="inlineStr">
        <is>
          <t>MISSING from MTP (TC_13 covers single wrong OTP only). Src: PersonalIdPhoneVerificationFragment otpCallback.onFailure</t>
        </is>
      </c>
      <c r="F44" s="166" t="inlineStr">
        <is>
          <t>Medium</t>
        </is>
      </c>
      <c r="G44" s="166" t="inlineStr">
        <is>
          <t>New</t>
        </is>
      </c>
      <c r="H44" s="166" t="n"/>
      <c r="I44" s="166" t="n"/>
      <c r="J44" s="166" t="inlineStr">
        <is>
          <t>Pass 4 (mobile) batch 2: fragment UI layer</t>
        </is>
      </c>
      <c r="K44" s="166" t="inlineStr">
        <is>
          <t>QA-owned (real device/external; eng cannot unit-test)</t>
        </is>
      </c>
      <c r="L44" s="166" t="inlineStr">
        <is>
          <t>Add to MTP + Automate (QA-owned)</t>
        </is>
      </c>
    </row>
    <row r="45">
      <c r="A45" s="166" t="inlineStr">
        <is>
          <t>GAP-SRC-M-33</t>
        </is>
      </c>
      <c r="B45" s="166" t="inlineStr">
        <is>
          <t>PersonalID - Security</t>
        </is>
      </c>
      <c r="C45" s="166" t="inlineStr">
        <is>
          <t>Minimum-security requirement (PIN vs BIOMETRIC) from session drives which of fingerprint/PIN options are shown and which is accepted</t>
        </is>
      </c>
      <c r="D45" s="166" t="inlineStr">
        <is>
          <t>🟡 Automatable - not yet done</t>
        </is>
      </c>
      <c r="E45" s="166" t="inlineStr">
        <is>
          <t>MISSING from MTP. Src: PersonalIdBiometricConfigFragment.updateUiBasedOnMinSecurityRequired</t>
        </is>
      </c>
      <c r="F45" s="166" t="inlineStr">
        <is>
          <t>High</t>
        </is>
      </c>
      <c r="G45" s="166" t="inlineStr">
        <is>
          <t>New</t>
        </is>
      </c>
      <c r="H45" s="166" t="n"/>
      <c r="I45" s="166" t="n"/>
      <c r="J45" s="166" t="inlineStr">
        <is>
          <t>Pass 4 (mobile) batch 2: fragment UI layer</t>
        </is>
      </c>
      <c r="K45" s="166" t="inlineStr">
        <is>
          <t>Eng-covered (logic) - QA e2e only if critical journey</t>
        </is>
      </c>
      <c r="L45" s="166" t="inlineStr">
        <is>
          <t>Add to MTP only (eng-covered)</t>
        </is>
      </c>
    </row>
    <row r="46">
      <c r="A46" s="166" t="inlineStr">
        <is>
          <t>GAP-SRC-M-34</t>
        </is>
      </c>
      <c r="B46" s="166" t="inlineStr">
        <is>
          <t>PersonalID - Security</t>
        </is>
      </c>
      <c r="C46" s="166" t="inlineStr">
        <is>
          <t>Biometric/PIN configuration error states: not-available, needs-update, no-hardware (distinct messages + retry vs fail)</t>
        </is>
      </c>
      <c r="D46" s="166" t="inlineStr">
        <is>
          <t>🟡 Automatable - not yet done</t>
        </is>
      </c>
      <c r="E46" s="166" t="inlineStr">
        <is>
          <t>PARTIAL vs TC_35 (no-fingerprint only). Src: PersonalIdBiometricConfigFragment show*Error methods</t>
        </is>
      </c>
      <c r="F46" s="166" t="inlineStr">
        <is>
          <t>Medium</t>
        </is>
      </c>
      <c r="G46" s="166" t="inlineStr">
        <is>
          <t>New</t>
        </is>
      </c>
      <c r="H46" s="166" t="n"/>
      <c r="I46" s="166" t="n"/>
      <c r="J46" s="166" t="inlineStr">
        <is>
          <t>Pass 4 (mobile) batch 2: fragment UI layer</t>
        </is>
      </c>
      <c r="K46" s="166" t="inlineStr">
        <is>
          <t>Eng-covered (logic) - QA e2e only if critical journey</t>
        </is>
      </c>
      <c r="L46" s="166" t="inlineStr">
        <is>
          <t>Add to MTP only (eng-covered)</t>
        </is>
      </c>
    </row>
    <row r="47">
      <c r="A47" s="166" t="inlineStr">
        <is>
          <t>GAP-SRC-M-35</t>
        </is>
      </c>
      <c r="B47" s="166" t="inlineStr">
        <is>
          <t>PersonalID - Security</t>
        </is>
      </c>
      <c r="C47" s="166" t="inlineStr">
        <is>
          <t>Biometric enrollment-failed screen when the user cancels/leaves the device enrollment flow</t>
        </is>
      </c>
      <c r="D47" s="166" t="inlineStr">
        <is>
          <t>🟡 Automatable - not yet done</t>
        </is>
      </c>
      <c r="E47" s="166" t="inlineStr">
        <is>
          <t>MISSING from MTP. Src: PersonalIdBiometricConfigFragment.navigateToBiometricEnrollmentFailed</t>
        </is>
      </c>
      <c r="F47" s="166" t="inlineStr">
        <is>
          <t>Medium</t>
        </is>
      </c>
      <c r="G47" s="166" t="inlineStr">
        <is>
          <t>New</t>
        </is>
      </c>
      <c r="H47" s="166" t="n"/>
      <c r="I47" s="166" t="n"/>
      <c r="J47" s="166" t="inlineStr">
        <is>
          <t>Pass 4 (mobile) batch 2: fragment UI layer</t>
        </is>
      </c>
      <c r="K47" s="166" t="inlineStr">
        <is>
          <t>Eng-covered (logic) - QA e2e only if critical journey</t>
        </is>
      </c>
      <c r="L47" s="166" t="inlineStr">
        <is>
          <t>Add to MTP only (eng-covered)</t>
        </is>
      </c>
    </row>
    <row r="48">
      <c r="A48" s="166" t="inlineStr">
        <is>
          <t>GAP-SRC-M-36</t>
        </is>
      </c>
      <c r="B48" s="166" t="inlineStr">
        <is>
          <t>PersonalID - Signup</t>
        </is>
      </c>
      <c r="C48" s="166" t="inlineStr">
        <is>
          <t>Name field validation: whitespace-only rejected, value trimmed before submit (continue disabled while blank)</t>
        </is>
      </c>
      <c r="D48" s="166" t="inlineStr">
        <is>
          <t>🟡 Automatable - not yet done</t>
        </is>
      </c>
      <c r="E48" s="166" t="inlineStr">
        <is>
          <t>PARTIAL vs TC_17 (entry only). Src: PersonalIdNameFragment.createNameWatcher</t>
        </is>
      </c>
      <c r="F48" s="166" t="inlineStr">
        <is>
          <t>Low</t>
        </is>
      </c>
      <c r="G48" s="166" t="inlineStr">
        <is>
          <t>New</t>
        </is>
      </c>
      <c r="H48" s="166" t="n"/>
      <c r="I48" s="166" t="n"/>
      <c r="J48" s="166" t="inlineStr">
        <is>
          <t>Pass 4 (mobile) batch 2: fragment UI layer</t>
        </is>
      </c>
      <c r="K48" s="166" t="inlineStr">
        <is>
          <t>Eng-covered (logic) - QA e2e only if critical journey</t>
        </is>
      </c>
      <c r="L48" s="166" t="inlineStr">
        <is>
          <t>Add to MTP only (eng-covered)</t>
        </is>
      </c>
    </row>
    <row r="49">
      <c r="A49" s="166" t="inlineStr">
        <is>
          <t>GAP-SRC-M-37</t>
        </is>
      </c>
      <c r="B49" s="166" t="inlineStr">
        <is>
          <t>PersonalID - Recovery</t>
        </is>
      </c>
      <c r="C49" s="166" t="inlineStr">
        <is>
          <t>Backup code auto-submits when the 6th digit is entered (code-complete listener), no explicit continue tap needed</t>
        </is>
      </c>
      <c r="D49" s="166" t="inlineStr">
        <is>
          <t>🟡 Automatable - not yet done</t>
        </is>
      </c>
      <c r="E49" s="166" t="inlineStr">
        <is>
          <t>MISSING from MTP. Src: PersonalIdBackupCodeFragment setCodeCompleteListener</t>
        </is>
      </c>
      <c r="F49" s="166" t="inlineStr">
        <is>
          <t>Low</t>
        </is>
      </c>
      <c r="G49" s="166" t="inlineStr">
        <is>
          <t>New</t>
        </is>
      </c>
      <c r="H49" s="166" t="n"/>
      <c r="I49" s="166" t="n"/>
      <c r="J49" s="166" t="inlineStr">
        <is>
          <t>Pass 4 (mobile) batch 2: fragment UI layer</t>
        </is>
      </c>
      <c r="K49" s="166" t="inlineStr">
        <is>
          <t>Eng-covered (logic) - QA e2e only if critical journey</t>
        </is>
      </c>
      <c r="L49" s="166" t="inlineStr">
        <is>
          <t>Add to MTP only (eng-covered)</t>
        </is>
      </c>
    </row>
    <row r="50">
      <c r="A50" s="166" t="inlineStr">
        <is>
          <t>GAP-MMISC-07</t>
        </is>
      </c>
      <c r="B50" s="166" t="inlineStr">
        <is>
          <t>Cross-cutting</t>
        </is>
      </c>
      <c r="C50" s="166" t="inlineStr">
        <is>
          <t>DISCREPANCY: MTP TC_30 marks the 'This is not me' recovery option as deprecated, but the code still implements it (notMeButton -&gt; handleNotMeButtonPressed). Reconcile MTP vs app.</t>
        </is>
      </c>
      <c r="D50" s="166" t="inlineStr">
        <is>
          <t>🟡 Automatable - not yet done</t>
        </is>
      </c>
      <c r="E50" s="166" t="inlineStr">
        <is>
          <t>MTP-vs-code discrepancy found in pass 4. Src: PersonalIdBackupCodeFragment.handleNotMeButtonPressed</t>
        </is>
      </c>
      <c r="F50" s="166" t="inlineStr">
        <is>
          <t>Medium</t>
        </is>
      </c>
      <c r="G50" s="166" t="inlineStr">
        <is>
          <t>New</t>
        </is>
      </c>
      <c r="H50" s="166" t="n"/>
      <c r="I50" s="166" t="n"/>
      <c r="J50" s="166" t="inlineStr">
        <is>
          <t>Pass 4 (mobile) batch 2: fragment UI layer</t>
        </is>
      </c>
      <c r="K50" s="166" t="inlineStr">
        <is>
          <t>N/A (hygiene/discrepancy/automation note)</t>
        </is>
      </c>
      <c r="L50" s="166" t="inlineStr">
        <is>
          <t>Reconcile (plan/code)</t>
        </is>
      </c>
    </row>
    <row r="51">
      <c r="A51" s="166" t="inlineStr">
        <is>
          <t>GAP-MMISC-08</t>
        </is>
      </c>
      <c r="B51" s="166" t="inlineStr">
        <is>
          <t>Cross-cutting</t>
        </is>
      </c>
      <c r="C51" s="166" t="inlineStr">
        <is>
          <t>Automation enabler: a demo-user (test number) SKIPS the phone-OTP step entirely (biometric config snackbar -&gt; name screen). Explains how the suite automates signup; document so real-OTP path isn't assumed covered.</t>
        </is>
      </c>
      <c r="D51" s="166" t="inlineStr">
        <is>
          <t>🟡 Automatable - not yet done</t>
        </is>
      </c>
      <c r="E51" s="166" t="inlineStr">
        <is>
          <t>Automation/coverage note. Src: PersonalIdBiometricConfigFragment.navigateForward (getDemoUser)</t>
        </is>
      </c>
      <c r="F51" s="166" t="inlineStr">
        <is>
          <t>Medium</t>
        </is>
      </c>
      <c r="G51" s="166" t="inlineStr">
        <is>
          <t>New</t>
        </is>
      </c>
      <c r="H51" s="166" t="n"/>
      <c r="I51" s="166" t="n"/>
      <c r="J51" s="166" t="inlineStr">
        <is>
          <t>Pass 4 (mobile) batch 2: fragment UI layer</t>
        </is>
      </c>
      <c r="K51" s="166" t="inlineStr">
        <is>
          <t>N/A (hygiene/discrepancy/automation note)</t>
        </is>
      </c>
      <c r="L51" s="166" t="inlineStr">
        <is>
          <t>Reconcile (plan/code)</t>
        </is>
      </c>
    </row>
    <row r="52">
      <c r="A52" s="166" t="inlineStr">
        <is>
          <t>GAP-MMISC-09</t>
        </is>
      </c>
      <c r="B52" s="166" t="inlineStr">
        <is>
          <t>Cross-cutting</t>
        </is>
      </c>
      <c r="C52" s="166" t="inlineStr">
        <is>
          <t>Automation enabler: IS_QA_AUTOMATION build variant SKIPS biometric setup (phone success -&gt; name screen directly). Real biometric-config path is not exercised by automation.</t>
        </is>
      </c>
      <c r="D52" s="166" t="inlineStr">
        <is>
          <t>🟡 Automatable - not yet done</t>
        </is>
      </c>
      <c r="E52" s="166" t="inlineStr">
        <is>
          <t>Automation/coverage note. Src: PersonalIdPhoneFragment.onConfigurationSuccess (BuildConfig.IS_QA_AUTOMATION)</t>
        </is>
      </c>
      <c r="F52" s="166" t="inlineStr">
        <is>
          <t>Medium</t>
        </is>
      </c>
      <c r="G52" s="166" t="inlineStr">
        <is>
          <t>New</t>
        </is>
      </c>
      <c r="H52" s="166" t="n"/>
      <c r="I52" s="166" t="n"/>
      <c r="J52" s="166" t="inlineStr">
        <is>
          <t>Pass 4 (mobile) batch 2: fragment UI layer</t>
        </is>
      </c>
      <c r="K52" s="166" t="inlineStr">
        <is>
          <t>N/A (hygiene/discrepancy/automation note)</t>
        </is>
      </c>
      <c r="L52" s="166" t="inlineStr">
        <is>
          <t>Reconcile (plan/code)</t>
        </is>
      </c>
    </row>
    <row r="53">
      <c r="A53" s="166" t="inlineStr">
        <is>
          <t>GAP-SRC-M-38</t>
        </is>
      </c>
      <c r="B53" s="166" t="inlineStr">
        <is>
          <t>Connect - Delivery</t>
        </is>
      </c>
      <c r="C53" s="166" t="inlineStr">
        <is>
          <t>Payment-confirmation tile: shows aggregate unconfirmed amount; 'No' hides it for 7 days then it reappears; only shown when network available</t>
        </is>
      </c>
      <c r="D53" s="166" t="inlineStr">
        <is>
          <t>🟡 Automatable - not yet done</t>
        </is>
      </c>
      <c r="E53" s="166" t="inlineStr">
        <is>
          <t>PARTIAL vs TC_44/45 (which cover the card only). 7-day re-show + aggregate + offline-gating missing. Src: ConnectDeliveryProgressFragment.updatePaymentConfirmationTile</t>
        </is>
      </c>
      <c r="F53" s="166" t="inlineStr">
        <is>
          <t>High</t>
        </is>
      </c>
      <c r="G53" s="166" t="inlineStr">
        <is>
          <t>New</t>
        </is>
      </c>
      <c r="H53" s="166" t="inlineStr"/>
      <c r="I53" s="166" t="inlineStr"/>
      <c r="J53" s="166" t="inlineStr">
        <is>
          <t>Pass 4 (mobile) batch 3: connect delivery/learn/messaging fragments</t>
        </is>
      </c>
      <c r="K53" s="166" t="inlineStr">
        <is>
          <t>Eng-covered (logic) - QA e2e only if critical journey</t>
        </is>
      </c>
      <c r="L53" s="166" t="inlineStr">
        <is>
          <t>Add to MTP only (eng-covered)</t>
        </is>
      </c>
    </row>
    <row r="54">
      <c r="A54" s="166" t="inlineStr">
        <is>
          <t>GAP-SRC-M-39</t>
        </is>
      </c>
      <c r="B54" s="166" t="inlineStr">
        <is>
          <t>Connect - Delivery</t>
        </is>
      </c>
      <c r="C54" s="166" t="inlineStr">
        <is>
          <t>Revoke a confirmed payment: a payment marked received can be reverted via 'revoke transferred' dialog</t>
        </is>
      </c>
      <c r="D54" s="166" t="inlineStr">
        <is>
          <t>🟡 Automatable - not yet done</t>
        </is>
      </c>
      <c r="E54" s="166" t="inlineStr">
        <is>
          <t>MISSING from MTP (TC_44/45 cover confirm only). Src: ConnectResultsSummaryListFragment PaymentViewHolder (llRevertPayment)</t>
        </is>
      </c>
      <c r="F54" s="166" t="inlineStr">
        <is>
          <t>Medium</t>
        </is>
      </c>
      <c r="G54" s="166" t="inlineStr">
        <is>
          <t>New</t>
        </is>
      </c>
      <c r="H54" s="166" t="inlineStr"/>
      <c r="I54" s="166" t="inlineStr"/>
      <c r="J54" s="166" t="inlineStr">
        <is>
          <t>Pass 4 (mobile) batch 3: connect delivery/learn/messaging fragments</t>
        </is>
      </c>
      <c r="K54" s="166" t="inlineStr">
        <is>
          <t>Eng-covered (logic) - QA e2e only if critical journey</t>
        </is>
      </c>
      <c r="L54" s="166" t="inlineStr">
        <is>
          <t>Add to MTP only (eng-covered)</t>
        </is>
      </c>
    </row>
    <row r="55">
      <c r="A55" s="166" t="inlineStr">
        <is>
          <t>GAP-SRC-M-40</t>
        </is>
      </c>
      <c r="B55" s="166" t="inlineStr">
        <is>
          <t>Connect - Delivery</t>
        </is>
      </c>
      <c r="C55" s="166" t="inlineStr">
        <is>
          <t>Delivery progress has Progress + Payment tabs; a notification/deep-link can open directly on the Payment tab</t>
        </is>
      </c>
      <c r="D55" s="166" t="inlineStr">
        <is>
          <t>🟡 Automatable - not yet done</t>
        </is>
      </c>
      <c r="E55" s="166" t="inlineStr">
        <is>
          <t>PARTIAL vs MTP. Tab structure + deep-link-to-payment-tab not asserted. Src: ConnectDeliveryProgressFragment.setupTabViewPager (initialTabPosition)</t>
        </is>
      </c>
      <c r="F55" s="166" t="inlineStr">
        <is>
          <t>Medium</t>
        </is>
      </c>
      <c r="G55" s="166" t="inlineStr">
        <is>
          <t>New</t>
        </is>
      </c>
      <c r="H55" s="166" t="inlineStr"/>
      <c r="I55" s="166" t="inlineStr"/>
      <c r="J55" s="166" t="inlineStr">
        <is>
          <t>Pass 4 (mobile) batch 3: connect delivery/learn/messaging fragments</t>
        </is>
      </c>
      <c r="K55" s="166" t="inlineStr">
        <is>
          <t>Eng-covered (logic) - QA e2e only if critical journey</t>
        </is>
      </c>
      <c r="L55" s="166" t="inlineStr">
        <is>
          <t>Add to MTP only (eng-covered)</t>
        </is>
      </c>
    </row>
    <row r="56">
      <c r="A56" s="166" t="inlineStr">
        <is>
          <t>GAP-SRC-M-41</t>
        </is>
      </c>
      <c r="B56" s="166" t="inlineStr">
        <is>
          <t>Connect - Delivery</t>
        </is>
      </c>
      <c r="C56" s="166" t="inlineStr">
        <is>
          <t>Delivery card message is colour-coded by state: complete (amber warning), relearn-tasks-completed (green), otherwise orange warning</t>
        </is>
      </c>
      <c r="D56" s="166" t="inlineStr">
        <is>
          <t>🟡 Automatable - not yet done</t>
        </is>
      </c>
      <c r="E56" s="166" t="inlineStr">
        <is>
          <t>PARTIAL vs TC_49/50. Colour-state logic not covered. Src: ConnectDeliveryProgressFragment.updateCardMessage</t>
        </is>
      </c>
      <c r="F56" s="166" t="inlineStr">
        <is>
          <t>Low</t>
        </is>
      </c>
      <c r="G56" s="166" t="inlineStr">
        <is>
          <t>New</t>
        </is>
      </c>
      <c r="H56" s="166" t="inlineStr"/>
      <c r="I56" s="166" t="inlineStr"/>
      <c r="J56" s="166" t="inlineStr">
        <is>
          <t>Pass 4 (mobile) batch 3: connect delivery/learn/messaging fragments</t>
        </is>
      </c>
      <c r="K56" s="166" t="inlineStr">
        <is>
          <t>Eng-covered (logic) - QA e2e only if critical journey</t>
        </is>
      </c>
      <c r="L56" s="166" t="inlineStr">
        <is>
          <t>Add to MTP only (eng-covered)</t>
        </is>
      </c>
    </row>
    <row r="57">
      <c r="A57" s="166" t="inlineStr">
        <is>
          <t>GAP-SRC-M-42</t>
        </is>
      </c>
      <c r="B57" s="166" t="inlineStr">
        <is>
          <t>Connect - Learn</t>
        </is>
      </c>
      <c r="C57" s="166" t="inlineStr">
        <is>
          <t>Certificate card shows subject, worker name and completion date once learning is complete AND assessment passed</t>
        </is>
      </c>
      <c r="D57" s="166" t="inlineStr">
        <is>
          <t>🟡 Automatable - not yet done</t>
        </is>
      </c>
      <c r="E57" s="166" t="inlineStr">
        <is>
          <t>PARTIAL vs TC_27. Certificate detail fields not covered. Src: ConnectLearningProgressFragment.updateCertificateView</t>
        </is>
      </c>
      <c r="F57" s="166" t="inlineStr">
        <is>
          <t>Medium</t>
        </is>
      </c>
      <c r="G57" s="166" t="inlineStr">
        <is>
          <t>New</t>
        </is>
      </c>
      <c r="H57" s="166" t="inlineStr"/>
      <c r="I57" s="166" t="inlineStr"/>
      <c r="J57" s="166" t="inlineStr">
        <is>
          <t>Pass 4 (mobile) batch 3: connect delivery/learn/messaging fragments</t>
        </is>
      </c>
      <c r="K57" s="166" t="inlineStr">
        <is>
          <t>Eng-covered (logic) - QA e2e only if critical journey</t>
        </is>
      </c>
      <c r="L57" s="166" t="inlineStr">
        <is>
          <t>Add to MTP only (eng-covered)</t>
        </is>
      </c>
    </row>
    <row r="58">
      <c r="A58" s="166" t="inlineStr">
        <is>
          <t>GAP-SRC-M-43</t>
        </is>
      </c>
      <c r="B58" s="166" t="inlineStr">
        <is>
          <t>Connect - Learn</t>
        </is>
      </c>
      <c r="C58" s="166" t="inlineStr">
        <is>
          <t>Learn status messaging: passed/failed shows score vs passing score; 'needs assessment'; 'not started'; in-progress 'X of Y modules'</t>
        </is>
      </c>
      <c r="D58" s="166" t="inlineStr">
        <is>
          <t>🟡 Automatable - not yet done</t>
        </is>
      </c>
      <c r="E58" s="166" t="inlineStr">
        <is>
          <t>PARTIAL vs TC_24-27. Distinct status strings/score display not covered. Src: ConnectLearningProgressFragment.getLearningStatus</t>
        </is>
      </c>
      <c r="F58" s="166" t="inlineStr">
        <is>
          <t>Medium</t>
        </is>
      </c>
      <c r="G58" s="166" t="inlineStr">
        <is>
          <t>New</t>
        </is>
      </c>
      <c r="H58" s="166" t="inlineStr"/>
      <c r="I58" s="166" t="inlineStr"/>
      <c r="J58" s="166" t="inlineStr">
        <is>
          <t>Pass 4 (mobile) batch 3: connect delivery/learn/messaging fragments</t>
        </is>
      </c>
      <c r="K58" s="166" t="inlineStr">
        <is>
          <t>Eng-covered (logic) - QA e2e only if critical journey</t>
        </is>
      </c>
      <c r="L58" s="166" t="inlineStr">
        <is>
          <t>Add to MTP only (eng-covered)</t>
        </is>
      </c>
    </row>
    <row r="59">
      <c r="A59" s="166" t="inlineStr">
        <is>
          <t>GAP-SRC-M-44</t>
        </is>
      </c>
      <c r="B59" s="166" t="inlineStr">
        <is>
          <t>Connect - Learn</t>
        </is>
      </c>
      <c r="C59" s="166" t="inlineStr">
        <is>
          <t>Learn button 4-state logic: Continue learning / Go to assessment / Download / View details, chosen by progress + app-installed state</t>
        </is>
      </c>
      <c r="D59" s="166" t="inlineStr">
        <is>
          <t>🟡 Automatable - not yet done</t>
        </is>
      </c>
      <c r="E59" s="166" t="inlineStr">
        <is>
          <t>MISSING from MTP (only download/continue implied). Src: ConnectLearningProgressFragment.updateButtons</t>
        </is>
      </c>
      <c r="F59" s="166" t="inlineStr">
        <is>
          <t>Medium</t>
        </is>
      </c>
      <c r="G59" s="166" t="inlineStr">
        <is>
          <t>New</t>
        </is>
      </c>
      <c r="H59" s="166" t="inlineStr"/>
      <c r="I59" s="166" t="inlineStr"/>
      <c r="J59" s="166" t="inlineStr">
        <is>
          <t>Pass 4 (mobile) batch 3: connect delivery/learn/messaging fragments</t>
        </is>
      </c>
      <c r="K59" s="166" t="inlineStr">
        <is>
          <t>Eng-covered (logic) - QA e2e only if critical journey</t>
        </is>
      </c>
      <c r="L59" s="166" t="inlineStr">
        <is>
          <t>Add to MTP only (eng-covered)</t>
        </is>
      </c>
    </row>
    <row r="60">
      <c r="A60" s="166" t="inlineStr">
        <is>
          <t>GAP-SRC-M-45</t>
        </is>
      </c>
      <c r="B60" s="166" t="inlineStr">
        <is>
          <t>Connect - Learn</t>
        </is>
      </c>
      <c r="C60" s="166" t="inlineStr">
        <is>
          <t>'Learning ended' message shown when the opportunity has finished (project end date passed)</t>
        </is>
      </c>
      <c r="D60" s="166" t="inlineStr">
        <is>
          <t>🟡 Automatable - not yet done</t>
        </is>
      </c>
      <c r="E60" s="166" t="inlineStr">
        <is>
          <t>MISSING from MTP. Src: ConnectLearningProgressFragment.updateLearningStatus (job.isFinished)</t>
        </is>
      </c>
      <c r="F60" s="166" t="inlineStr">
        <is>
          <t>Low</t>
        </is>
      </c>
      <c r="G60" s="166" t="inlineStr">
        <is>
          <t>New</t>
        </is>
      </c>
      <c r="H60" s="166" t="inlineStr"/>
      <c r="I60" s="166" t="inlineStr"/>
      <c r="J60" s="166" t="inlineStr">
        <is>
          <t>Pass 4 (mobile) batch 3: connect delivery/learn/messaging fragments</t>
        </is>
      </c>
      <c r="K60" s="166" t="inlineStr">
        <is>
          <t>Eng-covered (logic) - QA e2e only if critical journey</t>
        </is>
      </c>
      <c r="L60" s="166" t="inlineStr">
        <is>
          <t>Add to MTP only (eng-covered)</t>
        </is>
      </c>
    </row>
    <row r="61">
      <c r="A61" s="166" t="inlineStr">
        <is>
          <t>GAP-SRC-M-46</t>
        </is>
      </c>
      <c r="B61" s="166" t="inlineStr">
        <is>
          <t>Connect - Download</t>
        </is>
      </c>
      <c r="C61" s="166" t="inlineStr">
        <is>
          <t>App download failure handling: missing/invalid resource, incompatible-reqs -&gt; APK update prompt, target mismatch, duplicate-app -&gt; re-validate, unknown error; back disabled during install; post-download verification step</t>
        </is>
      </c>
      <c r="D61" s="166" t="inlineStr">
        <is>
          <t>🟡 Automatable - not yet done</t>
        </is>
      </c>
      <c r="E61" s="166" t="inlineStr">
        <is>
          <t>PARTIAL vs TC_22 (basic download + back-disabled only). Failure/verification paths missing. Src: ConnectDownloadingFragment (Resource*Listener callbacks)</t>
        </is>
      </c>
      <c r="F61" s="166" t="inlineStr">
        <is>
          <t>High</t>
        </is>
      </c>
      <c r="G61" s="166" t="inlineStr">
        <is>
          <t>New</t>
        </is>
      </c>
      <c r="H61" s="166" t="inlineStr"/>
      <c r="I61" s="166" t="inlineStr"/>
      <c r="J61" s="166" t="inlineStr">
        <is>
          <t>Pass 4 (mobile) batch 3: connect delivery/learn/messaging fragments</t>
        </is>
      </c>
      <c r="K61" s="166" t="inlineStr">
        <is>
          <t>Eng-covered (logic) - QA e2e only if critical journey</t>
        </is>
      </c>
      <c r="L61" s="166" t="inlineStr">
        <is>
          <t>Add to MTP only (eng-covered)</t>
        </is>
      </c>
    </row>
    <row r="62">
      <c r="A62" s="166" t="inlineStr">
        <is>
          <t>GAP-SRC-M-47</t>
        </is>
      </c>
      <c r="B62" s="166" t="inlineStr">
        <is>
          <t>Connect - Opportunity</t>
        </is>
      </c>
      <c r="C62" s="166" t="inlineStr">
        <is>
          <t>Job intro details: multi-payment-unit breakdown vs single-payment text, 'no learning required' when no modules, days-remaining, max-daily-visits</t>
        </is>
      </c>
      <c r="D62" s="166" t="inlineStr">
        <is>
          <t>🟡 Automatable - not yet done</t>
        </is>
      </c>
      <c r="E62" s="166" t="inlineStr">
        <is>
          <t>PARTIAL vs TC_20/28. Multi-payment/empty-module/limits detail not covered. Src: ConnectJobIntroFragment.buildPaymentText/populate*</t>
        </is>
      </c>
      <c r="F62" s="166" t="inlineStr">
        <is>
          <t>Medium</t>
        </is>
      </c>
      <c r="G62" s="166" t="inlineStr">
        <is>
          <t>New</t>
        </is>
      </c>
      <c r="H62" s="166" t="inlineStr"/>
      <c r="I62" s="166" t="inlineStr"/>
      <c r="J62" s="166" t="inlineStr">
        <is>
          <t>Pass 4 (mobile) batch 3: connect delivery/learn/messaging fragments</t>
        </is>
      </c>
      <c r="K62" s="166" t="inlineStr">
        <is>
          <t>Eng-covered (logic) - QA e2e only if critical journey</t>
        </is>
      </c>
      <c r="L62" s="166" t="inlineStr">
        <is>
          <t>Add to MTP only (eng-covered)</t>
        </is>
      </c>
    </row>
    <row r="63">
      <c r="A63" s="166" t="inlineStr">
        <is>
          <t>GAP-SRC-M-48</t>
        </is>
      </c>
      <c r="B63" s="166" t="inlineStr">
        <is>
          <t>Connect - Messaging</t>
        </is>
      </c>
      <c r="C63" s="166" t="inlineStr">
        <is>
          <t>Message input is disabled with a 'not subscribed' placeholder when the channel is unsubscribed; send icon appears only when text is entered AND the channel is subscribed</t>
        </is>
      </c>
      <c r="D63" s="166" t="inlineStr">
        <is>
          <t>🟡 Automatable - not yet done</t>
        </is>
      </c>
      <c r="E63" s="166" t="inlineStr">
        <is>
          <t>MISSING from MTP. Src: ConnectMessageFragment.setChannelUnsubscribedState / createTextWatcher</t>
        </is>
      </c>
      <c r="F63" s="166" t="inlineStr">
        <is>
          <t>Medium</t>
        </is>
      </c>
      <c r="G63" s="166" t="inlineStr">
        <is>
          <t>New</t>
        </is>
      </c>
      <c r="H63" s="166" t="inlineStr"/>
      <c r="I63" s="166" t="inlineStr"/>
      <c r="J63" s="166" t="inlineStr">
        <is>
          <t>Pass 4 (mobile) batch 3: connect delivery/learn/messaging fragments</t>
        </is>
      </c>
      <c r="K63" s="166" t="inlineStr">
        <is>
          <t>Eng-covered (logic) - QA e2e only if critical journey</t>
        </is>
      </c>
      <c r="L63" s="166" t="inlineStr">
        <is>
          <t>Add to MTP only (eng-covered)</t>
        </is>
      </c>
    </row>
    <row r="64">
      <c r="A64" s="166" t="inlineStr">
        <is>
          <t>GAP-SRC-M-49</t>
        </is>
      </c>
      <c r="B64" s="166" t="inlineStr">
        <is>
          <t>Connect - Messaging</t>
        </is>
      </c>
      <c r="C64" s="166" t="inlineStr">
        <is>
          <t>In-chat message polling every 30s while the chat screen is open (supplements push delivery)</t>
        </is>
      </c>
      <c r="D64" s="166" t="inlineStr">
        <is>
          <t>🟡 Automatable - not yet done</t>
        </is>
      </c>
      <c r="E64" s="166" t="inlineStr">
        <is>
          <t>MISSING from MTP. Src: ConnectMessageFragment apiCallRunnable (INTERVAL=30000)</t>
        </is>
      </c>
      <c r="F64" s="166" t="inlineStr">
        <is>
          <t>Low</t>
        </is>
      </c>
      <c r="G64" s="166" t="inlineStr">
        <is>
          <t>New</t>
        </is>
      </c>
      <c r="H64" s="166" t="inlineStr"/>
      <c r="I64" s="166" t="inlineStr"/>
      <c r="J64" s="166" t="inlineStr">
        <is>
          <t>Pass 4 (mobile) batch 3: connect delivery/learn/messaging fragments</t>
        </is>
      </c>
      <c r="K64" s="166" t="inlineStr">
        <is>
          <t>Eng-covered (logic) - QA e2e only if critical journey</t>
        </is>
      </c>
      <c r="L64" s="166" t="inlineStr">
        <is>
          <t>Add to MTP only (eng-covered)</t>
        </is>
      </c>
    </row>
    <row r="65">
      <c r="A65" s="166" t="inlineStr">
        <is>
          <t>GAP-SRC-M-50</t>
        </is>
      </c>
      <c r="B65" s="166" t="inlineStr">
        <is>
          <t>Connect - Messaging</t>
        </is>
      </c>
      <c r="C65" s="166" t="inlineStr">
        <is>
          <t>Optimistic send: outgoing message shown immediately as unconfirmed, marked read on server ack; send-failure toast; empty-channel-list 'no channels' state</t>
        </is>
      </c>
      <c r="D65" s="166" t="inlineStr">
        <is>
          <t>🟡 Automatable - not yet done</t>
        </is>
      </c>
      <c r="E65" s="166" t="inlineStr">
        <is>
          <t>MISSING from MTP. Src: ConnectMessageFragment.sendMessage / ConnectMessageChannelListFragment.refreshUi</t>
        </is>
      </c>
      <c r="F65" s="166" t="inlineStr">
        <is>
          <t>Medium</t>
        </is>
      </c>
      <c r="G65" s="166" t="inlineStr">
        <is>
          <t>New</t>
        </is>
      </c>
      <c r="H65" s="166" t="inlineStr"/>
      <c r="I65" s="166" t="inlineStr"/>
      <c r="J65" s="166" t="inlineStr">
        <is>
          <t>Pass 4 (mobile) batch 3: connect delivery/learn/messaging fragments</t>
        </is>
      </c>
      <c r="K65" s="166" t="inlineStr">
        <is>
          <t>Eng-covered (logic) - QA e2e only if critical journey</t>
        </is>
      </c>
      <c r="L65" s="166" t="inlineStr">
        <is>
          <t>Add to MTP only (eng-covered)</t>
        </is>
      </c>
    </row>
    <row r="66">
      <c r="A66" s="166" t="inlineStr">
        <is>
          <t>GAP-SRC-M-51</t>
        </is>
      </c>
      <c r="B66" s="166" t="inlineStr">
        <is>
          <t>Connect - Notifications</t>
        </is>
      </c>
      <c r="C66" s="166" t="inlineStr">
        <is>
          <t>Notification bell is feature-flag gated: it only appears when the NOTIFICATIONS feature flag is enabled</t>
        </is>
      </c>
      <c r="D66" s="166" t="inlineStr">
        <is>
          <t>🟡 Automatable - not yet done</t>
        </is>
      </c>
      <c r="E66" s="166" t="inlineStr">
        <is>
          <t>MISSING from MTP (Notifications tab assumes always-present). Src: ConnectActivity.onCreateOptionsMenu (PersonalIdFeatureFlagChecker NOTIFICATIONS)</t>
        </is>
      </c>
      <c r="F66" s="166" t="inlineStr">
        <is>
          <t>Medium</t>
        </is>
      </c>
      <c r="G66" s="166" t="inlineStr">
        <is>
          <t>New</t>
        </is>
      </c>
      <c r="H66" s="166" t="inlineStr"/>
      <c r="I66" s="166" t="inlineStr"/>
      <c r="J66" s="166" t="inlineStr">
        <is>
          <t>Pass 4 (mobile) batch 4: activities/connect layer</t>
        </is>
      </c>
      <c r="K66" s="166" t="inlineStr">
        <is>
          <t>Eng-covered (logic) - QA e2e only if critical journey</t>
        </is>
      </c>
      <c r="L66" s="166" t="inlineStr">
        <is>
          <t>Add to MTP only (eng-covered)</t>
        </is>
      </c>
    </row>
    <row r="67">
      <c r="A67" s="166" t="inlineStr">
        <is>
          <t>GAP-SRC-M-52</t>
        </is>
      </c>
      <c r="B67" s="166" t="inlineStr">
        <is>
          <t>Connect - Notifications</t>
        </is>
      </c>
      <c r="C67" s="166" t="inlineStr">
        <is>
          <t>Logged-out deep-link guard: tapping a Connect/messaging notification while not signed into PersonalID shows an error toast and redirects to PersonalID signup</t>
        </is>
      </c>
      <c r="D67" s="166" t="inlineStr">
        <is>
          <t>🟡 Automatable - not yet done</t>
        </is>
      </c>
      <c r="E67" s="166" t="inlineStr">
        <is>
          <t>MISSING from MTP. Src: ConnectActivity/ConnectMessagingActivity onCreate (isloggedIn false branch)</t>
        </is>
      </c>
      <c r="F67" s="166" t="inlineStr">
        <is>
          <t>Medium</t>
        </is>
      </c>
      <c r="G67" s="166" t="inlineStr">
        <is>
          <t>New</t>
        </is>
      </c>
      <c r="H67" s="166" t="inlineStr"/>
      <c r="I67" s="166" t="inlineStr"/>
      <c r="J67" s="166" t="inlineStr">
        <is>
          <t>Pass 4 (mobile) batch 4: activities/connect layer</t>
        </is>
      </c>
      <c r="K67" s="166" t="inlineStr">
        <is>
          <t>Eng-covered (logic) - QA e2e only if critical journey</t>
        </is>
      </c>
      <c r="L67" s="166" t="inlineStr">
        <is>
          <t>Add to MTP only (eng-covered)</t>
        </is>
      </c>
    </row>
    <row r="68">
      <c r="A68" s="166" t="inlineStr">
        <is>
          <t>GAP-SRC-M-53</t>
        </is>
      </c>
      <c r="B68" s="166" t="inlineStr">
        <is>
          <t>Connect - Messaging</t>
        </is>
      </c>
      <c r="C68" s="166" t="inlineStr">
        <is>
          <t>Message-notification deep-link resolution: channel missing from local DB -&gt; network fetch; still missing -&gt; 'wrong channel' error; unconsented -&gt; channel list for consent; missing encryption key -&gt; fetch key first</t>
        </is>
      </c>
      <c r="D68" s="166" t="inlineStr">
        <is>
          <t>🟡 Automatable - not yet done</t>
        </is>
      </c>
      <c r="E68" s="166" t="inlineStr">
        <is>
          <t>MISSING from MTP. Src: ConnectMessagingActivity.handleChannelForValidity/handleNoChannel/checkForChannelEncryptionKey</t>
        </is>
      </c>
      <c r="F68" s="166" t="inlineStr">
        <is>
          <t>High</t>
        </is>
      </c>
      <c r="G68" s="166" t="inlineStr">
        <is>
          <t>New</t>
        </is>
      </c>
      <c r="H68" s="166" t="inlineStr"/>
      <c r="I68" s="166" t="inlineStr"/>
      <c r="J68" s="166" t="inlineStr">
        <is>
          <t>Pass 4 (mobile) batch 4: activities/connect layer</t>
        </is>
      </c>
      <c r="K68" s="166" t="inlineStr">
        <is>
          <t>Eng-covered (logic) - QA e2e only if critical journey</t>
        </is>
      </c>
      <c r="L68" s="166" t="inlineStr">
        <is>
          <t>Add to MTP only (eng-covered)</t>
        </is>
      </c>
    </row>
    <row r="69">
      <c r="A69" s="166" t="inlineStr">
        <is>
          <t>GAP-SRC-M-54</t>
        </is>
      </c>
      <c r="B69" s="166" t="inlineStr">
        <is>
          <t>Connect - Worker History</t>
        </is>
      </c>
      <c r="C69" s="166" t="inlineStr">
        <is>
          <t>Work History has Earned + Pending tabs: Pending (installed-app credentials not yet earned) is feature-flag gated (WORK_HISTORY_PENDING_TAB); earned sorted by issued-date desc; tab bar hidden when only one page</t>
        </is>
      </c>
      <c r="D69" s="166" t="inlineStr">
        <is>
          <t>🟡 Automatable - not yet done</t>
        </is>
      </c>
      <c r="E69" s="166" t="inlineStr">
        <is>
          <t>PARTIAL vs Worker_History tab (earned badges only). Pending tab / flag / sorting missing. Src: PersonalIdWorkHistoryActivity + PersonalIdWorkHistoryViewModel</t>
        </is>
      </c>
      <c r="F69" s="166" t="inlineStr">
        <is>
          <t>Medium</t>
        </is>
      </c>
      <c r="G69" s="166" t="inlineStr">
        <is>
          <t>New</t>
        </is>
      </c>
      <c r="H69" s="166" t="inlineStr"/>
      <c r="I69" s="166" t="inlineStr"/>
      <c r="J69" s="166" t="inlineStr">
        <is>
          <t>Pass 4 (mobile) batch 4: activities/connect layer</t>
        </is>
      </c>
      <c r="K69" s="166" t="inlineStr">
        <is>
          <t>Eng-covered (logic) - QA e2e only if critical journey</t>
        </is>
      </c>
      <c r="L69" s="166" t="inlineStr">
        <is>
          <t>Add to MTP only (eng-covered)</t>
        </is>
      </c>
    </row>
    <row r="70">
      <c r="A70" s="166" t="inlineStr">
        <is>
          <t>GAP-SRC-M-55</t>
        </is>
      </c>
      <c r="B70" s="166" t="inlineStr">
        <is>
          <t>PersonalID - Security</t>
        </is>
      </c>
      <c r="C70" s="166" t="inlineStr">
        <is>
          <t>App-lock re-unlock on re-entry: returning to Connect or opening from a message notification requires a PersonalID unlock (biometric/PIN) per unlock policy (e.g. session-with-time-threshold)</t>
        </is>
      </c>
      <c r="D70" s="166" t="inlineStr">
        <is>
          <t>🟡 Automatable - not yet done</t>
        </is>
      </c>
      <c r="E70" s="166" t="inlineStr">
        <is>
          <t>MISSING from MTP. Src: ConnectMessagingActivity (PersonalIdUnlocker.unlock) / connect_unlock_fragment</t>
        </is>
      </c>
      <c r="F70" s="166" t="inlineStr">
        <is>
          <t>Medium</t>
        </is>
      </c>
      <c r="G70" s="166" t="inlineStr">
        <is>
          <t>New</t>
        </is>
      </c>
      <c r="H70" s="166" t="inlineStr"/>
      <c r="I70" s="166" t="inlineStr"/>
      <c r="J70" s="166" t="inlineStr">
        <is>
          <t>Pass 4 (mobile) batch 4: activities/connect layer</t>
        </is>
      </c>
      <c r="K70" s="166" t="inlineStr">
        <is>
          <t>Eng-covered (logic) - QA e2e only if critical journey</t>
        </is>
      </c>
      <c r="L70" s="166" t="inlineStr">
        <is>
          <t>Add to MTP only (eng-covered)</t>
        </is>
      </c>
    </row>
    <row r="71">
      <c r="A71" s="166" t="inlineStr">
        <is>
          <t>GAP-FE-M-01</t>
        </is>
      </c>
      <c r="B71" s="166" t="inlineStr">
        <is>
          <t>Connect - Deep Links</t>
        </is>
      </c>
      <c r="C71" s="166" t="inlineStr">
        <is>
          <t>SMS invite deep link: app handles https://&lt;connect_host&gt;/users/invite_redirect/&lt;opp_uuid&gt; VIEW intents and routes to that opportunity; strict scheme/host/path validation; silently ignored (with analytics) if not signed in</t>
        </is>
      </c>
      <c r="D71" s="166" t="inlineStr">
        <is>
          <t>🟡 Automatable - not yet done</t>
        </is>
      </c>
      <c r="E71" s="166" t="inlineStr">
        <is>
          <t>PARTIAL vs TC_18/19 (web-redirect side only). App-side URI handling + validation + logged-out ignore missing. Src: connect/utils/DeepLinkHelper.kt</t>
        </is>
      </c>
      <c r="F71" s="166" t="inlineStr">
        <is>
          <t>High</t>
        </is>
      </c>
      <c r="G71" s="166" t="inlineStr">
        <is>
          <t>New</t>
        </is>
      </c>
      <c r="H71" s="166" t="inlineStr"/>
      <c r="I71" s="166" t="inlineStr"/>
      <c r="J71" s="166" t="inlineStr">
        <is>
          <t>Pass 5 (mobile): nav/feature-flags/manifest/deep-links/interceptors</t>
        </is>
      </c>
      <c r="K71" s="166" t="inlineStr">
        <is>
          <t>Eng-covered (logic) - QA e2e only if critical journey</t>
        </is>
      </c>
      <c r="L71" s="166" t="inlineStr">
        <is>
          <t>Add to MTP only (eng-covered)</t>
        </is>
      </c>
    </row>
    <row r="72">
      <c r="A72" s="166" t="inlineStr">
        <is>
          <t>GAP-FE-M-02</t>
        </is>
      </c>
      <c r="B72" s="166" t="inlineStr">
        <is>
          <t>Connect - Feature Flags</t>
        </is>
      </c>
      <c r="C72" s="166" t="inlineStr">
        <is>
          <t>Feature-flag matrix untested: client flags work_history (on), work_history_pending_tab (OFF), notifications (on), manage_profile (OFF) + server toggle email_otp_verification gate whole features; MTP has no flag-state coverage - behaviours should be tested per state / current defaults documented</t>
        </is>
      </c>
      <c r="D72" s="166" t="inlineStr">
        <is>
          <t>🟡 Automatable - not yet done</t>
        </is>
      </c>
      <c r="E72" s="166" t="inlineStr">
        <is>
          <t>MISSING from MTP. Src: PersonalIdFeatureFlagChecker.kt, ReleaseToggleHelper.kt</t>
        </is>
      </c>
      <c r="F72" s="166" t="inlineStr">
        <is>
          <t>High</t>
        </is>
      </c>
      <c r="G72" s="166" t="inlineStr">
        <is>
          <t>New</t>
        </is>
      </c>
      <c r="H72" s="166" t="inlineStr"/>
      <c r="I72" s="166" t="inlineStr"/>
      <c r="J72" s="166" t="inlineStr">
        <is>
          <t>Pass 5 (mobile): nav/feature-flags/manifest/deep-links/interceptors</t>
        </is>
      </c>
      <c r="K72" s="166" t="inlineStr">
        <is>
          <t>Eng-covered (logic) - QA e2e only if critical journey</t>
        </is>
      </c>
      <c r="L72" s="166" t="inlineStr">
        <is>
          <t>Add to MTP only (eng-covered)</t>
        </is>
      </c>
    </row>
    <row r="73">
      <c r="A73" s="166" t="inlineStr">
        <is>
          <t>GAP-FE-M-03</t>
        </is>
      </c>
      <c r="B73" s="166" t="inlineStr">
        <is>
          <t>Connect - Feature Flags</t>
        </is>
      </c>
      <c r="C73" s="166" t="inlineStr">
        <is>
          <t>manage_profile flag is currently OFF -&gt; profile management/editing (see GAP-SRC-M-12) is NOT live in the app today; treat as not-yet-shipped (descope/park until the flag is enabled)</t>
        </is>
      </c>
      <c r="D73" s="166" t="inlineStr">
        <is>
          <t>🟡 Automatable - not yet done</t>
        </is>
      </c>
      <c r="E73" s="166" t="inlineStr">
        <is>
          <t>Descope candidate - feature gated off. Src: PersonalIdFeatureFlagChecker MANAGE_PROFILE=false</t>
        </is>
      </c>
      <c r="F73" s="166" t="inlineStr">
        <is>
          <t>Medium</t>
        </is>
      </c>
      <c r="G73" s="166" t="inlineStr">
        <is>
          <t>New</t>
        </is>
      </c>
      <c r="H73" s="166" t="inlineStr"/>
      <c r="I73" s="166" t="inlineStr"/>
      <c r="J73" s="166" t="inlineStr">
        <is>
          <t>Pass 5 (mobile): nav/feature-flags/manifest/deep-links/interceptors</t>
        </is>
      </c>
      <c r="K73" s="166" t="inlineStr">
        <is>
          <t>Eng-covered (logic) - QA e2e only if critical journey</t>
        </is>
      </c>
      <c r="L73" s="166" t="inlineStr">
        <is>
          <t>Add to MTP only (eng-covered)</t>
        </is>
      </c>
    </row>
    <row r="74">
      <c r="A74" s="166" t="inlineStr">
        <is>
          <t>GAP-FE-M-04</t>
        </is>
      </c>
      <c r="B74" s="166" t="inlineStr">
        <is>
          <t>Connect - Reliability</t>
        </is>
      </c>
      <c r="C74" s="166" t="inlineStr">
        <is>
          <t>Connect data-load failure UX: opportunity/learn/delivery fetches surface network-error, 30s-timeout and JSON-parse-error states; no offline/error-path case in the MTP for Connect data loads</t>
        </is>
      </c>
      <c r="D74" s="166" t="inlineStr">
        <is>
          <t>🟡 Automatable - not yet done</t>
        </is>
      </c>
      <c r="E74" s="166" t="inlineStr">
        <is>
          <t>MISSING from MTP. Src: ConnectNetworkClient.executeApiCall / BaseApiClient (30s timeouts)</t>
        </is>
      </c>
      <c r="F74" s="166" t="inlineStr">
        <is>
          <t>Medium</t>
        </is>
      </c>
      <c r="G74" s="166" t="inlineStr">
        <is>
          <t>New</t>
        </is>
      </c>
      <c r="H74" s="166" t="inlineStr"/>
      <c r="I74" s="166" t="inlineStr"/>
      <c r="J74" s="166" t="inlineStr">
        <is>
          <t>Pass 5 (mobile): nav/feature-flags/manifest/deep-links/interceptors</t>
        </is>
      </c>
      <c r="K74" s="166" t="inlineStr">
        <is>
          <t>Eng-covered (logic) - QA e2e only if critical journey</t>
        </is>
      </c>
      <c r="L74" s="166" t="inlineStr">
        <is>
          <t>Add to MTP only (eng-covered)</t>
        </is>
      </c>
    </row>
    <row r="75">
      <c r="A75" s="166" t="inlineStr">
        <is>
          <t>GAP-FE-M-05</t>
        </is>
      </c>
      <c r="B75" s="166" t="inlineStr">
        <is>
          <t>Connect - Notifications</t>
        </is>
      </c>
      <c r="C75" s="166" t="inlineStr">
        <is>
          <t>POST_NOTIFICATIONS runtime permission prompt (Android 13+) is required to receive Connect push notifications</t>
        </is>
      </c>
      <c r="D75" s="166" t="inlineStr">
        <is>
          <t>🟡 Automatable - not yet done</t>
        </is>
      </c>
      <c r="E75" s="166" t="inlineStr">
        <is>
          <t>MISSING from MTP. Src: AndroidManifest POST_NOTIFICATIONS</t>
        </is>
      </c>
      <c r="F75" s="166" t="inlineStr">
        <is>
          <t>Medium</t>
        </is>
      </c>
      <c r="G75" s="166" t="inlineStr">
        <is>
          <t>New</t>
        </is>
      </c>
      <c r="H75" s="166" t="inlineStr"/>
      <c r="I75" s="166" t="inlineStr"/>
      <c r="J75" s="166" t="inlineStr">
        <is>
          <t>Pass 5 (mobile): nav/feature-flags/manifest/deep-links/interceptors</t>
        </is>
      </c>
      <c r="K75" s="166" t="inlineStr">
        <is>
          <t>Eng-covered (logic) - QA e2e only if critical journey</t>
        </is>
      </c>
      <c r="L75" s="166" t="inlineStr">
        <is>
          <t>Add to MTP only (eng-covered)</t>
        </is>
      </c>
    </row>
    <row r="76">
      <c r="A76" s="166" t="inlineStr">
        <is>
          <t>GAP-FE-M-06</t>
        </is>
      </c>
      <c r="B76" s="166" t="inlineStr">
        <is>
          <t>Connect - Reliability</t>
        </is>
      </c>
      <c r="C76" s="166" t="inlineStr">
        <is>
          <t>API version-header contract: client sends 'Accept: application/json;version=&lt;n&gt;' on Connect/PersonalID calls (server version negotiation)</t>
        </is>
      </c>
      <c r="D76" s="166" t="inlineStr">
        <is>
          <t>🟡 Automatable - not yet done</t>
        </is>
      </c>
      <c r="E76" s="166" t="inlineStr">
        <is>
          <t>MISSING from MTP (infra). Src: BaseApiClient interceptor / ConnectNetworkHelper.addVersionHeader</t>
        </is>
      </c>
      <c r="F76" s="166" t="inlineStr">
        <is>
          <t>Low</t>
        </is>
      </c>
      <c r="G76" s="166" t="inlineStr">
        <is>
          <t>New</t>
        </is>
      </c>
      <c r="H76" s="166" t="inlineStr"/>
      <c r="I76" s="166" t="inlineStr"/>
      <c r="J76" s="166" t="inlineStr">
        <is>
          <t>Pass 5 (mobile): nav/feature-flags/manifest/deep-links/interceptors</t>
        </is>
      </c>
      <c r="K76" s="166" t="inlineStr">
        <is>
          <t>Eng-covered (logic) - QA e2e only if critical journey</t>
        </is>
      </c>
      <c r="L76" s="166" t="inlineStr">
        <is>
          <t>Add to MTP only (eng-covered)</t>
        </is>
      </c>
    </row>
    <row r="77">
      <c r="A77" s="166" t="inlineStr">
        <is>
          <t>GAP-BE-M-01</t>
        </is>
      </c>
      <c r="B77" s="166" t="inlineStr">
        <is>
          <t>PersonalID - Recovery</t>
        </is>
      </c>
      <c r="C77" s="166" t="inlineStr">
        <is>
          <t>Multi-step account recovery state machine: primary-phone -&gt; secondary-phone -&gt; reset-password steps (RecoveryStatus). MTP covers only backup-code recovery</t>
        </is>
      </c>
      <c r="D77" s="166" t="inlineStr">
        <is>
          <t>🟡 Automatable - not yet done</t>
        </is>
      </c>
      <c r="E77" s="166" t="inlineStr">
        <is>
          <t>MISSING from MTP (TC_29-32 = backup code only). Src: users/urls.py recover/* + RecoveryStatus model</t>
        </is>
      </c>
      <c r="F77" s="166" t="inlineStr">
        <is>
          <t>High</t>
        </is>
      </c>
      <c r="G77" s="166" t="inlineStr">
        <is>
          <t>New</t>
        </is>
      </c>
      <c r="H77" s="166" t="inlineStr"/>
      <c r="I77" s="166" t="inlineStr"/>
      <c r="J77" s="166" t="inlineStr">
        <is>
          <t>Pass 4 (backend): connect-id (PersonalID service)</t>
        </is>
      </c>
      <c r="K77" s="166" t="inlineStr">
        <is>
          <t>Eng-covered (logic) - QA e2e only if critical journey</t>
        </is>
      </c>
      <c r="L77" s="166" t="inlineStr">
        <is>
          <t>Add to MTP only (eng-covered)</t>
        </is>
      </c>
    </row>
    <row r="78">
      <c r="A78" s="166" t="inlineStr">
        <is>
          <t>GAP-BE-M-02</t>
        </is>
      </c>
      <c r="B78" s="166" t="inlineStr">
        <is>
          <t>PersonalID - Recovery</t>
        </is>
      </c>
      <c r="C78" s="166" t="inlineStr">
        <is>
          <t>Account recovery alternatives: recover via recovery PIN (confirm_recovery_pin), via backup code, and via password reset (reset_password/confirm_password)</t>
        </is>
      </c>
      <c r="D78" s="166" t="inlineStr">
        <is>
          <t>🟡 Automatable - not yet done</t>
        </is>
      </c>
      <c r="E78" s="166" t="inlineStr">
        <is>
          <t>MISSING from MTP. Src: users/views recover/confirm_pin, reset_password, confirm_password</t>
        </is>
      </c>
      <c r="F78" s="166" t="inlineStr">
        <is>
          <t>High</t>
        </is>
      </c>
      <c r="G78" s="166" t="inlineStr">
        <is>
          <t>New</t>
        </is>
      </c>
      <c r="H78" s="166" t="inlineStr"/>
      <c r="I78" s="166" t="inlineStr"/>
      <c r="J78" s="166" t="inlineStr">
        <is>
          <t>Pass 4 (backend): connect-id (PersonalID service)</t>
        </is>
      </c>
      <c r="K78" s="166" t="inlineStr">
        <is>
          <t>Eng-covered (logic) - QA e2e only if critical journey</t>
        </is>
      </c>
      <c r="L78" s="166" t="inlineStr">
        <is>
          <t>Add to MTP only (eng-covered)</t>
        </is>
      </c>
    </row>
    <row r="79">
      <c r="A79" s="166" t="inlineStr">
        <is>
          <t>GAP-BE-M-03</t>
        </is>
      </c>
      <c r="B79" s="166" t="inlineStr">
        <is>
          <t>PersonalID - Phone</t>
        </is>
      </c>
      <c r="C79" s="166" t="inlineStr">
        <is>
          <t>Secondary / recovery phone number: add + OTP-verify (validate_secondary_phone, confirm_secondary_otp) and recover via secondary phone</t>
        </is>
      </c>
      <c r="D79" s="166" t="inlineStr">
        <is>
          <t>🟡 Automatable - not yet done</t>
        </is>
      </c>
      <c r="E79" s="166" t="inlineStr">
        <is>
          <t>MISSING from MTP. Src: users/urls validate_secondary_phone / recover/secondary</t>
        </is>
      </c>
      <c r="F79" s="166" t="inlineStr">
        <is>
          <t>High</t>
        </is>
      </c>
      <c r="G79" s="166" t="inlineStr">
        <is>
          <t>New</t>
        </is>
      </c>
      <c r="H79" s="166" t="inlineStr"/>
      <c r="I79" s="166" t="inlineStr"/>
      <c r="J79" s="166" t="inlineStr">
        <is>
          <t>Pass 4 (backend): connect-id (PersonalID service)</t>
        </is>
      </c>
      <c r="K79" s="166" t="inlineStr">
        <is>
          <t>Eng-covered (logic) - QA e2e only if critical journey</t>
        </is>
      </c>
      <c r="L79" s="166" t="inlineStr">
        <is>
          <t>Add to MTP only (eng-covered)</t>
        </is>
      </c>
    </row>
    <row r="80">
      <c r="A80" s="166" t="inlineStr">
        <is>
          <t>GAP-BE-M-04</t>
        </is>
      </c>
      <c r="B80" s="166" t="inlineStr">
        <is>
          <t>PersonalID - Account</t>
        </is>
      </c>
      <c r="C80" s="166" t="inlineStr">
        <is>
          <t>Account deactivation: irreversible, confirmed via an SMS token valid 600s (initiate_deactivation / confirm_deactivation)</t>
        </is>
      </c>
      <c r="D80" s="166" t="inlineStr">
        <is>
          <t>🔴 Manual only</t>
        </is>
      </c>
      <c r="E80" s="166" t="inlineStr">
        <is>
          <t>MISSING from MTP. Real SMS + irreversible. Src: ConnectUser.initiate_deactivation</t>
        </is>
      </c>
      <c r="F80" s="166" t="inlineStr">
        <is>
          <t>Medium</t>
        </is>
      </c>
      <c r="G80" s="166" t="inlineStr">
        <is>
          <t>New</t>
        </is>
      </c>
      <c r="H80" s="166" t="inlineStr"/>
      <c r="I80" s="166" t="inlineStr"/>
      <c r="J80" s="166" t="inlineStr">
        <is>
          <t>Pass 4 (backend): connect-id (PersonalID service)</t>
        </is>
      </c>
      <c r="K80" s="166" t="inlineStr">
        <is>
          <t>Eng-covered (logic) - QA e2e only if critical journey</t>
        </is>
      </c>
      <c r="L80" s="166" t="inlineStr">
        <is>
          <t>Add to MTP only (eng-covered)</t>
        </is>
      </c>
    </row>
    <row r="81">
      <c r="A81" s="166" t="inlineStr">
        <is>
          <t>GAP-BE-M-05</t>
        </is>
      </c>
      <c r="B81" s="166" t="inlineStr">
        <is>
          <t>PersonalID - Account</t>
        </is>
      </c>
      <c r="C81" s="166" t="inlineStr">
        <is>
          <t>Change phone number (change_phone) and change password (change_password) for an existing account</t>
        </is>
      </c>
      <c r="D81" s="166" t="inlineStr">
        <is>
          <t>🟡 Automatable - not yet done</t>
        </is>
      </c>
      <c r="E81" s="166" t="inlineStr">
        <is>
          <t>MISSING from MTP. Src: users/urls change_phone / change_password</t>
        </is>
      </c>
      <c r="F81" s="166" t="inlineStr">
        <is>
          <t>Medium</t>
        </is>
      </c>
      <c r="G81" s="166" t="inlineStr">
        <is>
          <t>New</t>
        </is>
      </c>
      <c r="H81" s="166" t="inlineStr"/>
      <c r="I81" s="166" t="inlineStr"/>
      <c r="J81" s="166" t="inlineStr">
        <is>
          <t>Pass 4 (backend): connect-id (PersonalID service)</t>
        </is>
      </c>
      <c r="K81" s="166" t="inlineStr">
        <is>
          <t>Eng-covered (logic) - QA e2e only if critical journey</t>
        </is>
      </c>
      <c r="L81" s="166" t="inlineStr">
        <is>
          <t>Add to MTP only (eng-covered)</t>
        </is>
      </c>
    </row>
    <row r="82">
      <c r="A82" s="166" t="inlineStr">
        <is>
          <t>GAP-BE-M-06</t>
        </is>
      </c>
      <c r="B82" s="166" t="inlineStr">
        <is>
          <t>Connect - Payments</t>
        </is>
      </c>
      <c r="C82" s="166" t="inlineStr">
        <is>
          <t>Payment phone profile: worker sets a payment phone (with telecom-provider lookup) + OTP verify; PM approves/rejects/pends it, each state pushing a notification to the worker</t>
        </is>
      </c>
      <c r="D82" s="166" t="inlineStr">
        <is>
          <t>🟡 Automatable - not yet done</t>
        </is>
      </c>
      <c r="E82" s="166" t="inlineStr">
        <is>
          <t>MISSING from MTP. Src: payments/views.py (update_payment_profile_phone, ValidatePhoneNumbers)</t>
        </is>
      </c>
      <c r="F82" s="166" t="inlineStr">
        <is>
          <t>High</t>
        </is>
      </c>
      <c r="G82" s="166" t="inlineStr">
        <is>
          <t>New</t>
        </is>
      </c>
      <c r="H82" s="166" t="inlineStr"/>
      <c r="I82" s="166" t="inlineStr"/>
      <c r="J82" s="166" t="inlineStr">
        <is>
          <t>Pass 4 (backend): connect-id (PersonalID service)</t>
        </is>
      </c>
      <c r="K82" s="166" t="inlineStr">
        <is>
          <t>Eng-covered (logic) - QA e2e only if critical journey</t>
        </is>
      </c>
      <c r="L82" s="166" t="inlineStr">
        <is>
          <t>Add to MTP only (eng-covered)</t>
        </is>
      </c>
    </row>
    <row r="83">
      <c r="A83" s="166" t="inlineStr">
        <is>
          <t>GAP-BE-M-07</t>
        </is>
      </c>
      <c r="B83" s="166" t="inlineStr">
        <is>
          <t>Connect - Credentials</t>
        </is>
      </c>
      <c r="C83" s="166" t="inlineStr">
        <is>
          <t>Credential issuance &amp; acceptance: credential granted -&gt; SMS invite link -&gt; accept_credential; types APP_ACTIVITY/LEARN/DELIVER, levels, issuing authority (CONNECT/HQ x prod/staging/india)</t>
        </is>
      </c>
      <c r="D83" s="166" t="inlineStr">
        <is>
          <t>🟡 Automatable - not yet done</t>
        </is>
      </c>
      <c r="E83" s="166" t="inlineStr">
        <is>
          <t>PARTIAL vs Worker_History (earned display only). Invite/accept flow + types missing. Src: users/models Credential/UserCredential.add_credential</t>
        </is>
      </c>
      <c r="F83" s="166" t="inlineStr">
        <is>
          <t>Medium</t>
        </is>
      </c>
      <c r="G83" s="166" t="inlineStr">
        <is>
          <t>New</t>
        </is>
      </c>
      <c r="H83" s="166" t="inlineStr"/>
      <c r="I83" s="166" t="inlineStr"/>
      <c r="J83" s="166" t="inlineStr">
        <is>
          <t>Pass 4 (backend): connect-id (PersonalID service)</t>
        </is>
      </c>
      <c r="K83" s="166" t="inlineStr">
        <is>
          <t>Eng-covered (logic) - QA e2e only if critical journey</t>
        </is>
      </c>
      <c r="L83" s="166" t="inlineStr">
        <is>
          <t>Add to MTP only (eng-covered)</t>
        </is>
      </c>
    </row>
    <row r="84">
      <c r="A84" s="166" t="inlineStr">
        <is>
          <t>GAP-BE-M-08</t>
        </is>
      </c>
      <c r="B84" s="166" t="inlineStr">
        <is>
          <t>PersonalID - Signup</t>
        </is>
      </c>
      <c r="C84" s="166" t="inlineStr">
        <is>
          <t>Phone-availability pre-check (phone_available) before starting signup</t>
        </is>
      </c>
      <c r="D84" s="166" t="inlineStr">
        <is>
          <t>🟡 Automatable - not yet done</t>
        </is>
      </c>
      <c r="E84" s="166" t="inlineStr">
        <is>
          <t>MISSING from MTP. Src: users/urls phone_available</t>
        </is>
      </c>
      <c r="F84" s="166" t="inlineStr">
        <is>
          <t>Low</t>
        </is>
      </c>
      <c r="G84" s="166" t="inlineStr">
        <is>
          <t>New</t>
        </is>
      </c>
      <c r="H84" s="166" t="inlineStr"/>
      <c r="I84" s="166" t="inlineStr"/>
      <c r="J84" s="166" t="inlineStr">
        <is>
          <t>Pass 4 (backend): connect-id (PersonalID service)</t>
        </is>
      </c>
      <c r="K84" s="166" t="inlineStr">
        <is>
          <t>Eng-covered (logic) - QA e2e only if critical journey</t>
        </is>
      </c>
      <c r="L84" s="166" t="inlineStr">
        <is>
          <t>Add to MTP only (eng-covered)</t>
        </is>
      </c>
    </row>
    <row r="85">
      <c r="A85" s="166" t="inlineStr">
        <is>
          <t>GAP-BE-M-09</t>
        </is>
      </c>
      <c r="B85" s="166" t="inlineStr">
        <is>
          <t>PersonalID - Security</t>
        </is>
      </c>
      <c r="C85" s="166" t="inlineStr">
        <is>
          <t>Login-from-different-device detection: authenticating from a new device returns LOGIN_FROM_DIFFERENT_DEVICE; device last-accessed tracking (UserDeviceInfo)</t>
        </is>
      </c>
      <c r="D85" s="166" t="inlineStr">
        <is>
          <t>🟡 Automatable - not yet done</t>
        </is>
      </c>
      <c r="E85" s="166" t="inlineStr">
        <is>
          <t>MISSING from MTP. Src: users/auth.py DeviceBasicAuthentication / device_utils</t>
        </is>
      </c>
      <c r="F85" s="166" t="inlineStr">
        <is>
          <t>High</t>
        </is>
      </c>
      <c r="G85" s="166" t="inlineStr">
        <is>
          <t>New</t>
        </is>
      </c>
      <c r="H85" s="166" t="inlineStr"/>
      <c r="I85" s="166" t="inlineStr"/>
      <c r="J85" s="166" t="inlineStr">
        <is>
          <t>Pass 4 (backend): connect-id (PersonalID service)</t>
        </is>
      </c>
      <c r="K85" s="166" t="inlineStr">
        <is>
          <t>Eng-covered (logic) - QA e2e only if critical journey</t>
        </is>
      </c>
      <c r="L85" s="166" t="inlineStr">
        <is>
          <t>Add to MTP only (eng-covered)</t>
        </is>
      </c>
    </row>
    <row r="86">
      <c r="A86" s="166" t="inlineStr">
        <is>
          <t>GAP-BE-M-10</t>
        </is>
      </c>
      <c r="B86" s="166" t="inlineStr">
        <is>
          <t>PersonalID - Signup</t>
        </is>
      </c>
      <c r="C86" s="166" t="inlineStr">
        <is>
          <t>GPS-derived country eligibility: signup GPS reverse-geocoded (MapBox) to a country code used for country restriction; ConfigurationSession expires after 4h</t>
        </is>
      </c>
      <c r="D86" s="166" t="inlineStr">
        <is>
          <t>🟡 Automatable - not yet done</t>
        </is>
      </c>
      <c r="E86" s="166" t="inlineStr">
        <is>
          <t>MISSING from MTP (explains UNSUPPORTED_COUNTRY). Src: ConfigurationSession.country_code / is_valid</t>
        </is>
      </c>
      <c r="F86" s="166" t="inlineStr">
        <is>
          <t>Medium</t>
        </is>
      </c>
      <c r="G86" s="166" t="inlineStr">
        <is>
          <t>New</t>
        </is>
      </c>
      <c r="H86" s="166" t="inlineStr"/>
      <c r="I86" s="166" t="inlineStr"/>
      <c r="J86" s="166" t="inlineStr">
        <is>
          <t>Pass 4 (backend): connect-id (PersonalID service)</t>
        </is>
      </c>
      <c r="K86" s="166" t="inlineStr">
        <is>
          <t>Eng-covered (logic) - QA e2e only if critical journey</t>
        </is>
      </c>
      <c r="L86" s="166" t="inlineStr">
        <is>
          <t>Add to MTP only (eng-covered)</t>
        </is>
      </c>
    </row>
    <row r="87">
      <c r="A87" s="166" t="inlineStr">
        <is>
          <t>GAP-BE-M-11</t>
        </is>
      </c>
      <c r="B87" s="166" t="inlineStr">
        <is>
          <t>PersonalID - Signup</t>
        </is>
      </c>
      <c r="C87" s="166" t="inlineStr">
        <is>
          <t>Device integrity verdict breakdown stored server-side: request-check, app-integrity, device-integrity, account-details sub-checks (DeviceIntegritySample); demo/test numbers bypass</t>
        </is>
      </c>
      <c r="D87" s="166" t="inlineStr">
        <is>
          <t>🟡 Automatable - not yet done</t>
        </is>
      </c>
      <c r="E87" s="166" t="inlineStr">
        <is>
          <t>MISSING from MTP. Src: users/models DeviceIntegritySample + report_integrity view</t>
        </is>
      </c>
      <c r="F87" s="166" t="inlineStr">
        <is>
          <t>Medium</t>
        </is>
      </c>
      <c r="G87" s="166" t="inlineStr">
        <is>
          <t>New</t>
        </is>
      </c>
      <c r="H87" s="166" t="inlineStr"/>
      <c r="I87" s="166" t="inlineStr"/>
      <c r="J87" s="166" t="inlineStr">
        <is>
          <t>Pass 4 (backend): connect-id (PersonalID service)</t>
        </is>
      </c>
      <c r="K87" s="166" t="inlineStr">
        <is>
          <t>Eng-covered (logic) - QA e2e only if critical journey</t>
        </is>
      </c>
      <c r="L87" s="166" t="inlineStr">
        <is>
          <t>Add to MTP only (eng-covered)</t>
        </is>
      </c>
    </row>
    <row r="88">
      <c r="A88" s="166" t="inlineStr">
        <is>
          <t>GAP-BE-M-12</t>
        </is>
      </c>
      <c r="B88" s="166" t="inlineStr">
        <is>
          <t>PersonalID - OTP</t>
        </is>
      </c>
      <c r="C88" s="166" t="inlineStr">
        <is>
          <t>Manual OTP generation endpoint (generate_manual_otp) for support / when SMS auto-read fails; has_manual_otp monitoring flag</t>
        </is>
      </c>
      <c r="D88" s="166" t="inlineStr">
        <is>
          <t>🟡 Automatable - not yet done</t>
        </is>
      </c>
      <c r="E88" s="166" t="inlineStr">
        <is>
          <t>MISSING from MTP. Src: users/urls generate_manual_otp / SessionPhoneDevice.has_manual_otp</t>
        </is>
      </c>
      <c r="F88" s="166" t="inlineStr">
        <is>
          <t>Medium</t>
        </is>
      </c>
      <c r="G88" s="166" t="inlineStr">
        <is>
          <t>New</t>
        </is>
      </c>
      <c r="H88" s="166" t="inlineStr"/>
      <c r="I88" s="166" t="inlineStr"/>
      <c r="J88" s="166" t="inlineStr">
        <is>
          <t>Pass 4 (backend): connect-id (PersonalID service)</t>
        </is>
      </c>
      <c r="K88" s="166" t="inlineStr">
        <is>
          <t>Eng-covered (logic) - QA e2e only if critical journey</t>
        </is>
      </c>
      <c r="L88" s="166" t="inlineStr">
        <is>
          <t>Add to MTP only (eng-covered)</t>
        </is>
      </c>
    </row>
    <row r="89">
      <c r="A89" s="166" t="inlineStr">
        <is>
          <t>GAP-BE-M-13</t>
        </is>
      </c>
      <c r="B89" s="166" t="inlineStr">
        <is>
          <t>PersonalID - Security</t>
        </is>
      </c>
      <c r="C89" s="166" t="inlineStr">
        <is>
          <t>Local DB encryption key management: fetch_db_key issues/rotates a per-user key (UserKey valid flag); returned only after successful auth/backup-code</t>
        </is>
      </c>
      <c r="D89" s="166" t="inlineStr">
        <is>
          <t>🟡 Automatable - not yet done</t>
        </is>
      </c>
      <c r="E89" s="166" t="inlineStr">
        <is>
          <t>MISSING from MTP. Src: users/urls fetch_db_key / UserKey model</t>
        </is>
      </c>
      <c r="F89" s="166" t="inlineStr">
        <is>
          <t>Medium</t>
        </is>
      </c>
      <c r="G89" s="166" t="inlineStr">
        <is>
          <t>New</t>
        </is>
      </c>
      <c r="H89" s="166" t="inlineStr"/>
      <c r="I89" s="166" t="inlineStr"/>
      <c r="J89" s="166" t="inlineStr">
        <is>
          <t>Pass 4 (backend): connect-id (PersonalID service)</t>
        </is>
      </c>
      <c r="K89" s="166" t="inlineStr">
        <is>
          <t>Eng-covered (logic) - QA e2e only if critical journey</t>
        </is>
      </c>
      <c r="L89" s="166" t="inlineStr">
        <is>
          <t>Add to MTP only (eng-covered)</t>
        </is>
      </c>
    </row>
    <row r="90">
      <c r="A90" s="166" t="inlineStr">
        <is>
          <t>GAP-BE-M-14</t>
        </is>
      </c>
      <c r="B90" s="166" t="inlineStr">
        <is>
          <t>PersonalID - Security</t>
        </is>
      </c>
      <c r="C90" s="166" t="inlineStr">
        <is>
          <t>Session-token lifecycle: configuration session token expires after 4h (TOKEN_EXPIRED); locked account blocked at auth (LOCKED_ACCOUNT); invalid token rejected</t>
        </is>
      </c>
      <c r="D90" s="166" t="inlineStr">
        <is>
          <t>🟡 Automatable - not yet done</t>
        </is>
      </c>
      <c r="E90" s="166" t="inlineStr">
        <is>
          <t>PARTIAL vs TC_32 (lock only). Token-expiry / invalid-token paths missing. Src: users/auth.py SessionTokenAuthentication</t>
        </is>
      </c>
      <c r="F90" s="166" t="inlineStr">
        <is>
          <t>Medium</t>
        </is>
      </c>
      <c r="G90" s="166" t="inlineStr">
        <is>
          <t>New</t>
        </is>
      </c>
      <c r="H90" s="166" t="inlineStr"/>
      <c r="I90" s="166" t="inlineStr"/>
      <c r="J90" s="166" t="inlineStr">
        <is>
          <t>Pass 4 (backend): connect-id (PersonalID service)</t>
        </is>
      </c>
      <c r="K90" s="166" t="inlineStr">
        <is>
          <t>Eng-covered (logic) - QA e2e only if critical journey</t>
        </is>
      </c>
      <c r="L90" s="166" t="inlineStr">
        <is>
          <t>Add to MTP only (eng-covered)</t>
        </is>
      </c>
    </row>
    <row r="91">
      <c r="A91" s="166" t="inlineStr">
        <is>
          <t>GAP-BE-M-15</t>
        </is>
      </c>
      <c r="B91" s="166" t="inlineStr">
        <is>
          <t>PersonalID - Security</t>
        </is>
      </c>
      <c r="C91" s="166" t="inlineStr">
        <is>
          <t>Device-security default rule: invited users default to PIN, non-invited default to BIOMETRIC (get_device_security_requirement) - drives the min-security screen</t>
        </is>
      </c>
      <c r="D91" s="166" t="inlineStr">
        <is>
          <t>🟡 Automatable - not yet done</t>
        </is>
      </c>
      <c r="E91" s="166" t="inlineStr">
        <is>
          <t>Clarifies GAP-SRC-M-33; rule not stated in MTP. Src: ConnectUser.get_device_security_requirement</t>
        </is>
      </c>
      <c r="F91" s="166" t="inlineStr">
        <is>
          <t>Low</t>
        </is>
      </c>
      <c r="G91" s="166" t="inlineStr">
        <is>
          <t>New</t>
        </is>
      </c>
      <c r="H91" s="166" t="inlineStr"/>
      <c r="I91" s="166" t="inlineStr"/>
      <c r="J91" s="166" t="inlineStr">
        <is>
          <t>Pass 4 (backend): connect-id (PersonalID service)</t>
        </is>
      </c>
      <c r="K91" s="166" t="inlineStr">
        <is>
          <t>Eng-covered (logic) - QA e2e only if critical journey</t>
        </is>
      </c>
      <c r="L91" s="166" t="inlineStr">
        <is>
          <t>Add to MTP only (eng-covered)</t>
        </is>
      </c>
    </row>
    <row r="92">
      <c r="A92" s="166" t="inlineStr">
        <is>
          <t>GAP-MMISC-10</t>
        </is>
      </c>
      <c r="B92" s="166" t="inlineStr">
        <is>
          <t>Cross-cutting</t>
        </is>
      </c>
      <c r="C92" s="166" t="inlineStr">
        <is>
          <t>DISCREPANCY: MTP TC_11 states OTP resend is enabled after 120 seconds, but the backend uses EXPONENTIAL backoff (2^attempts minutes, OTP valid 30 min) with a RateLimitedError/retry_after. Reconcile the MTP wait rule against server behaviour.</t>
        </is>
      </c>
      <c r="D92" s="166" t="inlineStr">
        <is>
          <t>🟡 Automatable - not yet done</t>
        </is>
      </c>
      <c r="E92" s="166" t="inlineStr">
        <is>
          <t>MTP-vs-backend discrepancy found in connect-id. Src: users/models BaseOTPDevice._attempt_send</t>
        </is>
      </c>
      <c r="F92" s="166" t="inlineStr">
        <is>
          <t>High</t>
        </is>
      </c>
      <c r="G92" s="166" t="inlineStr">
        <is>
          <t>New</t>
        </is>
      </c>
      <c r="H92" s="166" t="inlineStr"/>
      <c r="I92" s="166" t="inlineStr"/>
      <c r="J92" s="166" t="inlineStr">
        <is>
          <t>Pass 4 (backend): connect-id (PersonalID service)</t>
        </is>
      </c>
      <c r="K92" s="166" t="inlineStr">
        <is>
          <t>N/A (hygiene/discrepancy/automation note)</t>
        </is>
      </c>
      <c r="L92" s="166" t="inlineStr">
        <is>
          <t>Reconcile (plan/code)</t>
        </is>
      </c>
    </row>
    <row r="93">
      <c r="A93" s="166" t="inlineStr">
        <is>
          <t>GAP-BE-M-16</t>
        </is>
      </c>
      <c r="B93" s="166" t="inlineStr">
        <is>
          <t>PersonalID - Signup</t>
        </is>
      </c>
      <c r="C93" s="166" t="inlineStr">
        <is>
          <t>check_name duplicate detection is AI-based (OpenChatStudio) using the phone's country as cultural context; for a user who already owns the number it assumes same-user, and for non-invited Connect users the AI result is not acted on</t>
        </is>
      </c>
      <c r="D93" s="166" t="inlineStr">
        <is>
          <t>🟡 Automatable - not yet done</t>
        </is>
      </c>
      <c r="E93" s="166" t="inlineStr">
        <is>
          <t>Refines TC_18 (fuzzy match). AI/cultural-context + owns-number logic not in MTP. Src: check_user_similarity</t>
        </is>
      </c>
      <c r="F93" s="166" t="inlineStr">
        <is>
          <t>Medium</t>
        </is>
      </c>
      <c r="G93" s="166" t="inlineStr">
        <is>
          <t>New</t>
        </is>
      </c>
      <c r="H93" s="166" t="inlineStr"/>
      <c r="I93" s="166" t="inlineStr"/>
      <c r="J93" s="166" t="inlineStr">
        <is>
          <t>Pass 4 (backend): connect-id users/views.py (detail sub-pass)</t>
        </is>
      </c>
      <c r="K93" s="166" t="inlineStr">
        <is>
          <t>Eng-covered (logic) - QA e2e only if critical journey</t>
        </is>
      </c>
      <c r="L93" s="166" t="inlineStr">
        <is>
          <t>Add to MTP only (eng-covered)</t>
        </is>
      </c>
    </row>
    <row r="94">
      <c r="A94" s="166" t="inlineStr">
        <is>
          <t>GAP-BE-M-17</t>
        </is>
      </c>
      <c r="B94" s="166" t="inlineStr">
        <is>
          <t>PersonalID - Phone</t>
        </is>
      </c>
      <c r="C94" s="166" t="inlineStr">
        <is>
          <t>Recovery/secondary phone has a 7-day validation deadline set at registration (recovery_phone_validation_deadline); cleared once validated</t>
        </is>
      </c>
      <c r="D94" s="166" t="inlineStr">
        <is>
          <t>🟡 Automatable - not yet done</t>
        </is>
      </c>
      <c r="E94" s="166" t="inlineStr">
        <is>
          <t>MISSING from MTP. Src: register / confirm_secondary_otp</t>
        </is>
      </c>
      <c r="F94" s="166" t="inlineStr">
        <is>
          <t>Medium</t>
        </is>
      </c>
      <c r="G94" s="166" t="inlineStr">
        <is>
          <t>New</t>
        </is>
      </c>
      <c r="H94" s="166" t="inlineStr"/>
      <c r="I94" s="166" t="inlineStr"/>
      <c r="J94" s="166" t="inlineStr">
        <is>
          <t>Pass 4 (backend): connect-id users/views.py (detail sub-pass)</t>
        </is>
      </c>
      <c r="K94" s="166" t="inlineStr">
        <is>
          <t>Eng-covered (logic) - QA e2e only if critical journey</t>
        </is>
      </c>
      <c r="L94" s="166" t="inlineStr">
        <is>
          <t>Add to MTP only (eng-covered)</t>
        </is>
      </c>
    </row>
    <row r="95">
      <c r="A95" s="166" t="inlineStr">
        <is>
          <t>GAP-BE-M-18</t>
        </is>
      </c>
      <c r="B95" s="166" t="inlineStr">
        <is>
          <t>PersonalID - Security</t>
        </is>
      </c>
      <c r="C95" s="166" t="inlineStr">
        <is>
          <t>Backup-code recovery from a NEW device returns a 'previous_device' + last_accessed warning when the prior device was recently active (within threshold)</t>
        </is>
      </c>
      <c r="D95" s="166" t="inlineStr">
        <is>
          <t>🟡 Automatable - not yet done</t>
        </is>
      </c>
      <c r="E95" s="166" t="inlineStr">
        <is>
          <t>MISSING from MTP (relates to GAP-BE-M-09). Src: confirm_backup_code (previous_device branch)</t>
        </is>
      </c>
      <c r="F95" s="166" t="inlineStr">
        <is>
          <t>Medium</t>
        </is>
      </c>
      <c r="G95" s="166" t="inlineStr">
        <is>
          <t>New</t>
        </is>
      </c>
      <c r="H95" s="166" t="inlineStr"/>
      <c r="I95" s="166" t="inlineStr"/>
      <c r="J95" s="166" t="inlineStr">
        <is>
          <t>Pass 4 (backend): connect-id users/views.py (detail sub-pass)</t>
        </is>
      </c>
      <c r="K95" s="166" t="inlineStr">
        <is>
          <t>Eng-covered (logic) - QA e2e only if critical journey</t>
        </is>
      </c>
      <c r="L95" s="166" t="inlineStr">
        <is>
          <t>Add to MTP only (eng-covered)</t>
        </is>
      </c>
    </row>
    <row r="96">
      <c r="A96" s="166" t="inlineStr">
        <is>
          <t>GAP-BE-M-19</t>
        </is>
      </c>
      <c r="B96" s="166" t="inlineStr">
        <is>
          <t>PersonalID - HQ Link</t>
        </is>
      </c>
      <c r="C96" s="166" t="inlineStr">
        <is>
          <t>HQ invite flow: HQ forwards an invite -&gt; ConnectID sends an SMS deep link (connectid.dimagi.com/hq_invite) -&gt; confirm callback restricted to TRUSTED_COMMCAREHQ_HOSTS; unknown phone numbers get a fake-success (no user enumeration)</t>
        </is>
      </c>
      <c r="D96" s="166" t="inlineStr">
        <is>
          <t>🟡 Automatable - not yet done</t>
        </is>
      </c>
      <c r="E96" s="166" t="inlineStr">
        <is>
          <t>PARTIAL vs TC_36-46 (mobile linking). Invite-SMS/callback + trusted-host + anti-enumeration missing. Src: ForwardHQInvite / ConfirmHQInviteCallback</t>
        </is>
      </c>
      <c r="F96" s="166" t="inlineStr">
        <is>
          <t>Medium</t>
        </is>
      </c>
      <c r="G96" s="166" t="inlineStr">
        <is>
          <t>New</t>
        </is>
      </c>
      <c r="H96" s="166" t="inlineStr"/>
      <c r="I96" s="166" t="inlineStr"/>
      <c r="J96" s="166" t="inlineStr">
        <is>
          <t>Pass 4 (backend): connect-id users/views.py (detail sub-pass)</t>
        </is>
      </c>
      <c r="K96" s="166" t="inlineStr">
        <is>
          <t>Eng-covered (logic) - QA e2e only if critical journey</t>
        </is>
      </c>
      <c r="L96" s="166" t="inlineStr">
        <is>
          <t>Add to MTP only (eng-covered)</t>
        </is>
      </c>
    </row>
    <row r="97">
      <c r="A97" s="166" t="inlineStr">
        <is>
          <t>GAP-BE-M-20</t>
        </is>
      </c>
      <c r="B97" s="166" t="inlineStr">
        <is>
          <t>PersonalID - OTP</t>
        </is>
      </c>
      <c r="C97" s="166" t="inlineStr">
        <is>
          <t>Session OTP (send_session_otp/confirm_session_otp, the Twilio/PersonalID path) is restricted to invited users (NOT_ALLOWED otherwise); API version selects sms_method (V1 PERSONAL_ID for invited else FIREBASE; newer FIREBASE + otp_fallback flag)</t>
        </is>
      </c>
      <c r="D97" s="166" t="inlineStr">
        <is>
          <t>🟡 Automatable - not yet done</t>
        </is>
      </c>
      <c r="E97" s="166" t="inlineStr">
        <is>
          <t>MISSING from MTP (backs GAP-SRC-M-31 dual-provider). Src: send_session_otp / start_device_configuration</t>
        </is>
      </c>
      <c r="F97" s="166" t="inlineStr">
        <is>
          <t>Medium</t>
        </is>
      </c>
      <c r="G97" s="166" t="inlineStr">
        <is>
          <t>New</t>
        </is>
      </c>
      <c r="H97" s="166" t="inlineStr"/>
      <c r="I97" s="166" t="inlineStr"/>
      <c r="J97" s="166" t="inlineStr">
        <is>
          <t>Pass 4 (backend): connect-id users/views.py (detail sub-pass)</t>
        </is>
      </c>
      <c r="K97" s="166" t="inlineStr">
        <is>
          <t>Eng-covered (logic) - QA e2e only if critical journey</t>
        </is>
      </c>
      <c r="L97" s="166" t="inlineStr">
        <is>
          <t>Add to MTP only (eng-covered)</t>
        </is>
      </c>
    </row>
    <row r="98">
      <c r="A98" s="166" t="inlineStr">
        <is>
          <t>GAP-BE-M-21</t>
        </is>
      </c>
      <c r="B98" s="166" t="inlineStr">
        <is>
          <t>PersonalID - Email</t>
        </is>
      </c>
      <c r="C98" s="166" t="inlineStr">
        <is>
          <t>Email OTP uniqueness: verifying an email already tied to another active user returns EMAIL_ALREADY_IN_USE; a pre-account verified email is stored on the session and attached at profile completion</t>
        </is>
      </c>
      <c r="D98" s="166" t="inlineStr">
        <is>
          <t>🟡 Automatable - not yet done</t>
        </is>
      </c>
      <c r="E98" s="166" t="inlineStr">
        <is>
          <t>MISSING from MTP (adds to email-OTP gaps). Src: verify_email_otp</t>
        </is>
      </c>
      <c r="F98" s="166" t="inlineStr">
        <is>
          <t>Medium</t>
        </is>
      </c>
      <c r="G98" s="166" t="inlineStr">
        <is>
          <t>New</t>
        </is>
      </c>
      <c r="H98" s="166" t="inlineStr"/>
      <c r="I98" s="166" t="inlineStr"/>
      <c r="J98" s="166" t="inlineStr">
        <is>
          <t>Pass 4 (backend): connect-id users/views.py (detail sub-pass)</t>
        </is>
      </c>
      <c r="K98" s="166" t="inlineStr">
        <is>
          <t>Eng-covered (logic) - QA e2e only if critical journey</t>
        </is>
      </c>
      <c r="L98" s="166" t="inlineStr">
        <is>
          <t>Add to MTP only (eng-covered)</t>
        </is>
      </c>
    </row>
    <row r="99">
      <c r="A99" s="166" t="inlineStr">
        <is>
          <t>GAP-BE-M-22</t>
        </is>
      </c>
      <c r="B99" s="166" t="inlineStr">
        <is>
          <t>PersonalID - Account</t>
        </is>
      </c>
      <c r="C99" s="166" t="inlineStr">
        <is>
          <t>Account deactivation revokes all OAuth access + refresh tokens (in addition to setting is_active=False); token must match and be within its validity window</t>
        </is>
      </c>
      <c r="D99" s="166" t="inlineStr">
        <is>
          <t>🟡 Automatable - not yet done</t>
        </is>
      </c>
      <c r="E99" s="166" t="inlineStr">
        <is>
          <t>MISSING from MTP (adds to GAP-BE-M-04). Src: confirm_deactivation</t>
        </is>
      </c>
      <c r="F99" s="166" t="inlineStr">
        <is>
          <t>Medium</t>
        </is>
      </c>
      <c r="G99" s="166" t="inlineStr">
        <is>
          <t>New</t>
        </is>
      </c>
      <c r="H99" s="166" t="inlineStr"/>
      <c r="I99" s="166" t="inlineStr"/>
      <c r="J99" s="166" t="inlineStr">
        <is>
          <t>Pass 4 (backend): connect-id users/views.py (detail sub-pass)</t>
        </is>
      </c>
      <c r="K99" s="166" t="inlineStr">
        <is>
          <t>Eng-covered (logic) - QA e2e only if critical journey</t>
        </is>
      </c>
      <c r="L99" s="166" t="inlineStr">
        <is>
          <t>Add to MTP only (eng-covered)</t>
        </is>
      </c>
    </row>
    <row r="100">
      <c r="A100" s="166" t="inlineStr">
        <is>
          <t>GAP-BE-M-23</t>
        </is>
      </c>
      <c r="B100" s="166" t="inlineStr">
        <is>
          <t>PersonalID - Phone</t>
        </is>
      </c>
      <c r="C100" s="166" t="inlineStr">
        <is>
          <t>Change-phone guards: a validated phone number cannot be changed; the supplied old number must match the current one</t>
        </is>
      </c>
      <c r="D100" s="166" t="inlineStr">
        <is>
          <t>🟡 Automatable - not yet done</t>
        </is>
      </c>
      <c r="E100" s="166" t="inlineStr">
        <is>
          <t>Refines GAP-BE-M-05. Src: change_phone</t>
        </is>
      </c>
      <c r="F100" s="166" t="inlineStr">
        <is>
          <t>Low</t>
        </is>
      </c>
      <c r="G100" s="166" t="inlineStr">
        <is>
          <t>New</t>
        </is>
      </c>
      <c r="H100" s="166" t="inlineStr"/>
      <c r="I100" s="166" t="inlineStr"/>
      <c r="J100" s="166" t="inlineStr">
        <is>
          <t>Pass 4 (backend): connect-id users/views.py (detail sub-pass)</t>
        </is>
      </c>
      <c r="K100" s="166" t="inlineStr">
        <is>
          <t>Eng-covered (logic) - QA e2e only if critical journey</t>
        </is>
      </c>
      <c r="L100" s="166" t="inlineStr">
        <is>
          <t>Add to MTP only (eng-covered)</t>
        </is>
      </c>
    </row>
    <row r="101">
      <c r="A101" s="166" t="inlineStr">
        <is>
          <t>GAP-BE-M-24</t>
        </is>
      </c>
      <c r="B101" s="166" t="inlineStr">
        <is>
          <t>Connect - Messaging</t>
        </is>
      </c>
      <c r="C101" s="166" t="inlineStr">
        <is>
          <t>Message delivery-status lifecycle: PENDING -&gt; SENT_TO_SERVICE -&gt; DELIVERED -&gt; CONFIRMED_RECEIVED, with HMAC-signed receipt-confirmation callbacks back to the HQ messaging service</t>
        </is>
      </c>
      <c r="D101" s="166" t="inlineStr">
        <is>
          <t>🟡 Automatable - not yet done</t>
        </is>
      </c>
      <c r="E101" s="166" t="inlineStr">
        <is>
          <t>MISSING from MTP. Src: messaging MessageStatus + UpdateReceivedView / send_messages_to_service_and_mark_status</t>
        </is>
      </c>
      <c r="F101" s="166" t="inlineStr">
        <is>
          <t>Medium</t>
        </is>
      </c>
      <c r="G101" s="166" t="inlineStr">
        <is>
          <t>New</t>
        </is>
      </c>
      <c r="H101" s="166" t="inlineStr"/>
      <c r="I101" s="166" t="inlineStr"/>
      <c r="J101" s="166" t="inlineStr">
        <is>
          <t>Pass 4 (backend): connect-id messaging service</t>
        </is>
      </c>
      <c r="K101" s="166" t="inlineStr">
        <is>
          <t>Eng-covered (logic) - QA e2e only if critical journey</t>
        </is>
      </c>
      <c r="L101" s="166" t="inlineStr">
        <is>
          <t>Add to MTP only (eng-covered)</t>
        </is>
      </c>
    </row>
    <row r="102">
      <c r="A102" s="166" t="inlineStr">
        <is>
          <t>GAP-BE-M-25</t>
        </is>
      </c>
      <c r="B102" s="166" t="inlineStr">
        <is>
          <t>Connect - Messaging</t>
        </is>
      </c>
      <c r="C102" s="166" t="inlineStr">
        <is>
          <t>Message deduplication by message_id: a duplicate message_id is rejected (MESSAGE_ID_ALREADY_EXISTS) / skipped in bulk create</t>
        </is>
      </c>
      <c r="D102" s="166" t="inlineStr">
        <is>
          <t>🟡 Automatable - not yet done</t>
        </is>
      </c>
      <c r="E102" s="166" t="inlineStr">
        <is>
          <t>MISSING from MTP. Src: SendServerConnectMessage / SendMobileConnectMessage</t>
        </is>
      </c>
      <c r="F102" s="166" t="inlineStr">
        <is>
          <t>Low</t>
        </is>
      </c>
      <c r="G102" s="166" t="inlineStr">
        <is>
          <t>New</t>
        </is>
      </c>
      <c r="H102" s="166" t="inlineStr"/>
      <c r="I102" s="166" t="inlineStr"/>
      <c r="J102" s="166" t="inlineStr">
        <is>
          <t>Pass 4 (backend): connect-id messaging service</t>
        </is>
      </c>
      <c r="K102" s="166" t="inlineStr">
        <is>
          <t>Eng-covered (logic) - QA e2e only if critical journey</t>
        </is>
      </c>
      <c r="L102" s="166" t="inlineStr">
        <is>
          <t>Add to MTP only (eng-covered)</t>
        </is>
      </c>
    </row>
    <row r="103">
      <c r="A103" s="166" t="inlineStr">
        <is>
          <t>GAP-BE-M-26</t>
        </is>
      </c>
      <c r="B103" s="166" t="inlineStr">
        <is>
          <t>Connect - Messaging</t>
        </is>
      </c>
      <c r="C103" s="166" t="inlineStr">
        <is>
          <t>Message retention: messages are deleted 7 days after they are received (scheduled task)</t>
        </is>
      </c>
      <c r="D103" s="166" t="inlineStr">
        <is>
          <t>🟡 Automatable - not yet done</t>
        </is>
      </c>
      <c r="E103" s="166" t="inlineStr">
        <is>
          <t>MISSING from MTP. Src: messaging/tasks.delete_old_messages (MESSAGE_RETENTION_DAYS=7)</t>
        </is>
      </c>
      <c r="F103" s="166" t="inlineStr">
        <is>
          <t>Medium</t>
        </is>
      </c>
      <c r="G103" s="166" t="inlineStr">
        <is>
          <t>New</t>
        </is>
      </c>
      <c r="H103" s="166" t="inlineStr"/>
      <c r="I103" s="166" t="inlineStr"/>
      <c r="J103" s="166" t="inlineStr">
        <is>
          <t>Pass 4 (backend): connect-id messaging service</t>
        </is>
      </c>
      <c r="K103" s="166" t="inlineStr">
        <is>
          <t>Eng-covered (logic) - QA e2e only if critical journey</t>
        </is>
      </c>
      <c r="L103" s="166" t="inlineStr">
        <is>
          <t>Add to MTP only (eng-covered)</t>
        </is>
      </c>
    </row>
    <row r="104">
      <c r="A104" s="166" t="inlineStr">
        <is>
          <t>GAP-BE-M-27</t>
        </is>
      </c>
      <c r="B104" s="166" t="inlineStr">
        <is>
          <t>Connect - Messaging</t>
        </is>
      </c>
      <c r="C104" s="166" t="inlineStr">
        <is>
          <t>Server-side resend of undelivered messages: a periodic task re-pushes FCM for messages still unreceived (received is null)</t>
        </is>
      </c>
      <c r="D104" s="166" t="inlineStr">
        <is>
          <t>🟡 Automatable - not yet done</t>
        </is>
      </c>
      <c r="E104" s="166" t="inlineStr">
        <is>
          <t>MISSING from MTP (server counterpart to mobile offline queue). Src: resend_notifications_for_undelivered_messages</t>
        </is>
      </c>
      <c r="F104" s="166" t="inlineStr">
        <is>
          <t>Medium</t>
        </is>
      </c>
      <c r="G104" s="166" t="inlineStr">
        <is>
          <t>New</t>
        </is>
      </c>
      <c r="H104" s="166" t="inlineStr"/>
      <c r="I104" s="166" t="inlineStr"/>
      <c r="J104" s="166" t="inlineStr">
        <is>
          <t>Pass 4 (backend): connect-id messaging service</t>
        </is>
      </c>
      <c r="K104" s="166" t="inlineStr">
        <is>
          <t>Eng-covered (logic) - QA e2e only if critical journey</t>
        </is>
      </c>
      <c r="L104" s="166" t="inlineStr">
        <is>
          <t>Add to MTP only (eng-covered)</t>
        </is>
      </c>
    </row>
    <row r="105">
      <c r="A105" s="166" t="inlineStr">
        <is>
          <t>GAP-BE-M-28</t>
        </is>
      </c>
      <c r="B105" s="166" t="inlineStr">
        <is>
          <t>Connect - Messaging</t>
        </is>
      </c>
      <c r="C105" s="166" t="inlineStr">
        <is>
          <t>Consent enforcement server-side: a server-&gt;mobile message to an unconsented channel is rejected (NO_USER_CONSENT); a channel defaults to consent=True at creation and creation pushes a 'New Channel' FCM</t>
        </is>
      </c>
      <c r="D105" s="166" t="inlineStr">
        <is>
          <t>🟡 Automatable - not yet done</t>
        </is>
      </c>
      <c r="E105" s="166" t="inlineStr">
        <is>
          <t>MISSING from MTP (server side of consent; mobile input-disable is GAP-SRC-M-48). Src: SendServerConnectMessage / CreateChannelView</t>
        </is>
      </c>
      <c r="F105" s="166" t="inlineStr">
        <is>
          <t>Medium</t>
        </is>
      </c>
      <c r="G105" s="166" t="inlineStr">
        <is>
          <t>New</t>
        </is>
      </c>
      <c r="H105" s="166" t="inlineStr"/>
      <c r="I105" s="166" t="inlineStr"/>
      <c r="J105" s="166" t="inlineStr">
        <is>
          <t>Pass 4 (backend): connect-id messaging service</t>
        </is>
      </c>
      <c r="K105" s="166" t="inlineStr">
        <is>
          <t>Eng-covered (logic) - QA e2e only if critical journey</t>
        </is>
      </c>
      <c r="L105" s="166" t="inlineStr">
        <is>
          <t>Add to MTP only (eng-covered)</t>
        </is>
      </c>
    </row>
    <row r="106">
      <c r="A106" s="166" t="inlineStr">
        <is>
          <t>GAP-UTC-M-06</t>
        </is>
      </c>
      <c r="B106" s="166" t="inlineStr">
        <is>
          <t>Cross-cutting</t>
        </is>
      </c>
      <c r="C106" s="166" t="inlineStr">
        <is>
          <t>connect-id backend is well unit-tested (users/messaging/payments have test suites); the only thin spot is the connectid project app (connectid/views.py + project config) which has no tests</t>
        </is>
      </c>
      <c r="D106" s="166" t="inlineStr">
        <is>
          <t>🟡 Automatable - not yet done</t>
        </is>
      </c>
      <c r="E106" s="166" t="inlineStr">
        <is>
          <t>Unit-test coverage note (connect-id) - completes mobile UTC symmetry. Src: connectid/views.py</t>
        </is>
      </c>
      <c r="F106" s="166" t="inlineStr">
        <is>
          <t>Low</t>
        </is>
      </c>
      <c r="G106" s="166" t="inlineStr">
        <is>
          <t>New</t>
        </is>
      </c>
      <c r="H106" s="166" t="inlineStr"/>
      <c r="I106" s="166" t="inlineStr"/>
      <c r="J106" s="166" t="inlineStr">
        <is>
          <t>connect-id: unit-test-coverage note</t>
        </is>
      </c>
      <c r="K106" s="166" t="inlineStr">
        <is>
          <t>Eng GAP (no unit test) - dev deliverable</t>
        </is>
      </c>
      <c r="L106" s="166" t="inlineStr">
        <is>
          <t>Dev: add unit test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cols>
    <col width="20" customWidth="1" style="145" min="1" max="1"/>
    <col width="26" customWidth="1" style="145" min="2" max="2"/>
    <col width="70" customWidth="1" style="145" min="3" max="3"/>
    <col width="26" customWidth="1" style="145" min="4" max="4"/>
    <col width="45" customWidth="1" style="145" min="5" max="5"/>
    <col width="26" customWidth="1" style="145" min="6" max="6"/>
  </cols>
  <sheetData>
    <row r="1">
      <c r="A1" s="165" t="inlineStr">
        <is>
          <t>Case / Gap ID</t>
        </is>
      </c>
      <c r="B1" s="165" t="inlineStr">
        <is>
          <t>Surface</t>
        </is>
      </c>
      <c r="C1" s="165" t="inlineStr">
        <is>
          <t>Description</t>
        </is>
      </c>
      <c r="D1" s="165" t="inlineStr">
        <is>
          <t>Status</t>
        </is>
      </c>
      <c r="E1" s="165" t="inlineStr">
        <is>
          <t>Detail</t>
        </is>
      </c>
      <c r="F1" s="165" t="inlineStr">
        <is>
          <t>Source</t>
        </is>
      </c>
    </row>
    <row r="2">
      <c r="A2" s="166" t="inlineStr">
        <is>
          <t>TC_01</t>
        </is>
      </c>
      <c r="B2" s="166" t="inlineStr">
        <is>
          <t>Personal ID Tests</t>
        </is>
      </c>
      <c r="C2" s="166" t="inlineStr">
        <is>
          <t>Confirm an existing user is able to sign in and is able to continue to work</t>
        </is>
      </c>
      <c r="D2" s="166" t="inlineStr">
        <is>
          <t>🟢 Already automated</t>
        </is>
      </c>
      <c r="E2" s="166" t="inlineStr">
        <is>
          <t>test_tc_01 (existing demo-user sign-in)</t>
        </is>
      </c>
      <c r="F2" s="166" t="inlineStr">
        <is>
          <t>Confirmed automated (pass 1)</t>
        </is>
      </c>
    </row>
    <row r="3">
      <c r="A3" s="166" t="inlineStr">
        <is>
          <t>TC_03</t>
        </is>
      </c>
      <c r="B3" s="166" t="inlineStr">
        <is>
          <t>Personal ID Tests</t>
        </is>
      </c>
      <c r="C3" s="166" t="inlineStr">
        <is>
          <t>Verify user can logout of Personal ID and re-authenitcate themselves</t>
        </is>
      </c>
      <c r="D3" s="166" t="inlineStr">
        <is>
          <t>🟢 Already automated</t>
        </is>
      </c>
      <c r="E3" s="166" t="inlineStr">
        <is>
          <t>test_tc_01 (forget PID / re-auth)</t>
        </is>
      </c>
      <c r="F3" s="166" t="inlineStr">
        <is>
          <t>Confirmed automated (pass 1)</t>
        </is>
      </c>
    </row>
    <row r="4">
      <c r="A4" s="166" t="inlineStr">
        <is>
          <t>TC_28</t>
        </is>
      </c>
      <c r="B4" s="166" t="inlineStr">
        <is>
          <t>Personal ID Tests</t>
        </is>
      </c>
      <c r="C4" s="166" t="inlineStr">
        <is>
          <t>Verify user is able to sign out, by clicking "Forget PersonalID user"</t>
        </is>
      </c>
      <c r="D4" s="166" t="inlineStr">
        <is>
          <t>🟢 Already automated</t>
        </is>
      </c>
      <c r="E4" s="166" t="inlineStr">
        <is>
          <t>test_tc_01 (forget PersonalID sign out)</t>
        </is>
      </c>
      <c r="F4" s="166" t="inlineStr">
        <is>
          <t>Confirmed automated (pass 1)</t>
        </is>
      </c>
    </row>
    <row r="5">
      <c r="A5" s="166" t="inlineStr">
        <is>
          <t>TC_31</t>
        </is>
      </c>
      <c r="B5" s="166" t="inlineStr">
        <is>
          <t>Personal ID Tests</t>
        </is>
      </c>
      <c r="C5" s="166" t="inlineStr">
        <is>
          <t>Verify user is unable to recover the account, if they enter a wrong backup code</t>
        </is>
      </c>
      <c r="D5" s="166" t="inlineStr">
        <is>
          <t>🟢 Already automated</t>
        </is>
      </c>
      <c r="E5" s="166" t="inlineStr">
        <is>
          <t>test_tc_01 (wrong backup code error)</t>
        </is>
      </c>
      <c r="F5" s="166" t="inlineStr">
        <is>
          <t>Confirmed automated (pass 1)</t>
        </is>
      </c>
    </row>
    <row r="6">
      <c r="A6" s="166" t="inlineStr">
        <is>
          <t>TC_32</t>
        </is>
      </c>
      <c r="B6" s="166" t="inlineStr">
        <is>
          <t>Personal ID Tests</t>
        </is>
      </c>
      <c r="C6" s="166" t="inlineStr">
        <is>
          <t>Verify user account is locked when they enter the backup code wrong more than 3 times</t>
        </is>
      </c>
      <c r="D6" s="166" t="inlineStr">
        <is>
          <t>🟢 Already automated</t>
        </is>
      </c>
      <c r="E6" s="166" t="inlineStr">
        <is>
          <t>test_tc_02 (account locked popup)</t>
        </is>
      </c>
      <c r="F6" s="166" t="inlineStr">
        <is>
          <t>Confirmed automated (pass 1)</t>
        </is>
      </c>
    </row>
    <row r="7">
      <c r="A7" s="166" t="inlineStr">
        <is>
          <t>TC_01</t>
        </is>
      </c>
      <c r="B7" s="166" t="inlineStr">
        <is>
          <t>Integration Tests (Connect)</t>
        </is>
      </c>
      <c r="C7" s="166" t="inlineStr">
        <is>
          <t>Confirm after signing up with a Personal ID, user sees all the connect options in the side menu</t>
        </is>
      </c>
      <c r="D7" s="166" t="inlineStr">
        <is>
          <t>🟢 Already automated</t>
        </is>
      </c>
      <c r="E7" s="166" t="inlineStr">
        <is>
          <t>test_tc_01 (connect side-menu options)</t>
        </is>
      </c>
      <c r="F7" s="166" t="inlineStr">
        <is>
          <t>Confirmed automated (pass 1)</t>
        </is>
      </c>
    </row>
    <row r="8">
      <c r="A8" s="166" t="inlineStr">
        <is>
          <t>TC_08</t>
        </is>
      </c>
      <c r="B8" s="166" t="inlineStr">
        <is>
          <t>Integration Tests (Connect)</t>
        </is>
      </c>
      <c r="C8" s="166" t="inlineStr">
        <is>
          <t>Verify on clicking the opportunities option from the side drawer takes you to the opportunity list page</t>
        </is>
      </c>
      <c r="D8" s="166" t="inlineStr">
        <is>
          <t>🟢 Already automated</t>
        </is>
      </c>
      <c r="E8" s="166" t="inlineStr">
        <is>
          <t>test_tc_03 (opportunities option -&gt; list)</t>
        </is>
      </c>
      <c r="F8" s="166" t="inlineStr">
        <is>
          <t>Confirmed automated (pass 1)</t>
        </is>
      </c>
    </row>
    <row r="9">
      <c r="A9" s="166" t="inlineStr">
        <is>
          <t>TC_10</t>
        </is>
      </c>
      <c r="B9" s="166" t="inlineStr">
        <is>
          <t>Integration Tests (Connect)</t>
        </is>
      </c>
      <c r="C9" s="166" t="inlineStr">
        <is>
          <t>Verify on clicking the messaging option, user is taken channels list page</t>
        </is>
      </c>
      <c r="D9" s="166" t="inlineStr">
        <is>
          <t>🟢 Already automated</t>
        </is>
      </c>
      <c r="E9" s="166" t="inlineStr">
        <is>
          <t>test_tc_07 (messaging -&gt; channels list)</t>
        </is>
      </c>
      <c r="F9" s="166" t="inlineStr">
        <is>
          <t>Confirmed automated (pass 1)</t>
        </is>
      </c>
    </row>
    <row r="10">
      <c r="A10" s="166" t="inlineStr">
        <is>
          <t>TC_17</t>
        </is>
      </c>
      <c r="B10" s="166" t="inlineStr">
        <is>
          <t>Integration Tests (Connect)</t>
        </is>
      </c>
      <c r="C10" s="166" t="inlineStr">
        <is>
          <t>Verify mobile users sess all the opportunities that they are invited to on the opportunity list page</t>
        </is>
      </c>
      <c r="D10" s="166" t="inlineStr">
        <is>
          <t>🟢 Already automated</t>
        </is>
      </c>
      <c r="E10" s="166" t="inlineStr">
        <is>
          <t>test_tc_03 (opportunity list shown)</t>
        </is>
      </c>
      <c r="F10" s="166" t="inlineStr">
        <is>
          <t>Confirmed automated (pass 1)</t>
        </is>
      </c>
    </row>
    <row r="11">
      <c r="A11" s="166" t="inlineStr">
        <is>
          <t>TC_20</t>
        </is>
      </c>
      <c r="B11" s="166" t="inlineStr">
        <is>
          <t>Integration Tests (Connect)</t>
        </is>
      </c>
      <c r="C11" s="166" t="inlineStr">
        <is>
          <t>Verify on selecting the view opportunity button, user sees the description and all the opportunity details</t>
        </is>
      </c>
      <c r="D11" s="166" t="inlineStr">
        <is>
          <t>🟢 Already automated</t>
        </is>
      </c>
      <c r="E11" s="166" t="inlineStr">
        <is>
          <t>test_tc_03 (view opportunity details/job card)</t>
        </is>
      </c>
      <c r="F11" s="166" t="inlineStr">
        <is>
          <t>Confirmed automated (pass 1)</t>
        </is>
      </c>
    </row>
    <row r="12">
      <c r="A12" s="166" t="inlineStr">
        <is>
          <t>TC_21</t>
        </is>
      </c>
      <c r="B12" s="166" t="inlineStr">
        <is>
          <t>Integration Tests (Connect)</t>
        </is>
      </c>
      <c r="C12" s="166" t="inlineStr">
        <is>
          <t>Ensure that after downloading the learn app, the opportunity status gets updated on the mobile</t>
        </is>
      </c>
      <c r="D12" s="166" t="inlineStr">
        <is>
          <t>🟢 Already automated</t>
        </is>
      </c>
      <c r="E12" s="166" t="inlineStr">
        <is>
          <t>test_tc_04 (learn app in-progress status)</t>
        </is>
      </c>
      <c r="F12" s="166" t="inlineStr">
        <is>
          <t>Confirmed automated (pass 1)</t>
        </is>
      </c>
    </row>
    <row r="13">
      <c r="A13" s="166" t="inlineStr">
        <is>
          <t>TC_22</t>
        </is>
      </c>
      <c r="B13" s="166" t="inlineStr">
        <is>
          <t>Integration Tests (Connect)</t>
        </is>
      </c>
      <c r="C13" s="166" t="inlineStr">
        <is>
          <t>Verify user is able to dowload the Learn App from the opportunity</t>
        </is>
      </c>
      <c r="D13" s="166" t="inlineStr">
        <is>
          <t>🟢 Already automated</t>
        </is>
      </c>
      <c r="E13" s="166" t="inlineStr">
        <is>
          <t>test_tc_04 (download learn app)</t>
        </is>
      </c>
      <c r="F13" s="166" t="inlineStr">
        <is>
          <t>Confirmed automated (pass 1)</t>
        </is>
      </c>
    </row>
    <row r="14">
      <c r="A14" s="166" t="inlineStr">
        <is>
          <t>TC_23</t>
        </is>
      </c>
      <c r="B14" s="166" t="inlineStr">
        <is>
          <t>Integration Tests (Connect)</t>
        </is>
      </c>
      <c r="C14" s="166" t="inlineStr">
        <is>
          <t>Ensure that user is taken to the app home screen after successful download of the Learn App</t>
        </is>
      </c>
      <c r="D14" s="166" t="inlineStr">
        <is>
          <t>🟢 Already automated</t>
        </is>
      </c>
      <c r="E14" s="166" t="inlineStr">
        <is>
          <t>test_tc_04 (auto-login to learn app)</t>
        </is>
      </c>
      <c r="F14" s="166" t="inlineStr">
        <is>
          <t>Confirmed automated (pass 1)</t>
        </is>
      </c>
    </row>
    <row r="15">
      <c r="A15" s="166" t="inlineStr">
        <is>
          <t>TC_24</t>
        </is>
      </c>
      <c r="B15" s="166" t="inlineStr">
        <is>
          <t>Integration Tests (Connect)</t>
        </is>
      </c>
      <c r="C15" s="166" t="inlineStr">
        <is>
          <t>Verify on submitting the forms, learn app progress is updated in the app</t>
        </is>
      </c>
      <c r="D15" s="166" t="inlineStr">
        <is>
          <t>🟢 Already automated</t>
        </is>
      </c>
      <c r="E15" s="166" t="inlineStr">
        <is>
          <t>test_tc_04 (learn progress updates)</t>
        </is>
      </c>
      <c r="F15" s="166" t="inlineStr">
        <is>
          <t>Confirmed automated (pass 1)</t>
        </is>
      </c>
    </row>
    <row r="16">
      <c r="A16" s="166" t="inlineStr">
        <is>
          <t>TC_26</t>
        </is>
      </c>
      <c r="B16" s="166" t="inlineStr">
        <is>
          <t>Integration Tests (Connect)</t>
        </is>
      </c>
      <c r="C16" s="166" t="inlineStr">
        <is>
          <t>Confirm user is unable to claim the job, if they don't pass the assessment</t>
        </is>
      </c>
      <c r="D16" s="166" t="inlineStr">
        <is>
          <t>🟢 Already automated</t>
        </is>
      </c>
      <c r="E16" s="166" t="inlineStr">
        <is>
          <t>test_tc_04 (fail assessment - cannot claim)</t>
        </is>
      </c>
      <c r="F16" s="166" t="inlineStr">
        <is>
          <t>Confirmed automated (pass 1)</t>
        </is>
      </c>
    </row>
    <row r="17">
      <c r="A17" s="166" t="inlineStr">
        <is>
          <t>TC_27</t>
        </is>
      </c>
      <c r="B17" s="166" t="inlineStr">
        <is>
          <t>Integration Tests (Connect)</t>
        </is>
      </c>
      <c r="C17" s="166" t="inlineStr">
        <is>
          <t>Verify user can claim the job when they have successfully passed the assessment</t>
        </is>
      </c>
      <c r="D17" s="166" t="inlineStr">
        <is>
          <t>🟢 Already automated</t>
        </is>
      </c>
      <c r="E17" s="166" t="inlineStr">
        <is>
          <t>test_tc_04 (pass assessment - certificate)</t>
        </is>
      </c>
      <c r="F17" s="166" t="inlineStr">
        <is>
          <t>Confirmed automated (pass 1)</t>
        </is>
      </c>
    </row>
    <row r="18">
      <c r="A18" s="166" t="inlineStr">
        <is>
          <t>TC_28</t>
        </is>
      </c>
      <c r="B18" s="166" t="inlineStr">
        <is>
          <t>Integration Tests (Connect)</t>
        </is>
      </c>
      <c r="C18" s="166" t="inlineStr">
        <is>
          <t>Confirm that user sees the Delivery details on the screen when they click on the "View Opportunity Details" button</t>
        </is>
      </c>
      <c r="D18" s="166" t="inlineStr">
        <is>
          <t>🟢 Already automated</t>
        </is>
      </c>
      <c r="E18" s="166" t="inlineStr">
        <is>
          <t>test_tc_05 (claim job / delivery details)</t>
        </is>
      </c>
      <c r="F18" s="166" t="inlineStr">
        <is>
          <t>Confirmed automated (pass 1)</t>
        </is>
      </c>
    </row>
    <row r="19">
      <c r="A19" s="166" t="inlineStr">
        <is>
          <t>TC_29</t>
        </is>
      </c>
      <c r="B19" s="166" t="inlineStr">
        <is>
          <t>Integration Tests (Connect)</t>
        </is>
      </c>
      <c r="C19" s="166" t="inlineStr">
        <is>
          <t>Verify the number of visits is updated in the app after successfully conducting a visit</t>
        </is>
      </c>
      <c r="D19" s="166" t="inlineStr">
        <is>
          <t>🟢 Already automated</t>
        </is>
      </c>
      <c r="E19" s="166" t="inlineStr">
        <is>
          <t>test_tc_05 (visits updated after submit)</t>
        </is>
      </c>
      <c r="F19" s="166" t="inlineStr">
        <is>
          <t>Confirmed automated (pass 1)</t>
        </is>
      </c>
    </row>
    <row r="20">
      <c r="A20" s="166" t="inlineStr">
        <is>
          <t>TC_30</t>
        </is>
      </c>
      <c r="B20" s="166" t="inlineStr">
        <is>
          <t>Integration Tests (Connect)</t>
        </is>
      </c>
      <c r="C20" s="166" t="inlineStr">
        <is>
          <t>Verify on approving a visit on connect web, the status is updated in the app as well</t>
        </is>
      </c>
      <c r="D20" s="166" t="inlineStr">
        <is>
          <t>🟢 Already automated</t>
        </is>
      </c>
      <c r="E20" s="166" t="inlineStr">
        <is>
          <t>test_tc_05 (approve visit -&gt; status updates)</t>
        </is>
      </c>
      <c r="F20" s="166" t="inlineStr">
        <is>
          <t>Confirmed automated (pass 1)</t>
        </is>
      </c>
    </row>
    <row r="21">
      <c r="A21" s="166" t="inlineStr">
        <is>
          <t>TC_32</t>
        </is>
      </c>
      <c r="B21" s="166" t="inlineStr">
        <is>
          <t>Integration Tests (Connect)</t>
        </is>
      </c>
      <c r="C21" s="166" t="inlineStr">
        <is>
          <t>Verify user can only do the max visits allowed to them on a single day</t>
        </is>
      </c>
      <c r="D21" s="166" t="inlineStr">
        <is>
          <t>🟢 Already automated</t>
        </is>
      </c>
      <c r="E21" s="166" t="inlineStr">
        <is>
          <t>test_tc_08 (max daily visits)</t>
        </is>
      </c>
      <c r="F21" s="166" t="inlineStr">
        <is>
          <t>Confirmed automated (pass 1)</t>
        </is>
      </c>
    </row>
    <row r="22">
      <c r="A22" s="166" t="inlineStr">
        <is>
          <t>TC_43</t>
        </is>
      </c>
      <c r="B22" s="166" t="inlineStr">
        <is>
          <t>Integration Tests (Connect)</t>
        </is>
      </c>
      <c r="C22" s="166" t="inlineStr">
        <is>
          <t>Verify that total amount paid to the user for the approved visits is displayed correctly under Payments tab</t>
        </is>
      </c>
      <c r="D22" s="166" t="inlineStr">
        <is>
          <t>🟢 Already automated</t>
        </is>
      </c>
      <c r="E22" s="166" t="inlineStr">
        <is>
          <t>test_tc_06 (total paid amount on payments tab)</t>
        </is>
      </c>
      <c r="F22" s="166" t="inlineStr">
        <is>
          <t>Confirmed automated (pass 1)</t>
        </is>
      </c>
    </row>
    <row r="23">
      <c r="A23" s="166" t="inlineStr">
        <is>
          <t>TC_44</t>
        </is>
      </c>
      <c r="B23" s="166" t="inlineStr">
        <is>
          <t>Integration Tests (Connect)</t>
        </is>
      </c>
      <c r="C23" s="166" t="inlineStr">
        <is>
          <t>Verfiy user is able to see the payment transaction card on the payments tab</t>
        </is>
      </c>
      <c r="D23" s="166" t="inlineStr">
        <is>
          <t>🟢 Already automated</t>
        </is>
      </c>
      <c r="E23" s="166" t="inlineStr">
        <is>
          <t>test_tc_06 (payment transaction card)</t>
        </is>
      </c>
      <c r="F23" s="166" t="inlineStr">
        <is>
          <t>Confirmed automated (pass 1)</t>
        </is>
      </c>
    </row>
    <row r="24">
      <c r="A24" s="166" t="inlineStr">
        <is>
          <t>TC_45</t>
        </is>
      </c>
      <c r="B24" s="166" t="inlineStr">
        <is>
          <t>Integration Tests (Connect)</t>
        </is>
      </c>
      <c r="C24" s="166" t="inlineStr">
        <is>
          <t>Verfiy user is not able to see the payment transaction card after clicking on ask later button</t>
        </is>
      </c>
      <c r="D24" s="166" t="inlineStr">
        <is>
          <t>🟢 Already automated</t>
        </is>
      </c>
      <c r="E24" s="166" t="inlineStr">
        <is>
          <t>test_tc_06 (ask-later hides card)</t>
        </is>
      </c>
      <c r="F24" s="166" t="inlineStr">
        <is>
          <t>Confirmed automated (pass 1)</t>
        </is>
      </c>
    </row>
    <row r="25">
      <c r="A25" s="166" t="inlineStr">
        <is>
          <t>TC_46</t>
        </is>
      </c>
      <c r="B25" s="166" t="inlineStr">
        <is>
          <t>Integration Tests (Connect)</t>
        </is>
      </c>
      <c r="C25" s="166" t="inlineStr">
        <is>
          <t>Confirm that when a mobile user is suspended from an opportuntiy, the opportunity home page shows user suspended message</t>
        </is>
      </c>
      <c r="D25" s="166" t="inlineStr">
        <is>
          <t>🟢 Already automated</t>
        </is>
      </c>
      <c r="E25" s="166" t="inlineStr">
        <is>
          <t>test_tc_07 (suspended-user message on app)</t>
        </is>
      </c>
      <c r="F25" s="166" t="inlineStr">
        <is>
          <t>Confirmed automated (pass 1)</t>
        </is>
      </c>
    </row>
    <row r="26">
      <c r="A26" s="166" t="inlineStr">
        <is>
          <t>Connect message1</t>
        </is>
      </c>
      <c r="B26" s="166" t="inlineStr">
        <is>
          <t>Connect messaging</t>
        </is>
      </c>
      <c r="C26" s="166" t="inlineStr">
        <is>
          <t>Verify user is able to create a broadcast with connect message option</t>
        </is>
      </c>
      <c r="D26" s="166" t="inlineStr">
        <is>
          <t>🟢 Already automated</t>
        </is>
      </c>
      <c r="E26" s="166" t="inlineStr">
        <is>
          <t>test_tc_10 (broadcast connect message)</t>
        </is>
      </c>
      <c r="F26" s="166" t="inlineStr">
        <is>
          <t>Confirmed automated (pass 1)</t>
        </is>
      </c>
    </row>
    <row r="27">
      <c r="A27" s="166" t="inlineStr">
        <is>
          <t>Connect message2</t>
        </is>
      </c>
      <c r="B27" s="166" t="inlineStr">
        <is>
          <t>Connect messaging</t>
        </is>
      </c>
      <c r="C27" s="166" t="inlineStr">
        <is>
          <t>Verify user is able to create a broadcast with connect survey option</t>
        </is>
      </c>
      <c r="D27" s="166" t="inlineStr">
        <is>
          <t>🟢 Already automated</t>
        </is>
      </c>
      <c r="E27" s="166" t="inlineStr">
        <is>
          <t>test_tc_10 (broadcast connect survey)</t>
        </is>
      </c>
      <c r="F27" s="166" t="inlineStr">
        <is>
          <t>Confirmed automated (pass 1)</t>
        </is>
      </c>
    </row>
    <row r="28">
      <c r="A28" s="166" t="inlineStr">
        <is>
          <t>Connect message3</t>
        </is>
      </c>
      <c r="B28" s="166" t="inlineStr">
        <is>
          <t>Connect messaging</t>
        </is>
      </c>
      <c r="C28" s="166" t="inlineStr">
        <is>
          <t>Verify user is able to create a Conditional alerts with connect message option</t>
        </is>
      </c>
      <c r="D28" s="166" t="inlineStr">
        <is>
          <t>🟢 Already automated</t>
        </is>
      </c>
      <c r="E28" s="166" t="inlineStr">
        <is>
          <t>test_tc_09 (conditional alert connect message)</t>
        </is>
      </c>
      <c r="F28" s="166" t="inlineStr">
        <is>
          <t>Confirmed automated (pass 1)</t>
        </is>
      </c>
    </row>
    <row r="29">
      <c r="A29" s="166" t="inlineStr">
        <is>
          <t>Connect message4</t>
        </is>
      </c>
      <c r="B29" s="166" t="inlineStr">
        <is>
          <t>Connect messaging</t>
        </is>
      </c>
      <c r="C29" s="166" t="inlineStr">
        <is>
          <t>Verify user is able to create a conditional alerts with connect survey option</t>
        </is>
      </c>
      <c r="D29" s="166" t="inlineStr">
        <is>
          <t>🟢 Already automated</t>
        </is>
      </c>
      <c r="E29" s="166" t="inlineStr">
        <is>
          <t>test_tc_09 (conditional alert connect survey)</t>
        </is>
      </c>
      <c r="F29" s="166" t="inlineStr">
        <is>
          <t>Confirmed automated (pass 1)</t>
        </is>
      </c>
    </row>
    <row r="30">
      <c r="A30" s="166" t="inlineStr">
        <is>
          <t>Notifications_01</t>
        </is>
      </c>
      <c r="B30" s="166" t="inlineStr">
        <is>
          <t>Connect Notifications</t>
        </is>
      </c>
      <c r="C30" s="166" t="inlineStr">
        <is>
          <t>Verify Notifications option is visible on left hand menu</t>
        </is>
      </c>
      <c r="D30" s="166" t="inlineStr">
        <is>
          <t>🟢 Already automated</t>
        </is>
      </c>
      <c r="E30" s="166" t="inlineStr">
        <is>
          <t>test_tc_07 (notifications option on left menu)</t>
        </is>
      </c>
      <c r="F30" s="166" t="inlineStr">
        <is>
          <t>Confirmed automated (pass 1)</t>
        </is>
      </c>
    </row>
    <row r="31">
      <c r="A31" s="166" t="inlineStr">
        <is>
          <t>Notifications_02</t>
        </is>
      </c>
      <c r="B31" s="166" t="inlineStr">
        <is>
          <t>Connect Notifications</t>
        </is>
      </c>
      <c r="C31" s="166" t="inlineStr">
        <is>
          <t>Verify notiifcations icon is present on the opportunities list page</t>
        </is>
      </c>
      <c r="D31" s="166" t="inlineStr">
        <is>
          <t>🟢 Already automated</t>
        </is>
      </c>
      <c r="E31" s="166" t="inlineStr">
        <is>
          <t>test_tc_03 (notifications icon on opp page)</t>
        </is>
      </c>
      <c r="F31" s="166" t="inlineStr">
        <is>
          <t>Confirmed automated (pass 1)</t>
        </is>
      </c>
    </row>
    <row r="32">
      <c r="A32" s="166" t="inlineStr">
        <is>
          <t>Notifications_04</t>
        </is>
      </c>
      <c r="B32" s="166" t="inlineStr">
        <is>
          <t>Connect Notifications</t>
        </is>
      </c>
      <c r="C32" s="166" t="inlineStr">
        <is>
          <t>Verify opportunity invite notification is shown on notifications history page</t>
        </is>
      </c>
      <c r="D32" s="166" t="inlineStr">
        <is>
          <t>🟢 Already automated</t>
        </is>
      </c>
      <c r="E32" s="166" t="inlineStr">
        <is>
          <t>test_tc_03 (opp invite notification)</t>
        </is>
      </c>
      <c r="F32" s="166" t="inlineStr">
        <is>
          <t>Confirmed automated (pass 1)</t>
        </is>
      </c>
    </row>
    <row r="33">
      <c r="A33" s="166" t="inlineStr">
        <is>
          <t>Notifications_05</t>
        </is>
      </c>
      <c r="B33" s="166" t="inlineStr">
        <is>
          <t>Connect Notifications</t>
        </is>
      </c>
      <c r="C33" s="166" t="inlineStr">
        <is>
          <t>Verify we are able to land on opportunity's learn app upon clicking on the opportunity invite notification</t>
        </is>
      </c>
      <c r="D33" s="166" t="inlineStr">
        <is>
          <t>🟢 Already automated</t>
        </is>
      </c>
      <c r="E33" s="166" t="inlineStr">
        <is>
          <t>test_tc_03 (land on learn app via notification)</t>
        </is>
      </c>
      <c r="F33" s="166" t="inlineStr">
        <is>
          <t>Confirmed automated (pass 1)</t>
        </is>
      </c>
    </row>
    <row r="34">
      <c r="A34" s="166" t="inlineStr">
        <is>
          <t>Notifications_08</t>
        </is>
      </c>
      <c r="B34" s="166" t="inlineStr">
        <is>
          <t>Connect Notifications</t>
        </is>
      </c>
      <c r="C34" s="166" t="inlineStr">
        <is>
          <t>Verify Payment notifications are shown in notifications history page</t>
        </is>
      </c>
      <c r="D34" s="166" t="inlineStr">
        <is>
          <t>🟢 Already automated</t>
        </is>
      </c>
      <c r="E34" s="166" t="inlineStr">
        <is>
          <t>test_tc_06 (payment notification)</t>
        </is>
      </c>
      <c r="F34" s="166" t="inlineStr">
        <is>
          <t>Confirmed automated (pass 1)</t>
        </is>
      </c>
    </row>
    <row r="35">
      <c r="A35" s="166" t="inlineStr">
        <is>
          <t>Notifications_09</t>
        </is>
      </c>
      <c r="B35" s="166" t="inlineStr">
        <is>
          <t>Connect Notifications</t>
        </is>
      </c>
      <c r="C35" s="166" t="inlineStr">
        <is>
          <t>Verify user is able to land on the payment screen upon clicking on the payment notification</t>
        </is>
      </c>
      <c r="D35" s="166" t="inlineStr">
        <is>
          <t>🟢 Already automated</t>
        </is>
      </c>
      <c r="E35" s="166" t="inlineStr">
        <is>
          <t>test_tc_06 (land on payment screen)</t>
        </is>
      </c>
      <c r="F35" s="166" t="inlineStr">
        <is>
          <t>Confirmed automated (pass 1)</t>
        </is>
      </c>
    </row>
    <row r="36">
      <c r="A36" s="166" t="inlineStr">
        <is>
          <t>GAP-PID-01</t>
        </is>
      </c>
      <c r="B36" s="166" t="inlineStr">
        <is>
          <t>Personal ID Tests</t>
        </is>
      </c>
      <c r="C36" s="166" t="inlineStr">
        <is>
          <t>[TC_02] Verify when user updates to the latest beta app, the user remains signed in</t>
        </is>
      </c>
      <c r="D36" s="166" t="inlineStr">
        <is>
          <t>🔴 Manual only</t>
        </is>
      </c>
      <c r="E36" s="166" t="inlineStr">
        <is>
          <t>Requires real app-store/beta update round-trip</t>
        </is>
      </c>
      <c r="F36" s="166" t="inlineStr">
        <is>
          <t>Pass 1 (mobile): MTP vs test suite</t>
        </is>
      </c>
    </row>
    <row r="37">
      <c r="A37" s="166" t="inlineStr">
        <is>
          <t>GAP-PID-02</t>
        </is>
      </c>
      <c r="B37" s="166" t="inlineStr">
        <is>
          <t>Personal ID Tests</t>
        </is>
      </c>
      <c r="C37" s="166" t="inlineStr">
        <is>
          <t>[TC_04] Verify user sees a new Hamburger menu on the left side top corner</t>
        </is>
      </c>
      <c r="D37" s="166" t="inlineStr">
        <is>
          <t>🟡 Automatable - not yet done</t>
        </is>
      </c>
      <c r="E37" s="166" t="inlineStr">
        <is>
          <t>Mobile UI flow - no spec asserts this case</t>
        </is>
      </c>
      <c r="F37" s="166" t="inlineStr">
        <is>
          <t>Pass 1 (mobile): MTP vs test suite</t>
        </is>
      </c>
    </row>
    <row r="38">
      <c r="A38" s="166" t="inlineStr">
        <is>
          <t>GAP-PID-03</t>
        </is>
      </c>
      <c r="B38" s="166" t="inlineStr">
        <is>
          <t>Personal ID Tests</t>
        </is>
      </c>
      <c r="C38" s="166" t="inlineStr">
        <is>
          <t>[TC_05] Verify on clicking the "Sign up Personal ID" option, user is redirected to the Start Page</t>
        </is>
      </c>
      <c r="D38" s="166" t="inlineStr">
        <is>
          <t>🟡 Automatable - not yet done</t>
        </is>
      </c>
      <c r="E38" s="166" t="inlineStr">
        <is>
          <t>Mobile UI flow - no spec asserts this case</t>
        </is>
      </c>
      <c r="F38" s="166" t="inlineStr">
        <is>
          <t>Pass 1 (mobile): MTP vs test suite</t>
        </is>
      </c>
    </row>
    <row r="39">
      <c r="A39" s="166" t="inlineStr">
        <is>
          <t>GAP-PID-04</t>
        </is>
      </c>
      <c r="B39" s="166" t="inlineStr">
        <is>
          <t>Personal ID Tests</t>
        </is>
      </c>
      <c r="C39" s="166" t="inlineStr">
        <is>
          <t>[TC_06] Verify validations for the phone number field</t>
        </is>
      </c>
      <c r="D39" s="166" t="inlineStr">
        <is>
          <t>🟡 Automatable - not yet done</t>
        </is>
      </c>
      <c r="E39" s="166" t="inlineStr">
        <is>
          <t>Mobile UI flow - no spec asserts this case</t>
        </is>
      </c>
      <c r="F39" s="166" t="inlineStr">
        <is>
          <t>Pass 1 (mobile): MTP vs test suite</t>
        </is>
      </c>
    </row>
    <row r="40">
      <c r="A40" s="166" t="inlineStr">
        <is>
          <t>GAP-PID-05</t>
        </is>
      </c>
      <c r="B40" s="166" t="inlineStr">
        <is>
          <t>Personal ID Tests</t>
        </is>
      </c>
      <c r="C40" s="166" t="inlineStr">
        <is>
          <t>[TC_07] Confirm on clicking the continue button, user is taken to the Android Device Authentication page</t>
        </is>
      </c>
      <c r="D40" s="166" t="inlineStr">
        <is>
          <t>🔴 Manual only</t>
        </is>
      </c>
      <c r="E40" s="166" t="inlineStr">
        <is>
          <t>Real device PIN/pattern/biometric prompt</t>
        </is>
      </c>
      <c r="F40" s="166" t="inlineStr">
        <is>
          <t>Pass 1 (mobile): MTP vs test suite</t>
        </is>
      </c>
    </row>
    <row r="41">
      <c r="A41" s="166" t="inlineStr">
        <is>
          <t>GAP-PID-06</t>
        </is>
      </c>
      <c r="B41" s="166" t="inlineStr">
        <is>
          <t>Personal ID Tests</t>
        </is>
      </c>
      <c r="C41" s="166" t="inlineStr">
        <is>
          <t>[TC_08] Verify that user is taken to device settings, to configure authentication when there's no device authentication configured</t>
        </is>
      </c>
      <c r="D41" s="166" t="inlineStr">
        <is>
          <t>🔴 Manual only</t>
        </is>
      </c>
      <c r="E41" s="166" t="inlineStr">
        <is>
          <t>Requires device with NO lock configured - device state</t>
        </is>
      </c>
      <c r="F41" s="166" t="inlineStr">
        <is>
          <t>Pass 1 (mobile): MTP vs test suite</t>
        </is>
      </c>
    </row>
    <row r="42">
      <c r="A42" s="166" t="inlineStr">
        <is>
          <t>GAP-PID-07</t>
        </is>
      </c>
      <c r="B42" s="166" t="inlineStr">
        <is>
          <t>Personal ID Tests</t>
        </is>
      </c>
      <c r="C42" s="166" t="inlineStr">
        <is>
          <t>[TC_09] Verify on authenticating the android device successfully, user is taken to the OTP page</t>
        </is>
      </c>
      <c r="D42" s="166" t="inlineStr">
        <is>
          <t>🔴 Manual only</t>
        </is>
      </c>
      <c r="E42" s="166" t="inlineStr">
        <is>
          <t>Real device authentication before OTP</t>
        </is>
      </c>
      <c r="F42" s="166" t="inlineStr">
        <is>
          <t>Pass 1 (mobile): MTP vs test suite</t>
        </is>
      </c>
    </row>
    <row r="43">
      <c r="A43" s="166" t="inlineStr">
        <is>
          <t>GAP-PID-08</t>
        </is>
      </c>
      <c r="B43" s="166" t="inlineStr">
        <is>
          <t>Personal ID Tests</t>
        </is>
      </c>
      <c r="C43" s="166" t="inlineStr">
        <is>
          <t>[TC_10] Confirm when user lands on the OTP page, they receive an OTP on the mobile number they entered on the Start page</t>
        </is>
      </c>
      <c r="D43" s="166" t="inlineStr">
        <is>
          <t>🔴 Manual only</t>
        </is>
      </c>
      <c r="E43" s="166" t="inlineStr">
        <is>
          <t>Real OTP delivery over SMS</t>
        </is>
      </c>
      <c r="F43" s="166" t="inlineStr">
        <is>
          <t>Pass 1 (mobile): MTP vs test suite</t>
        </is>
      </c>
    </row>
    <row r="44">
      <c r="A44" s="166" t="inlineStr">
        <is>
          <t>GAP-PID-09</t>
        </is>
      </c>
      <c r="B44" s="166" t="inlineStr">
        <is>
          <t>Personal ID Tests</t>
        </is>
      </c>
      <c r="C44" s="166" t="inlineStr">
        <is>
          <t>[TC_11] Confirm user is able to resen code after 120 seconds only</t>
        </is>
      </c>
      <c r="D44" s="166" t="inlineStr">
        <is>
          <t>🔴 Manual only</t>
        </is>
      </c>
      <c r="E44" s="166" t="inlineStr">
        <is>
          <t>120-second resend timer - time-dependent + SMS</t>
        </is>
      </c>
      <c r="F44" s="166" t="inlineStr">
        <is>
          <t>Pass 1 (mobile): MTP vs test suite</t>
        </is>
      </c>
    </row>
    <row r="45">
      <c r="A45" s="166" t="inlineStr">
        <is>
          <t>GAP-PID-10</t>
        </is>
      </c>
      <c r="B45" s="166" t="inlineStr">
        <is>
          <t>Personal ID Tests</t>
        </is>
      </c>
      <c r="C45" s="166" t="inlineStr">
        <is>
          <t>[TC_12] Confirm that the verify button gets enabled when user enter the OTP code</t>
        </is>
      </c>
      <c r="D45" s="166" t="inlineStr">
        <is>
          <t>🟡 Automatable - not yet done</t>
        </is>
      </c>
      <c r="E45" s="166" t="inlineStr">
        <is>
          <t>Mobile UI flow - no spec asserts this case</t>
        </is>
      </c>
      <c r="F45" s="166" t="inlineStr">
        <is>
          <t>Pass 1 (mobile): MTP vs test suite</t>
        </is>
      </c>
    </row>
    <row r="46">
      <c r="A46" s="166" t="inlineStr">
        <is>
          <t>GAP-PID-11</t>
        </is>
      </c>
      <c r="B46" s="166" t="inlineStr">
        <is>
          <t>Personal ID Tests</t>
        </is>
      </c>
      <c r="C46" s="166" t="inlineStr">
        <is>
          <t>[TC_13] Verify user cannot verify the phone by entering the wrong OTP</t>
        </is>
      </c>
      <c r="D46" s="166" t="inlineStr">
        <is>
          <t>🔴 Manual only</t>
        </is>
      </c>
      <c r="E46" s="166" t="inlineStr">
        <is>
          <t>Real OTP needed to test wrong-OTP path</t>
        </is>
      </c>
      <c r="F46" s="166" t="inlineStr">
        <is>
          <t>Pass 1 (mobile): MTP vs test suite</t>
        </is>
      </c>
    </row>
    <row r="47">
      <c r="A47" s="166" t="inlineStr">
        <is>
          <t>GAP-PID-12</t>
        </is>
      </c>
      <c r="B47" s="166" t="inlineStr">
        <is>
          <t>Personal ID Tests</t>
        </is>
      </c>
      <c r="C47" s="166" t="inlineStr">
        <is>
          <t>[TC_14] Confirm that user is able to enter and delete any digit in the OTP fields</t>
        </is>
      </c>
      <c r="D47" s="166" t="inlineStr">
        <is>
          <t>🟡 Automatable - not yet done</t>
        </is>
      </c>
      <c r="E47" s="166" t="inlineStr">
        <is>
          <t>Mobile UI flow - no spec asserts this case</t>
        </is>
      </c>
      <c r="F47" s="166" t="inlineStr">
        <is>
          <t>Pass 1 (mobile): MTP vs test suite</t>
        </is>
      </c>
    </row>
    <row r="48">
      <c r="A48" s="166" t="inlineStr">
        <is>
          <t>GAP-PID-13</t>
        </is>
      </c>
      <c r="B48" s="166" t="inlineStr">
        <is>
          <t>Personal ID Tests</t>
        </is>
      </c>
      <c r="C48" s="166" t="inlineStr">
        <is>
          <t>[TC_15] Verify on successfully verifying the OTP, user is taken to the Name page</t>
        </is>
      </c>
      <c r="D48" s="166" t="inlineStr">
        <is>
          <t>🟡 Automatable - not yet done</t>
        </is>
      </c>
      <c r="E48" s="166" t="inlineStr">
        <is>
          <t>Mobile UI flow - no spec asserts this case</t>
        </is>
      </c>
      <c r="F48" s="166" t="inlineStr">
        <is>
          <t>Pass 1 (mobile): MTP vs test suite</t>
        </is>
      </c>
    </row>
    <row r="49">
      <c r="A49" s="166" t="inlineStr">
        <is>
          <t>GAP-PID-14</t>
        </is>
      </c>
      <c r="B49" s="166" t="inlineStr">
        <is>
          <t>Personal ID Tests</t>
        </is>
      </c>
      <c r="C49" s="166" t="inlineStr">
        <is>
          <t>[TC_16] Confirm user can change the phone number by clicking the 'change' option</t>
        </is>
      </c>
      <c r="D49" s="166" t="inlineStr">
        <is>
          <t>🟡 Automatable - not yet done</t>
        </is>
      </c>
      <c r="E49" s="166" t="inlineStr">
        <is>
          <t>Mobile UI flow - no spec asserts this case</t>
        </is>
      </c>
      <c r="F49" s="166" t="inlineStr">
        <is>
          <t>Pass 1 (mobile): MTP vs test suite</t>
        </is>
      </c>
    </row>
    <row r="50">
      <c r="A50" s="166" t="inlineStr">
        <is>
          <t>GAP-PID-15</t>
        </is>
      </c>
      <c r="B50" s="166" t="inlineStr">
        <is>
          <t>Personal ID Tests</t>
        </is>
      </c>
      <c r="C50" s="166" t="inlineStr">
        <is>
          <t>[TC_17] Confirm user sees the page title and name field on the Name page</t>
        </is>
      </c>
      <c r="D50" s="166" t="inlineStr">
        <is>
          <t>🟡 Automatable - not yet done</t>
        </is>
      </c>
      <c r="E50" s="166" t="inlineStr">
        <is>
          <t>Mobile UI flow - no spec asserts this case</t>
        </is>
      </c>
      <c r="F50" s="166" t="inlineStr">
        <is>
          <t>Pass 1 (mobile): MTP vs test suite</t>
        </is>
      </c>
    </row>
    <row r="51">
      <c r="A51" s="166" t="inlineStr">
        <is>
          <t>GAP-PID-16</t>
        </is>
      </c>
      <c r="B51" s="166" t="inlineStr">
        <is>
          <t>Personal ID Tests</t>
        </is>
      </c>
      <c r="C51" s="166" t="inlineStr">
        <is>
          <t>[TC_18] Confirm users name is verified agains the DB for potential duplicate account</t>
        </is>
      </c>
      <c r="D51" s="166" t="inlineStr">
        <is>
          <t>🔴 Manual only</t>
        </is>
      </c>
      <c r="E51" s="166" t="inlineStr">
        <is>
          <t>Fuzzy duplicate-name DB match - backend/data-dependent</t>
        </is>
      </c>
      <c r="F51" s="166" t="inlineStr">
        <is>
          <t>Pass 1 (mobile): MTP vs test suite</t>
        </is>
      </c>
    </row>
    <row r="52">
      <c r="A52" s="166" t="inlineStr">
        <is>
          <t>GAP-PID-17</t>
        </is>
      </c>
      <c r="B52" s="166" t="inlineStr">
        <is>
          <t>Personal ID Tests</t>
        </is>
      </c>
      <c r="C52" s="166" t="inlineStr">
        <is>
          <t>[TC_19] Confirm user lands on the "Backup Code" screen after entering the name</t>
        </is>
      </c>
      <c r="D52" s="166" t="inlineStr">
        <is>
          <t>🟡 Automatable - not yet done</t>
        </is>
      </c>
      <c r="E52" s="166" t="inlineStr">
        <is>
          <t>Mobile UI flow - no spec asserts this case</t>
        </is>
      </c>
      <c r="F52" s="166" t="inlineStr">
        <is>
          <t>Pass 1 (mobile): MTP vs test suite</t>
        </is>
      </c>
    </row>
    <row r="53">
      <c r="A53" s="166" t="inlineStr">
        <is>
          <t>GAP-PID-18</t>
        </is>
      </c>
      <c r="B53" s="166" t="inlineStr">
        <is>
          <t>Personal ID Tests</t>
        </is>
      </c>
      <c r="C53" s="166" t="inlineStr">
        <is>
          <t>[TC_20] Verify user can setup a backup code and conitnue forward</t>
        </is>
      </c>
      <c r="D53" s="166" t="inlineStr">
        <is>
          <t>🟡 Automatable - not yet done</t>
        </is>
      </c>
      <c r="E53" s="166" t="inlineStr">
        <is>
          <t>Mobile UI flow - no spec asserts this case</t>
        </is>
      </c>
      <c r="F53" s="166" t="inlineStr">
        <is>
          <t>Pass 1 (mobile): MTP vs test suite</t>
        </is>
      </c>
    </row>
    <row r="54">
      <c r="A54" s="166" t="inlineStr">
        <is>
          <t>GAP-PID-19</t>
        </is>
      </c>
      <c r="B54" s="166" t="inlineStr">
        <is>
          <t>Personal ID Tests</t>
        </is>
      </c>
      <c r="C54" s="166" t="inlineStr">
        <is>
          <t>[TC_21] Ensure user can only continue if they enter the same code in the two input boxes</t>
        </is>
      </c>
      <c r="D54" s="166" t="inlineStr">
        <is>
          <t>🟡 Automatable - not yet done</t>
        </is>
      </c>
      <c r="E54" s="166" t="inlineStr">
        <is>
          <t>Mobile UI flow - no spec asserts this case</t>
        </is>
      </c>
      <c r="F54" s="166" t="inlineStr">
        <is>
          <t>Pass 1 (mobile): MTP vs test suite</t>
        </is>
      </c>
    </row>
    <row r="55">
      <c r="A55" s="166" t="inlineStr">
        <is>
          <t>GAP-PID-20</t>
        </is>
      </c>
      <c r="B55" s="166" t="inlineStr">
        <is>
          <t>Personal ID Tests</t>
        </is>
      </c>
      <c r="C55" s="166" t="inlineStr">
        <is>
          <t>[TC_22] Verify user can see the code they have entered by clicking the eye icon</t>
        </is>
      </c>
      <c r="D55" s="166" t="inlineStr">
        <is>
          <t>🟡 Automatable - not yet done</t>
        </is>
      </c>
      <c r="E55" s="166" t="inlineStr">
        <is>
          <t>Mobile UI flow - no spec asserts this case</t>
        </is>
      </c>
      <c r="F55" s="166" t="inlineStr">
        <is>
          <t>Pass 1 (mobile): MTP vs test suite</t>
        </is>
      </c>
    </row>
    <row r="56">
      <c r="A56" s="166" t="inlineStr">
        <is>
          <t>GAP-PID-21</t>
        </is>
      </c>
      <c r="B56" s="166" t="inlineStr">
        <is>
          <t>Personal ID Tests</t>
        </is>
      </c>
      <c r="C56" s="166" t="inlineStr">
        <is>
          <t>[TC_23] Confirm user is taken to the "Take Photo" page after they have configured the backup code</t>
        </is>
      </c>
      <c r="D56" s="166" t="inlineStr">
        <is>
          <t>🔴 Manual only</t>
        </is>
      </c>
      <c r="E56" s="166" t="inlineStr">
        <is>
          <t>Front camera selfie capture - hardware</t>
        </is>
      </c>
      <c r="F56" s="166" t="inlineStr">
        <is>
          <t>Pass 1 (mobile): MTP vs test suite</t>
        </is>
      </c>
    </row>
    <row r="57">
      <c r="A57" s="166" t="inlineStr">
        <is>
          <t>GAP-PID-22</t>
        </is>
      </c>
      <c r="B57" s="166" t="inlineStr">
        <is>
          <t>Personal ID Tests</t>
        </is>
      </c>
      <c r="C57" s="166" t="inlineStr">
        <is>
          <t>[TC_24] Confirm that user can take a photo by clicking take photo option</t>
        </is>
      </c>
      <c r="D57" s="166" t="inlineStr">
        <is>
          <t>🔴 Manual only</t>
        </is>
      </c>
      <c r="E57" s="166" t="inlineStr">
        <is>
          <t>Front camera auto-capture - hardware</t>
        </is>
      </c>
      <c r="F57" s="166" t="inlineStr">
        <is>
          <t>Pass 1 (mobile): MTP vs test suite</t>
        </is>
      </c>
    </row>
    <row r="58">
      <c r="A58" s="166" t="inlineStr">
        <is>
          <t>GAP-PID-23</t>
        </is>
      </c>
      <c r="B58" s="166" t="inlineStr">
        <is>
          <t>Personal ID Tests</t>
        </is>
      </c>
      <c r="C58" s="166" t="inlineStr">
        <is>
          <t>[TC_25] Confrm user can replace the photo they saved</t>
        </is>
      </c>
      <c r="D58" s="166" t="inlineStr">
        <is>
          <t>🔴 Manual only</t>
        </is>
      </c>
      <c r="E58" s="166" t="inlineStr">
        <is>
          <t>Camera photo replace - hardware</t>
        </is>
      </c>
      <c r="F58" s="166" t="inlineStr">
        <is>
          <t>Pass 1 (mobile): MTP vs test suite</t>
        </is>
      </c>
    </row>
    <row r="59">
      <c r="A59" s="166" t="inlineStr">
        <is>
          <t>GAP-PID-24</t>
        </is>
      </c>
      <c r="B59" s="166" t="inlineStr">
        <is>
          <t>Personal ID Tests</t>
        </is>
      </c>
      <c r="C59" s="166" t="inlineStr">
        <is>
          <t>[TC_26] Confirm user can save the picture and the account is created</t>
        </is>
      </c>
      <c r="D59" s="166" t="inlineStr">
        <is>
          <t>🔴 Manual only</t>
        </is>
      </c>
      <c r="E59" s="166" t="inlineStr">
        <is>
          <t>Camera photo save/account creation - hardware</t>
        </is>
      </c>
      <c r="F59" s="166" t="inlineStr">
        <is>
          <t>Pass 1 (mobile): MTP vs test suite</t>
        </is>
      </c>
    </row>
    <row r="60">
      <c r="A60" s="166" t="inlineStr">
        <is>
          <t>GAP-PID-25</t>
        </is>
      </c>
      <c r="B60" s="166" t="inlineStr">
        <is>
          <t>Personal ID Tests</t>
        </is>
      </c>
      <c r="C60" s="166" t="inlineStr">
        <is>
          <t>[TC_27] Verify user sees a pop-up on successful account creation</t>
        </is>
      </c>
      <c r="D60" s="166" t="inlineStr">
        <is>
          <t>🔴 Manual only</t>
        </is>
      </c>
      <c r="E60" s="166" t="inlineStr">
        <is>
          <t>Account-created popup after real photo save</t>
        </is>
      </c>
      <c r="F60" s="166" t="inlineStr">
        <is>
          <t>Pass 1 (mobile): MTP vs test suite</t>
        </is>
      </c>
    </row>
    <row r="61">
      <c r="A61" s="166" t="inlineStr">
        <is>
          <t>GAP-PID-26</t>
        </is>
      </c>
      <c r="B61" s="166" t="inlineStr">
        <is>
          <t>Personal ID Tests</t>
        </is>
      </c>
      <c r="C61" s="166" t="inlineStr">
        <is>
          <t>[TC_29] Confirm when user enters an existing phone number, on verifying the number they are taken to the "Enter Backup Code" screen</t>
        </is>
      </c>
      <c r="D61" s="166" t="inlineStr">
        <is>
          <t>🟡 Automatable - not yet done</t>
        </is>
      </c>
      <c r="E61" s="166" t="inlineStr">
        <is>
          <t>Mobile UI flow - no spec asserts this case</t>
        </is>
      </c>
      <c r="F61" s="166" t="inlineStr">
        <is>
          <t>Pass 1 (mobile): MTP vs test suite</t>
        </is>
      </c>
    </row>
    <row r="62">
      <c r="A62" s="166" t="inlineStr">
        <is>
          <t>GAP-PID-27</t>
        </is>
      </c>
      <c r="B62" s="166" t="inlineStr">
        <is>
          <t>Personal ID Tests</t>
        </is>
      </c>
      <c r="C62" s="166" t="inlineStr">
        <is>
          <t>[TC_30] Verify user see there name and photo associated with the account on the screen</t>
        </is>
      </c>
      <c r="D62" s="166" t="inlineStr">
        <is>
          <t>🟡 Automatable - not yet done</t>
        </is>
      </c>
      <c r="E62" s="166" t="inlineStr">
        <is>
          <t>Mobile UI flow - no spec asserts this case</t>
        </is>
      </c>
      <c r="F62" s="166" t="inlineStr">
        <is>
          <t>Pass 1 (mobile): MTP vs test suite</t>
        </is>
      </c>
    </row>
    <row r="63">
      <c r="A63" s="166" t="inlineStr">
        <is>
          <t>GAP-PID-28</t>
        </is>
      </c>
      <c r="B63" s="166" t="inlineStr">
        <is>
          <t>Personal ID Tests</t>
        </is>
      </c>
      <c r="C63" s="166" t="inlineStr">
        <is>
          <t>[TC_35] Confirm on devices that don't support fingerprint, user is uanble to sign up for Personal ID</t>
        </is>
      </c>
      <c r="D63" s="166" t="inlineStr">
        <is>
          <t>🔴 Manual only</t>
        </is>
      </c>
      <c r="E63" s="166" t="inlineStr">
        <is>
          <t>Device without fingerprint support - device state</t>
        </is>
      </c>
      <c r="F63" s="166" t="inlineStr">
        <is>
          <t>Pass 1 (mobile): MTP vs test suite</t>
        </is>
      </c>
    </row>
    <row r="64">
      <c r="A64" s="166" t="inlineStr">
        <is>
          <t>GAP-PID-29</t>
        </is>
      </c>
      <c r="B64" s="166" t="inlineStr">
        <is>
          <t>Personal ID Tests</t>
        </is>
      </c>
      <c r="C64" s="166" t="inlineStr">
        <is>
          <t>[TC_36] Verify on logging in on a CC app, user sees a 'Link to Personal ID' pop up</t>
        </is>
      </c>
      <c r="D64" s="166" t="inlineStr">
        <is>
          <t>🔴 Manual only</t>
        </is>
      </c>
      <c r="E64" s="166" t="inlineStr">
        <is>
          <t>Login-to-CC-app 'Link to PersonalID' pop up - separate app + real login</t>
        </is>
      </c>
      <c r="F64" s="166" t="inlineStr">
        <is>
          <t>Pass 1 (mobile): MTP vs test suite</t>
        </is>
      </c>
    </row>
    <row r="65">
      <c r="A65" s="166" t="inlineStr">
        <is>
          <t>GAP-PID-30</t>
        </is>
      </c>
      <c r="B65" s="166" t="inlineStr">
        <is>
          <t>Personal ID Tests</t>
        </is>
      </c>
      <c r="C65" s="166" t="inlineStr">
        <is>
          <t>[TC_38] Verify on selecting 'No' user is able to log into the CC app</t>
        </is>
      </c>
      <c r="D65" s="166" t="inlineStr">
        <is>
          <t>🟡 Automatable - not yet done</t>
        </is>
      </c>
      <c r="E65" s="166" t="inlineStr">
        <is>
          <t>Mobile UI flow - no spec asserts this case</t>
        </is>
      </c>
      <c r="F65" s="166" t="inlineStr">
        <is>
          <t>Pass 1 (mobile): MTP vs test suite</t>
        </is>
      </c>
    </row>
    <row r="66">
      <c r="A66" s="166" t="inlineStr">
        <is>
          <t>GAP-PID-31</t>
        </is>
      </c>
      <c r="B66" s="166" t="inlineStr">
        <is>
          <t>Personal ID Tests</t>
        </is>
      </c>
      <c r="C66" s="166" t="inlineStr">
        <is>
          <t>[TC_39] Confirm the MW is now linked with the PersonalID when user clicks on 'Yes' on the pop-up</t>
        </is>
      </c>
      <c r="D66" s="166" t="inlineStr">
        <is>
          <t>🟡 Automatable - not yet done</t>
        </is>
      </c>
      <c r="E66" s="166" t="inlineStr">
        <is>
          <t>Mobile UI flow - no spec asserts this case</t>
        </is>
      </c>
      <c r="F66" s="166" t="inlineStr">
        <is>
          <t>Pass 1 (mobile): MTP vs test suite</t>
        </is>
      </c>
    </row>
    <row r="67">
      <c r="A67" s="166" t="inlineStr">
        <is>
          <t>GAP-PID-32</t>
        </is>
      </c>
      <c r="B67" s="166" t="inlineStr">
        <is>
          <t>Personal ID Tests</t>
        </is>
      </c>
      <c r="C67" s="166" t="inlineStr">
        <is>
          <t>[TC_40] Verify user can also login on the CC app by entering password</t>
        </is>
      </c>
      <c r="D67" s="166" t="inlineStr">
        <is>
          <t>🟡 Automatable - not yet done</t>
        </is>
      </c>
      <c r="E67" s="166" t="inlineStr">
        <is>
          <t>Mobile UI flow - no spec asserts this case</t>
        </is>
      </c>
      <c r="F67" s="166" t="inlineStr">
        <is>
          <t>Pass 1 (mobile): MTP vs test suite</t>
        </is>
      </c>
    </row>
    <row r="68">
      <c r="A68" s="166" t="inlineStr">
        <is>
          <t>GAP-PID-33</t>
        </is>
      </c>
      <c r="B68" s="166" t="inlineStr">
        <is>
          <t>Personal ID Tests</t>
        </is>
      </c>
      <c r="C68" s="166" t="inlineStr">
        <is>
          <t>[TC_41] Verify if user selects 'Yes' on the Unlink PersonalID pop-up, MW unlinks</t>
        </is>
      </c>
      <c r="D68" s="166" t="inlineStr">
        <is>
          <t>🟡 Automatable - not yet done</t>
        </is>
      </c>
      <c r="E68" s="166" t="inlineStr">
        <is>
          <t>Mobile UI flow - no spec asserts this case</t>
        </is>
      </c>
      <c r="F68" s="166" t="inlineStr">
        <is>
          <t>Pass 1 (mobile): MTP vs test suite</t>
        </is>
      </c>
    </row>
    <row r="69">
      <c r="A69" s="166" t="inlineStr">
        <is>
          <t>GAP-PID-34</t>
        </is>
      </c>
      <c r="B69" s="166" t="inlineStr">
        <is>
          <t>Personal ID Tests</t>
        </is>
      </c>
      <c r="C69" s="166" t="inlineStr">
        <is>
          <t>[TC_42] Confirm on selecting 'No'on the unlinl PersonalID option, MW remains linked to the PersonalID</t>
        </is>
      </c>
      <c r="D69" s="166" t="inlineStr">
        <is>
          <t>🟡 Automatable - not yet done</t>
        </is>
      </c>
      <c r="E69" s="166" t="inlineStr">
        <is>
          <t>Mobile UI flow - no spec asserts this case</t>
        </is>
      </c>
      <c r="F69" s="166" t="inlineStr">
        <is>
          <t>Pass 1 (mobile): MTP vs test suite</t>
        </is>
      </c>
    </row>
    <row r="70">
      <c r="A70" s="166" t="inlineStr">
        <is>
          <t>GAP-PID-35</t>
        </is>
      </c>
      <c r="B70" s="166" t="inlineStr">
        <is>
          <t>Personal ID Tests</t>
        </is>
      </c>
      <c r="C70" s="166" t="inlineStr">
        <is>
          <t>[TC_43] Confirm we see a new column "Personal ID"on mobile workers page on HQ</t>
        </is>
      </c>
      <c r="D70" s="166" t="inlineStr">
        <is>
          <t>🟡 Automatable - not yet done</t>
        </is>
      </c>
      <c r="E70" s="166" t="inlineStr">
        <is>
          <t>Mobile UI flow - no spec asserts this case</t>
        </is>
      </c>
      <c r="F70" s="166" t="inlineStr">
        <is>
          <t>Pass 1 (mobile): MTP vs test suite</t>
        </is>
      </c>
    </row>
    <row r="71">
      <c r="A71" s="166" t="inlineStr">
        <is>
          <t>GAP-PID-36</t>
        </is>
      </c>
      <c r="B71" s="166" t="inlineStr">
        <is>
          <t>Personal ID Tests</t>
        </is>
      </c>
      <c r="C71" s="166" t="inlineStr">
        <is>
          <t>[TC_44] Confirm when a MW is linked to Personal ID, 'Unlink PersonalID' button is present for Active column</t>
        </is>
      </c>
      <c r="D71" s="166" t="inlineStr">
        <is>
          <t>🟡 Automatable - not yet done</t>
        </is>
      </c>
      <c r="E71" s="166" t="inlineStr">
        <is>
          <t>Mobile UI flow - no spec asserts this case</t>
        </is>
      </c>
      <c r="F71" s="166" t="inlineStr">
        <is>
          <t>Pass 1 (mobile): MTP vs test suite</t>
        </is>
      </c>
    </row>
    <row r="72">
      <c r="A72" s="166" t="inlineStr">
        <is>
          <t>GAP-PID-37</t>
        </is>
      </c>
      <c r="B72" s="166" t="inlineStr">
        <is>
          <t>Personal ID Tests</t>
        </is>
      </c>
      <c r="C72" s="166" t="inlineStr">
        <is>
          <t>[TC_45] Verify on clicking on "Unlink PersonalID" button, user can unlink the MW with PersonalID</t>
        </is>
      </c>
      <c r="D72" s="166" t="inlineStr">
        <is>
          <t>🟡 Automatable - not yet done</t>
        </is>
      </c>
      <c r="E72" s="166" t="inlineStr">
        <is>
          <t>Mobile UI flow - no spec asserts this case</t>
        </is>
      </c>
      <c r="F72" s="166" t="inlineStr">
        <is>
          <t>Pass 1 (mobile): MTP vs test suite</t>
        </is>
      </c>
    </row>
    <row r="73">
      <c r="A73" s="166" t="inlineStr">
        <is>
          <t>GAP-PID-38</t>
        </is>
      </c>
      <c r="B73" s="166" t="inlineStr">
        <is>
          <t>Personal ID Tests</t>
        </is>
      </c>
      <c r="C73" s="166" t="inlineStr">
        <is>
          <t>[TC_46] Confrim on selecting the Unlink option, MW is not linked to the PersonalID anymore</t>
        </is>
      </c>
      <c r="D73" s="166" t="inlineStr">
        <is>
          <t>🟡 Automatable - not yet done</t>
        </is>
      </c>
      <c r="E73" s="166" t="inlineStr">
        <is>
          <t>Mobile UI flow - no spec asserts this case</t>
        </is>
      </c>
      <c r="F73" s="166" t="inlineStr">
        <is>
          <t>Pass 1 (mobile): MTP vs test suite</t>
        </is>
      </c>
    </row>
    <row r="74">
      <c r="A74" s="166" t="inlineStr">
        <is>
          <t>GAP-PID-39</t>
        </is>
      </c>
      <c r="B74" s="166" t="inlineStr">
        <is>
          <t>Personal ID Tests</t>
        </is>
      </c>
      <c r="C74" s="166" t="inlineStr">
        <is>
          <t>[TC_47] Confirm user sees "Go to Connect Menu" when they have signed up for PersonalID</t>
        </is>
      </c>
      <c r="D74" s="166" t="inlineStr">
        <is>
          <t>🔴 Manual only</t>
        </is>
      </c>
      <c r="E74" s="166" t="inlineStr">
        <is>
          <t>Beta vs Mainline release build difference - build-dependent</t>
        </is>
      </c>
      <c r="F74" s="166" t="inlineStr">
        <is>
          <t>Pass 1 (mobile): MTP vs test suite</t>
        </is>
      </c>
    </row>
    <row r="75">
      <c r="A75" s="166" t="inlineStr">
        <is>
          <t>GAP-INT-01</t>
        </is>
      </c>
      <c r="B75" s="166" t="inlineStr">
        <is>
          <t>Integration Tests (Connect)</t>
        </is>
      </c>
      <c r="C75" s="166" t="inlineStr">
        <is>
          <t>[TC_02] Verify if there are no apps installed on the device, the CommCare apps option is greyed out</t>
        </is>
      </c>
      <c r="D75" s="166" t="inlineStr">
        <is>
          <t>🟡 Automatable - not yet done</t>
        </is>
      </c>
      <c r="E75" s="166" t="inlineStr">
        <is>
          <t>Mobile UI flow - no spec asserts this case</t>
        </is>
      </c>
      <c r="F75" s="166" t="inlineStr">
        <is>
          <t>Pass 1 (mobile): MTP vs test suite</t>
        </is>
      </c>
    </row>
    <row r="76">
      <c r="A76" s="166" t="inlineStr">
        <is>
          <t>GAP-INT-02</t>
        </is>
      </c>
      <c r="B76" s="166" t="inlineStr">
        <is>
          <t>Integration Tests (Connect)</t>
        </is>
      </c>
      <c r="C76" s="166" t="inlineStr">
        <is>
          <t>[TC_03] Verify on signing up with a new PersonalID user we don't see any options in the side drawer menu</t>
        </is>
      </c>
      <c r="D76" s="166" t="inlineStr">
        <is>
          <t>🟡 Automatable - not yet done</t>
        </is>
      </c>
      <c r="E76" s="166" t="inlineStr">
        <is>
          <t>Mobile UI flow - no spec asserts this case</t>
        </is>
      </c>
      <c r="F76" s="166" t="inlineStr">
        <is>
          <t>Pass 1 (mobile): MTP vs test suite</t>
        </is>
      </c>
    </row>
    <row r="77">
      <c r="A77" s="166" t="inlineStr">
        <is>
          <t>GAP-INT-03</t>
        </is>
      </c>
      <c r="B77" s="166" t="inlineStr">
        <is>
          <t>Integration Tests (Connect)</t>
        </is>
      </c>
      <c r="C77" s="166" t="inlineStr">
        <is>
          <t>[TC_04] Confirm we see the messaging channels only when the channel exists</t>
        </is>
      </c>
      <c r="D77" s="166" t="inlineStr">
        <is>
          <t>🟡 Automatable - not yet done</t>
        </is>
      </c>
      <c r="E77" s="166" t="inlineStr">
        <is>
          <t>Mobile UI flow - no spec asserts this case</t>
        </is>
      </c>
      <c r="F77" s="166" t="inlineStr">
        <is>
          <t>Pass 1 (mobile): MTP vs test suite</t>
        </is>
      </c>
    </row>
    <row r="78">
      <c r="A78" s="166" t="inlineStr">
        <is>
          <t>GAP-INT-04</t>
        </is>
      </c>
      <c r="B78" s="166" t="inlineStr">
        <is>
          <t>Integration Tests (Connect)</t>
        </is>
      </c>
      <c r="C78" s="166" t="inlineStr">
        <is>
          <t>[TC_05] Verify that the new user sees "Go to Connect" button on clicking the 'Refresh Opportunity" option</t>
        </is>
      </c>
      <c r="D78" s="166" t="inlineStr">
        <is>
          <t>🟡 Automatable - not yet done</t>
        </is>
      </c>
      <c r="E78" s="166" t="inlineStr">
        <is>
          <t>Mobile UI flow - no spec asserts this case</t>
        </is>
      </c>
      <c r="F78" s="166" t="inlineStr">
        <is>
          <t>Pass 1 (mobile): MTP vs test suite</t>
        </is>
      </c>
    </row>
    <row r="79">
      <c r="A79" s="166" t="inlineStr">
        <is>
          <t>GAP-INT-05</t>
        </is>
      </c>
      <c r="B79" s="166" t="inlineStr">
        <is>
          <t>Integration Tests (Connect)</t>
        </is>
      </c>
      <c r="C79" s="166" t="inlineStr">
        <is>
          <t>[TC_06] Verify user sees all the installed apps under CommCare Apps section</t>
        </is>
      </c>
      <c r="D79" s="166" t="inlineStr">
        <is>
          <t>🟡 Automatable - not yet done</t>
        </is>
      </c>
      <c r="E79" s="166" t="inlineStr">
        <is>
          <t>Mobile UI flow - no spec asserts this case</t>
        </is>
      </c>
      <c r="F79" s="166" t="inlineStr">
        <is>
          <t>Pass 1 (mobile): MTP vs test suite</t>
        </is>
      </c>
    </row>
    <row r="80">
      <c r="A80" s="166" t="inlineStr">
        <is>
          <t>GAP-INT-06</t>
        </is>
      </c>
      <c r="B80" s="166" t="inlineStr">
        <is>
          <t>Integration Tests (Connect)</t>
        </is>
      </c>
      <c r="C80" s="166" t="inlineStr">
        <is>
          <t>[TC_07] Confirm user sees there name and picture on the side nav menu</t>
        </is>
      </c>
      <c r="D80" s="166" t="inlineStr">
        <is>
          <t>🟡 Automatable - not yet done</t>
        </is>
      </c>
      <c r="E80" s="166" t="inlineStr">
        <is>
          <t>Mobile UI flow - no spec asserts this case</t>
        </is>
      </c>
      <c r="F80" s="166" t="inlineStr">
        <is>
          <t>Pass 1 (mobile): MTP vs test suite</t>
        </is>
      </c>
    </row>
    <row r="81">
      <c r="A81" s="166" t="inlineStr">
        <is>
          <t>GAP-INT-07</t>
        </is>
      </c>
      <c r="B81" s="166" t="inlineStr">
        <is>
          <t>Integration Tests (Connect)</t>
        </is>
      </c>
      <c r="C81" s="166" t="inlineStr">
        <is>
          <t>[TC_09] Confirm on receiving a message, we see a red dot on the messaging option</t>
        </is>
      </c>
      <c r="D81" s="166" t="inlineStr">
        <is>
          <t>🟡 Automatable - not yet done</t>
        </is>
      </c>
      <c r="E81" s="166" t="inlineStr">
        <is>
          <t>Mobile UI flow - no spec asserts this case</t>
        </is>
      </c>
      <c r="F81" s="166" t="inlineStr">
        <is>
          <t>Pass 1 (mobile): MTP vs test suite</t>
        </is>
      </c>
    </row>
    <row r="82">
      <c r="A82" s="166" t="inlineStr">
        <is>
          <t>GAP-INT-08</t>
        </is>
      </c>
      <c r="B82" s="166" t="inlineStr">
        <is>
          <t>Integration Tests (Connect)</t>
        </is>
      </c>
      <c r="C82" s="166" t="inlineStr">
        <is>
          <t>[TC_11] Confirm that the hamburger menu is visible on the screen even after user has signed out of PersonalID</t>
        </is>
      </c>
      <c r="D82" s="166" t="inlineStr">
        <is>
          <t>🟡 Automatable - not yet done</t>
        </is>
      </c>
      <c r="E82" s="166" t="inlineStr">
        <is>
          <t>Mobile UI flow - no spec asserts this case</t>
        </is>
      </c>
      <c r="F82" s="166" t="inlineStr">
        <is>
          <t>Pass 1 (mobile): MTP vs test suite</t>
        </is>
      </c>
    </row>
    <row r="83">
      <c r="A83" s="166" t="inlineStr">
        <is>
          <t>GAP-INT-09</t>
        </is>
      </c>
      <c r="B83" s="166" t="inlineStr">
        <is>
          <t>Integration Tests (Connect)</t>
        </is>
      </c>
      <c r="C83" s="166" t="inlineStr">
        <is>
          <t>[TC_12] When a new PersonalID user sign up, they should not see the connect options</t>
        </is>
      </c>
      <c r="D83" s="166" t="inlineStr">
        <is>
          <t>🟡 Automatable - not yet done</t>
        </is>
      </c>
      <c r="E83" s="166" t="inlineStr">
        <is>
          <t>Mobile UI flow - no spec asserts this case</t>
        </is>
      </c>
      <c r="F83" s="166" t="inlineStr">
        <is>
          <t>Pass 1 (mobile): MTP vs test suite</t>
        </is>
      </c>
    </row>
    <row r="84">
      <c r="A84" s="166" t="inlineStr">
        <is>
          <t>GAP-INT-10</t>
        </is>
      </c>
      <c r="B84" s="166" t="inlineStr">
        <is>
          <t>Integration Tests (Connect)</t>
        </is>
      </c>
      <c r="C84" s="166" t="inlineStr">
        <is>
          <t>[TC_13] Verify user sees the connect options on clicking "Referesh Opportuntiy" button</t>
        </is>
      </c>
      <c r="D84" s="166" t="inlineStr">
        <is>
          <t>🟡 Automatable - not yet done</t>
        </is>
      </c>
      <c r="E84" s="166" t="inlineStr">
        <is>
          <t>Mobile UI flow - no spec asserts this case</t>
        </is>
      </c>
      <c r="F84" s="166" t="inlineStr">
        <is>
          <t>Pass 1 (mobile): MTP vs test suite</t>
        </is>
      </c>
    </row>
    <row r="85">
      <c r="A85" s="166" t="inlineStr">
        <is>
          <t>GAP-INT-11</t>
        </is>
      </c>
      <c r="B85" s="166" t="inlineStr">
        <is>
          <t>Integration Tests (Connect)</t>
        </is>
      </c>
      <c r="C85" s="166" t="inlineStr">
        <is>
          <t>[TC_14] Verify if user is not invited to an opportunity, on clicking the Refresh opportuntiy button, user isn't able to see any connect option</t>
        </is>
      </c>
      <c r="D85" s="166" t="inlineStr">
        <is>
          <t>🟡 Automatable - not yet done</t>
        </is>
      </c>
      <c r="E85" s="166" t="inlineStr">
        <is>
          <t>Mobile UI flow - no spec asserts this case</t>
        </is>
      </c>
      <c r="F85" s="166" t="inlineStr">
        <is>
          <t>Pass 1 (mobile): MTP vs test suite</t>
        </is>
      </c>
    </row>
    <row r="86">
      <c r="A86" s="166" t="inlineStr">
        <is>
          <t>GAP-INT-12</t>
        </is>
      </c>
      <c r="B86" s="166" t="inlineStr">
        <is>
          <t>Integration Tests (Connect)</t>
        </is>
      </c>
      <c r="C86" s="166" t="inlineStr">
        <is>
          <t>[TC_15] Verify user sees the connect options visible to them on receiving the push notification for the invite</t>
        </is>
      </c>
      <c r="D86" s="166" t="inlineStr">
        <is>
          <t>🔴 Manual only</t>
        </is>
      </c>
      <c r="E86" s="166" t="inlineStr">
        <is>
          <t>Push notification for invite - real FCM round-trip</t>
        </is>
      </c>
      <c r="F86" s="166" t="inlineStr">
        <is>
          <t>Pass 1 (mobile): MTP vs test suite</t>
        </is>
      </c>
    </row>
    <row r="87">
      <c r="A87" s="166" t="inlineStr">
        <is>
          <t>GAP-INT-13</t>
        </is>
      </c>
      <c r="B87" s="166" t="inlineStr">
        <is>
          <t>Integration Tests (Connect)</t>
        </is>
      </c>
      <c r="C87" s="166" t="inlineStr">
        <is>
          <t>[TC_16] Confirm for a pre-invited user, connect options are visible on sign up</t>
        </is>
      </c>
      <c r="D87" s="166" t="inlineStr">
        <is>
          <t>🟡 Automatable - not yet done</t>
        </is>
      </c>
      <c r="E87" s="166" t="inlineStr">
        <is>
          <t>Mobile UI flow - no spec asserts this case</t>
        </is>
      </c>
      <c r="F87" s="166" t="inlineStr">
        <is>
          <t>Pass 1 (mobile): MTP vs test suite</t>
        </is>
      </c>
    </row>
    <row r="88">
      <c r="A88" s="166" t="inlineStr">
        <is>
          <t>GAP-INT-14</t>
        </is>
      </c>
      <c r="B88" s="166" t="inlineStr">
        <is>
          <t>Integration Tests (Connect)</t>
        </is>
      </c>
      <c r="C88" s="166" t="inlineStr">
        <is>
          <t>[TC_18] Confirm user receivies a text invite message when they are added to the opportunity</t>
        </is>
      </c>
      <c r="D88" s="166" t="inlineStr">
        <is>
          <t>🔴 Manual only</t>
        </is>
      </c>
      <c r="E88" s="166" t="inlineStr">
        <is>
          <t>Text invite delivery over SMS</t>
        </is>
      </c>
      <c r="F88" s="166" t="inlineStr">
        <is>
          <t>Pass 1 (mobile): MTP vs test suite</t>
        </is>
      </c>
    </row>
    <row r="89">
      <c r="A89" s="166" t="inlineStr">
        <is>
          <t>GAP-INT-15</t>
        </is>
      </c>
      <c r="B89" s="166" t="inlineStr">
        <is>
          <t>Integration Tests (Connect)</t>
        </is>
      </c>
      <c r="C89" s="166" t="inlineStr">
        <is>
          <t>[TC_19] Verify the user status is updated once the user has accepted to share the information with the project by clicking the link in the text message</t>
        </is>
      </c>
      <c r="D89" s="166" t="inlineStr">
        <is>
          <t>🟡 Automatable - not yet done</t>
        </is>
      </c>
      <c r="E89" s="166" t="inlineStr">
        <is>
          <t>Mobile UI flow - no spec asserts this case</t>
        </is>
      </c>
      <c r="F89" s="166" t="inlineStr">
        <is>
          <t>Pass 1 (mobile): MTP vs test suite</t>
        </is>
      </c>
    </row>
    <row r="90">
      <c r="A90" s="166" t="inlineStr">
        <is>
          <t>GAP-INT-16</t>
        </is>
      </c>
      <c r="B90" s="166" t="inlineStr">
        <is>
          <t>Integration Tests (Connect)</t>
        </is>
      </c>
      <c r="C90" s="166" t="inlineStr">
        <is>
          <t>[TC_25] Confirm on completing all the learn modules, user sees a Training Pending messgae on the Learn Progress screen</t>
        </is>
      </c>
      <c r="D90" s="166" t="inlineStr">
        <is>
          <t>🟡 Automatable - not yet done</t>
        </is>
      </c>
      <c r="E90" s="166" t="inlineStr">
        <is>
          <t>Mobile UI flow - no spec asserts this case</t>
        </is>
      </c>
      <c r="F90" s="166" t="inlineStr">
        <is>
          <t>Pass 1 (mobile): MTP vs test suite</t>
        </is>
      </c>
    </row>
    <row r="91">
      <c r="A91" s="166" t="inlineStr">
        <is>
          <t>GAP-INT-17</t>
        </is>
      </c>
      <c r="B91" s="166" t="inlineStr">
        <is>
          <t>Integration Tests (Connect)</t>
        </is>
      </c>
      <c r="C91" s="166" t="inlineStr">
        <is>
          <t>[TC_31] Verify that user can see a payment record under payment tab</t>
        </is>
      </c>
      <c r="D91" s="166" t="inlineStr">
        <is>
          <t>🟡 Automatable - not yet done</t>
        </is>
      </c>
      <c r="E91" s="166" t="inlineStr">
        <is>
          <t>Mobile UI flow - no spec asserts this case</t>
        </is>
      </c>
      <c r="F91" s="166" t="inlineStr">
        <is>
          <t>Pass 1 (mobile): MTP vs test suite</t>
        </is>
      </c>
    </row>
    <row r="92">
      <c r="A92" s="166" t="inlineStr">
        <is>
          <t>GAP-INT-18</t>
        </is>
      </c>
      <c r="B92" s="166" t="inlineStr">
        <is>
          <t>Integration Tests (Connect)</t>
        </is>
      </c>
      <c r="C92" s="166" t="inlineStr">
        <is>
          <t>[TC_33] Confirm user can continue the delivery progress on a new device by recovering their account</t>
        </is>
      </c>
      <c r="D92" s="166" t="inlineStr">
        <is>
          <t>🔴 Manual only</t>
        </is>
      </c>
      <c r="E92" s="166" t="inlineStr">
        <is>
          <t>Account recovery on a second physical device</t>
        </is>
      </c>
      <c r="F92" s="166" t="inlineStr">
        <is>
          <t>Pass 1 (mobile): MTP vs test suite</t>
        </is>
      </c>
    </row>
    <row r="93">
      <c r="A93" s="166" t="inlineStr">
        <is>
          <t>GAP-INT-19</t>
        </is>
      </c>
      <c r="B93" s="166" t="inlineStr">
        <is>
          <t>Integration Tests (Connect)</t>
        </is>
      </c>
      <c r="C93" s="166" t="inlineStr">
        <is>
          <t>[TC_34] Check if user uninstalls the Learn/Deliver App, would they be able to re-install the Learn/Deliver Apps by clicking on resume button</t>
        </is>
      </c>
      <c r="D93" s="166" t="inlineStr">
        <is>
          <t>🟡 Automatable - not yet done</t>
        </is>
      </c>
      <c r="E93" s="166" t="inlineStr">
        <is>
          <t>Mobile UI flow - no spec asserts this case</t>
        </is>
      </c>
      <c r="F93" s="166" t="inlineStr">
        <is>
          <t>Pass 1 (mobile): MTP vs test suite</t>
        </is>
      </c>
    </row>
    <row r="94">
      <c r="A94" s="166" t="inlineStr">
        <is>
          <t>GAP-INT-20</t>
        </is>
      </c>
      <c r="B94" s="166" t="inlineStr">
        <is>
          <t>Integration Tests (Connect)</t>
        </is>
      </c>
      <c r="C94" s="166" t="inlineStr">
        <is>
          <t>[TC_35] Verify the submission of same form doesn't increase the daily visit progress</t>
        </is>
      </c>
      <c r="D94" s="166" t="inlineStr">
        <is>
          <t>🟡 Automatable - not yet done</t>
        </is>
      </c>
      <c r="E94" s="166" t="inlineStr">
        <is>
          <t>Mobile UI flow - no spec asserts this case</t>
        </is>
      </c>
      <c r="F94" s="166" t="inlineStr">
        <is>
          <t>Pass 1 (mobile): MTP vs test suite</t>
        </is>
      </c>
    </row>
    <row r="95">
      <c r="A95" s="166" t="inlineStr">
        <is>
          <t>GAP-INT-21</t>
        </is>
      </c>
      <c r="B95" s="166" t="inlineStr">
        <is>
          <t>Integration Tests (Connect)</t>
        </is>
      </c>
      <c r="C95" s="166" t="inlineStr">
        <is>
          <t>[TC_36] Clicking on Opportunity invite Push Notification should take user to the Opportunity details page</t>
        </is>
      </c>
      <c r="D95" s="166" t="inlineStr">
        <is>
          <t>🔴 Manual only</t>
        </is>
      </c>
      <c r="E95" s="166" t="inlineStr">
        <is>
          <t>Opportunity invite push notification tap - real FCM</t>
        </is>
      </c>
      <c r="F95" s="166" t="inlineStr">
        <is>
          <t>Pass 1 (mobile): MTP vs test suite</t>
        </is>
      </c>
    </row>
    <row r="96">
      <c r="A96" s="166" t="inlineStr">
        <is>
          <t>GAP-INT-22</t>
        </is>
      </c>
      <c r="B96" s="166" t="inlineStr">
        <is>
          <t>Integration Tests (Connect)</t>
        </is>
      </c>
      <c r="C96" s="166" t="inlineStr">
        <is>
          <t>[TC_37] Verify on completion of the download oflearn app user should be automatically taken to the app, to start learning</t>
        </is>
      </c>
      <c r="D96" s="166" t="inlineStr">
        <is>
          <t>🟡 Automatable - not yet done</t>
        </is>
      </c>
      <c r="E96" s="166" t="inlineStr">
        <is>
          <t>Mobile UI flow - no spec asserts this case</t>
        </is>
      </c>
      <c r="F96" s="166" t="inlineStr">
        <is>
          <t>Pass 1 (mobile): MTP vs test suite</t>
        </is>
      </c>
    </row>
    <row r="97">
      <c r="A97" s="166" t="inlineStr">
        <is>
          <t>GAP-INT-23</t>
        </is>
      </c>
      <c r="B97" s="166" t="inlineStr">
        <is>
          <t>Integration Tests (Connect)</t>
        </is>
      </c>
      <c r="C97" s="166" t="inlineStr">
        <is>
          <t>[TC_38] If I have not come back and taken a lesson for the past 3 days, I should receive a push notification nudging me to complete the learning. The push notification should link me directly into the Learn app for that Opportunity</t>
        </is>
      </c>
      <c r="D97" s="166" t="inlineStr">
        <is>
          <t>🔴 Manual only</t>
        </is>
      </c>
      <c r="E97" s="166" t="inlineStr">
        <is>
          <t>3-day inactivity nudge push - time-dependent + FCM</t>
        </is>
      </c>
      <c r="F97" s="166" t="inlineStr">
        <is>
          <t>Pass 1 (mobile): MTP vs test suite</t>
        </is>
      </c>
    </row>
    <row r="98">
      <c r="A98" s="166" t="inlineStr">
        <is>
          <t>GAP-INT-24</t>
        </is>
      </c>
      <c r="B98" s="166" t="inlineStr">
        <is>
          <t>Integration Tests (Connect)</t>
        </is>
      </c>
      <c r="C98" s="166" t="inlineStr">
        <is>
          <t>[TC_39] If the last date has already been reached, the button on the Review Delivery Details screen should be grayed out and the text above it should read: “The last date for the project is over. You will be notified if the opportunity opens up again’</t>
        </is>
      </c>
      <c r="D98" s="166" t="inlineStr">
        <is>
          <t>🟡 Automatable - not yet done</t>
        </is>
      </c>
      <c r="E98" s="166" t="inlineStr">
        <is>
          <t>Mobile UI flow - no spec asserts this case</t>
        </is>
      </c>
      <c r="F98" s="166" t="inlineStr">
        <is>
          <t>Pass 1 (mobile): MTP vs test suite</t>
        </is>
      </c>
    </row>
    <row r="99">
      <c r="A99" s="166" t="inlineStr">
        <is>
          <t>GAP-INT-25</t>
        </is>
      </c>
      <c r="B99" s="166" t="inlineStr">
        <is>
          <t>Integration Tests (Connect)</t>
        </is>
      </c>
      <c r="C99" s="166" t="inlineStr">
        <is>
          <t>[TC_40] If user do not make a visit for 2 days, they should be sent a push notification nudging me to continue the visits.The push notification should link the user directly into the Deliver app for that Opportunity</t>
        </is>
      </c>
      <c r="D99" s="166" t="inlineStr">
        <is>
          <t>🔴 Manual only</t>
        </is>
      </c>
      <c r="E99" s="166" t="inlineStr">
        <is>
          <t>2-day no-visit nudge push - time-dependent + FCM</t>
        </is>
      </c>
      <c r="F99" s="166" t="inlineStr">
        <is>
          <t>Pass 1 (mobile): MTP vs test suite</t>
        </is>
      </c>
    </row>
    <row r="100">
      <c r="A100" s="166" t="inlineStr">
        <is>
          <t>GAP-INT-26</t>
        </is>
      </c>
      <c r="B100" s="166" t="inlineStr">
        <is>
          <t>Integration Tests (Connect)</t>
        </is>
      </c>
      <c r="C100" s="166" t="inlineStr">
        <is>
          <t>[TC_41] Visits may also be disqualified and not counted if the service was not delivered as seen through a calculated field within the form. Refer to the ‘Payable unit of work’ section in the</t>
        </is>
      </c>
      <c r="D100" s="166" t="inlineStr">
        <is>
          <t>🟡 Automatable - not yet done</t>
        </is>
      </c>
      <c r="E100" s="166" t="inlineStr">
        <is>
          <t>Mobile UI flow - no spec asserts this case</t>
        </is>
      </c>
      <c r="F100" s="166" t="inlineStr">
        <is>
          <t>Pass 1 (mobile): MTP vs test suite</t>
        </is>
      </c>
    </row>
    <row r="101">
      <c r="A101" s="166" t="inlineStr">
        <is>
          <t>GAP-INT-27</t>
        </is>
      </c>
      <c r="B101" s="166" t="inlineStr">
        <is>
          <t>Integration Tests (Connect)</t>
        </is>
      </c>
      <c r="C101" s="166" t="inlineStr">
        <is>
          <t>[TC_42] User should receive a push notification when a new payment transaction has been uploaded that should link to the payment transaction screen</t>
        </is>
      </c>
      <c r="D101" s="166" t="inlineStr">
        <is>
          <t>🔴 Manual only</t>
        </is>
      </c>
      <c r="E101" s="166" t="inlineStr">
        <is>
          <t>Payment push notification - real FCM round-trip</t>
        </is>
      </c>
      <c r="F101" s="166" t="inlineStr">
        <is>
          <t>Pass 1 (mobile): MTP vs test suite</t>
        </is>
      </c>
    </row>
    <row r="102">
      <c r="A102" s="166" t="inlineStr">
        <is>
          <t>GAP-INT-28</t>
        </is>
      </c>
      <c r="B102" s="166" t="inlineStr">
        <is>
          <t>Integration Tests (Connect)</t>
        </is>
      </c>
      <c r="C102" s="166" t="inlineStr">
        <is>
          <t>[TC_47] Verify when user clicks on the task assigned  notification from notification history page lands on the delivery app home page</t>
        </is>
      </c>
      <c r="D102" s="166" t="inlineStr">
        <is>
          <t>🔴 Manual only</t>
        </is>
      </c>
      <c r="E102" s="166" t="inlineStr">
        <is>
          <t>Task-assigned push tap - real FCM</t>
        </is>
      </c>
      <c r="F102" s="166" t="inlineStr">
        <is>
          <t>Pass 1 (mobile): MTP vs test suite</t>
        </is>
      </c>
    </row>
    <row r="103">
      <c r="A103" s="166" t="inlineStr">
        <is>
          <t>GAP-INT-29</t>
        </is>
      </c>
      <c r="B103" s="166" t="inlineStr">
        <is>
          <t>Integration Tests (Connect)</t>
        </is>
      </c>
      <c r="C103" s="166" t="inlineStr">
        <is>
          <t>[TC_48] Verify user lands on the connect app home page by clicking on the notification if delivery app is not installed</t>
        </is>
      </c>
      <c r="D103" s="166" t="inlineStr">
        <is>
          <t>🔴 Manual only</t>
        </is>
      </c>
      <c r="E103" s="166" t="inlineStr">
        <is>
          <t>Push tap with delivery app absent - real FCM + app state</t>
        </is>
      </c>
      <c r="F103" s="166" t="inlineStr">
        <is>
          <t>Pass 1 (mobile): MTP vs test suite</t>
        </is>
      </c>
    </row>
    <row r="104">
      <c r="A104" s="166" t="inlineStr">
        <is>
          <t>GAP-INT-30</t>
        </is>
      </c>
      <c r="B104" s="166" t="inlineStr">
        <is>
          <t>Integration Tests (Connect)</t>
        </is>
      </c>
      <c r="C104" s="166" t="inlineStr">
        <is>
          <t>[TC_49] Verify user sees the pending tasks message on the opp card</t>
        </is>
      </c>
      <c r="D104" s="166" t="inlineStr">
        <is>
          <t>🟡 Automatable - not yet done</t>
        </is>
      </c>
      <c r="E104" s="166" t="inlineStr">
        <is>
          <t>Mobile UI flow - no spec asserts this case</t>
        </is>
      </c>
      <c r="F104" s="166" t="inlineStr">
        <is>
          <t>Pass 1 (mobile): MTP vs test suite</t>
        </is>
      </c>
    </row>
    <row r="105">
      <c r="A105" s="166" t="inlineStr">
        <is>
          <t>GAP-INT-31</t>
        </is>
      </c>
      <c r="B105" s="166" t="inlineStr">
        <is>
          <t>Integration Tests (Connect)</t>
        </is>
      </c>
      <c r="C105" s="166" t="inlineStr">
        <is>
          <t>[TC_50] Verify user sees the all required tasks are completed message when completes the relearn tasks</t>
        </is>
      </c>
      <c r="D105" s="166" t="inlineStr">
        <is>
          <t>🟡 Automatable - not yet done</t>
        </is>
      </c>
      <c r="E105" s="166" t="inlineStr">
        <is>
          <t>Mobile UI flow - no spec asserts this case</t>
        </is>
      </c>
      <c r="F105" s="166" t="inlineStr">
        <is>
          <t>Pass 1 (mobile): MTP vs test suite</t>
        </is>
      </c>
    </row>
    <row r="106">
      <c r="A106" s="166" t="inlineStr">
        <is>
          <t>GAP-INT-32</t>
        </is>
      </c>
      <c r="B106" s="166" t="inlineStr">
        <is>
          <t>Integration Tests (Connect)</t>
        </is>
      </c>
      <c r="C106" s="166" t="inlineStr">
        <is>
          <t>[TC_51] Verify when user clicks on the work area assigned push notification lands on the delivery app home page</t>
        </is>
      </c>
      <c r="D106" s="166" t="inlineStr">
        <is>
          <t>🔴 Manual only</t>
        </is>
      </c>
      <c r="E106" s="166" t="inlineStr">
        <is>
          <t>Work-area-assigned push tap - real FCM</t>
        </is>
      </c>
      <c r="F106" s="166" t="inlineStr">
        <is>
          <t>Pass 1 (mobile): MTP vs test suite</t>
        </is>
      </c>
    </row>
    <row r="107">
      <c r="A107" s="166" t="inlineStr">
        <is>
          <t>GAP-INT-33</t>
        </is>
      </c>
      <c r="B107" s="166" t="inlineStr">
        <is>
          <t>Integration Tests (Connect)</t>
        </is>
      </c>
      <c r="C107" s="166" t="inlineStr">
        <is>
          <t>[TC_52] Verify when user clicks on the work area assigned  notification from notification history page lands on the delivery app home page</t>
        </is>
      </c>
      <c r="D107" s="166" t="inlineStr">
        <is>
          <t>🔴 Manual only</t>
        </is>
      </c>
      <c r="E107" s="166" t="inlineStr">
        <is>
          <t>Work-area notification from history - real FCM</t>
        </is>
      </c>
      <c r="F107" s="166" t="inlineStr">
        <is>
          <t>Pass 1 (mobile): MTP vs test suite</t>
        </is>
      </c>
    </row>
    <row r="108">
      <c r="A108" s="166" t="inlineStr">
        <is>
          <t>GAP-INT-34</t>
        </is>
      </c>
      <c r="B108" s="166" t="inlineStr">
        <is>
          <t>Integration Tests (Connect)</t>
        </is>
      </c>
      <c r="C108" s="166" t="inlineStr">
        <is>
          <t>[TC_53] Verify user lands on the connect app home page by clicking on the notification if delivery app is not installed</t>
        </is>
      </c>
      <c r="D108" s="166" t="inlineStr">
        <is>
          <t>🔴 Manual only</t>
        </is>
      </c>
      <c r="E108" s="166" t="inlineStr">
        <is>
          <t>Push tap with delivery app absent - real FCM + app state</t>
        </is>
      </c>
      <c r="F108" s="166" t="inlineStr">
        <is>
          <t>Pass 1 (mobile): MTP vs test suite</t>
        </is>
      </c>
    </row>
    <row r="109">
      <c r="A109" s="166" t="inlineStr">
        <is>
          <t>GAP-LAND-01</t>
        </is>
      </c>
      <c r="B109" s="166" t="inlineStr">
        <is>
          <t>Connect Landing Page</t>
        </is>
      </c>
      <c r="C109" s="166" t="inlineStr">
        <is>
          <t>[OLP_01] Verify “In Progress” Opportunities Displayed at Top</t>
        </is>
      </c>
      <c r="D109" s="166" t="inlineStr">
        <is>
          <t>🟡 Automatable - not yet done</t>
        </is>
      </c>
      <c r="E109" s="166" t="inlineStr">
        <is>
          <t>Mobile UI flow - no spec asserts this case</t>
        </is>
      </c>
      <c r="F109" s="166" t="inlineStr">
        <is>
          <t>Pass 1 (mobile): MTP vs test suite</t>
        </is>
      </c>
    </row>
    <row r="110">
      <c r="A110" s="166" t="inlineStr">
        <is>
          <t>GAP-LAND-02</t>
        </is>
      </c>
      <c r="B110" s="166" t="inlineStr">
        <is>
          <t>Connect Landing Page</t>
        </is>
      </c>
      <c r="C110" s="166" t="inlineStr">
        <is>
          <t>[OLP_02] Verify “New” Opportunities Displayed Below In Progress</t>
        </is>
      </c>
      <c r="D110" s="166" t="inlineStr">
        <is>
          <t>🟡 Automatable - not yet done</t>
        </is>
      </c>
      <c r="E110" s="166" t="inlineStr">
        <is>
          <t>Mobile UI flow - no spec asserts this case</t>
        </is>
      </c>
      <c r="F110" s="166" t="inlineStr">
        <is>
          <t>Pass 1 (mobile): MTP vs test suite</t>
        </is>
      </c>
    </row>
    <row r="111">
      <c r="A111" s="166" t="inlineStr">
        <is>
          <t>GAP-LAND-03</t>
        </is>
      </c>
      <c r="B111" s="166" t="inlineStr">
        <is>
          <t>Connect Landing Page</t>
        </is>
      </c>
      <c r="C111" s="166" t="inlineStr">
        <is>
          <t>[OLP_03] Verify "Completed opportunities" section displayed at bottom</t>
        </is>
      </c>
      <c r="D111" s="166" t="inlineStr">
        <is>
          <t>🟡 Automatable - not yet done</t>
        </is>
      </c>
      <c r="E111" s="166" t="inlineStr">
        <is>
          <t>Mobile UI flow - no spec asserts this case</t>
        </is>
      </c>
      <c r="F111" s="166" t="inlineStr">
        <is>
          <t>Pass 1 (mobile): MTP vs test suite</t>
        </is>
      </c>
    </row>
    <row r="112">
      <c r="A112" s="166" t="inlineStr">
        <is>
          <t>GAP-LAND-04</t>
        </is>
      </c>
      <c r="B112" s="166" t="inlineStr">
        <is>
          <t>Connect Landing Page</t>
        </is>
      </c>
      <c r="C112" s="166" t="inlineStr">
        <is>
          <t>[OLP_04] Verify User Can View Opportunity Information at Any Time</t>
        </is>
      </c>
      <c r="D112" s="166" t="inlineStr">
        <is>
          <t>🟡 Automatable - not yet done</t>
        </is>
      </c>
      <c r="E112" s="166" t="inlineStr">
        <is>
          <t>Mobile UI flow - no spec asserts this case</t>
        </is>
      </c>
      <c r="F112" s="166" t="inlineStr">
        <is>
          <t>Pass 1 (mobile): MTP vs test suite</t>
        </is>
      </c>
    </row>
    <row r="113">
      <c r="A113" s="166" t="inlineStr">
        <is>
          <t>GAP-LAND-05</t>
        </is>
      </c>
      <c r="B113" s="166" t="inlineStr">
        <is>
          <t>Connect Landing Page</t>
        </is>
      </c>
      <c r="C113" s="166" t="inlineStr">
        <is>
          <t>[OLP_05] Verify Opportunity Details Drawer Opens</t>
        </is>
      </c>
      <c r="D113" s="166" t="inlineStr">
        <is>
          <t>🟡 Automatable - not yet done</t>
        </is>
      </c>
      <c r="E113" s="166" t="inlineStr">
        <is>
          <t>Mobile UI flow - no spec asserts this case</t>
        </is>
      </c>
      <c r="F113" s="166" t="inlineStr">
        <is>
          <t>Pass 1 (mobile): MTP vs test suite</t>
        </is>
      </c>
    </row>
    <row r="114">
      <c r="A114" s="166" t="inlineStr">
        <is>
          <t>GAP-LAND-06</t>
        </is>
      </c>
      <c r="B114" s="166" t="inlineStr">
        <is>
          <t>Connect Landing Page</t>
        </is>
      </c>
      <c r="C114" s="166" t="inlineStr">
        <is>
          <t>[OLP_06] Verify Drawer Displays Complete Opportunity Information</t>
        </is>
      </c>
      <c r="D114" s="166" t="inlineStr">
        <is>
          <t>🟡 Automatable - not yet done</t>
        </is>
      </c>
      <c r="E114" s="166" t="inlineStr">
        <is>
          <t>Mobile UI flow - no spec asserts this case</t>
        </is>
      </c>
      <c r="F114" s="166" t="inlineStr">
        <is>
          <t>Pass 1 (mobile): MTP vs test suite</t>
        </is>
      </c>
    </row>
    <row r="115">
      <c r="A115" s="166" t="inlineStr">
        <is>
          <t>GAP-LAND-07</t>
        </is>
      </c>
      <c r="B115" s="166" t="inlineStr">
        <is>
          <t>Connect Landing Page</t>
        </is>
      </c>
      <c r="C115" s="166" t="inlineStr">
        <is>
          <t>[OLP_07] Verify Correct Progress Display for Opportunity</t>
        </is>
      </c>
      <c r="D115" s="166" t="inlineStr">
        <is>
          <t>🟡 Automatable - not yet done</t>
        </is>
      </c>
      <c r="E115" s="166" t="inlineStr">
        <is>
          <t>Mobile UI flow - no spec asserts this case</t>
        </is>
      </c>
      <c r="F115" s="166" t="inlineStr">
        <is>
          <t>Pass 1 (mobile): MTP vs test suite</t>
        </is>
      </c>
    </row>
    <row r="116">
      <c r="A116" s="166" t="inlineStr">
        <is>
          <t>GAP-LAND-08</t>
        </is>
      </c>
      <c r="B116" s="166" t="inlineStr">
        <is>
          <t>Connect Landing Page</t>
        </is>
      </c>
      <c r="C116" s="166" t="inlineStr">
        <is>
          <t>[OLP_08] Verify Work History progress is shown on opportunity details</t>
        </is>
      </c>
      <c r="D116" s="166" t="inlineStr">
        <is>
          <t>🟡 Automatable - not yet done</t>
        </is>
      </c>
      <c r="E116" s="166" t="inlineStr">
        <is>
          <t>Mobile UI flow - no spec asserts this case</t>
        </is>
      </c>
      <c r="F116" s="166" t="inlineStr">
        <is>
          <t>Pass 1 (mobile): MTP vs test suite</t>
        </is>
      </c>
    </row>
    <row r="117">
      <c r="A117" s="166" t="inlineStr">
        <is>
          <t>GAP-LAND-09</t>
        </is>
      </c>
      <c r="B117" s="166" t="inlineStr">
        <is>
          <t>Connect Landing Page</t>
        </is>
      </c>
      <c r="C117" s="166" t="inlineStr">
        <is>
          <t>[OLP_09] Verify user is able to see review and view info options  to the completed opportunities</t>
        </is>
      </c>
      <c r="D117" s="166" t="inlineStr">
        <is>
          <t>🟡 Automatable - not yet done</t>
        </is>
      </c>
      <c r="E117" s="166" t="inlineStr">
        <is>
          <t>Mobile UI flow - no spec asserts this case</t>
        </is>
      </c>
      <c r="F117" s="166" t="inlineStr">
        <is>
          <t>Pass 1 (mobile): MTP vs test suite</t>
        </is>
      </c>
    </row>
    <row r="118">
      <c r="A118" s="166" t="inlineStr">
        <is>
          <t>GAP-LAND-10</t>
        </is>
      </c>
      <c r="B118" s="166" t="inlineStr">
        <is>
          <t>Connect Landing Page</t>
        </is>
      </c>
      <c r="C118" s="166" t="inlineStr">
        <is>
          <t>[OLP_10] Verify user is able to see the resume and view info options to the InProgress Opportunities</t>
        </is>
      </c>
      <c r="D118" s="166" t="inlineStr">
        <is>
          <t>🟡 Automatable - not yet done</t>
        </is>
      </c>
      <c r="E118" s="166" t="inlineStr">
        <is>
          <t>Mobile UI flow - no spec asserts this case</t>
        </is>
      </c>
      <c r="F118" s="166" t="inlineStr">
        <is>
          <t>Pass 1 (mobile): MTP vs test suite</t>
        </is>
      </c>
    </row>
    <row r="119">
      <c r="A119" s="166" t="inlineStr">
        <is>
          <t>GAP-LAND-11</t>
        </is>
      </c>
      <c r="B119" s="166" t="inlineStr">
        <is>
          <t>Connect Landing Page</t>
        </is>
      </c>
      <c r="C119" s="166" t="inlineStr">
        <is>
          <t>[OLP_11] Verify user is able to see the view opportunity button for New Opportunities</t>
        </is>
      </c>
      <c r="D119" s="166" t="inlineStr">
        <is>
          <t>🟡 Automatable - not yet done</t>
        </is>
      </c>
      <c r="E119" s="166" t="inlineStr">
        <is>
          <t>Mobile UI flow - no spec asserts this case</t>
        </is>
      </c>
      <c r="F119" s="166" t="inlineStr">
        <is>
          <t>Pass 1 (mobile): MTP vs test suite</t>
        </is>
      </c>
    </row>
    <row r="120">
      <c r="A120" s="166" t="inlineStr">
        <is>
          <t>GAP-LAND-12</t>
        </is>
      </c>
      <c r="B120" s="166" t="inlineStr">
        <is>
          <t>Connect Landing Page</t>
        </is>
      </c>
      <c r="C120" s="166" t="inlineStr">
        <is>
          <t>[OLP_12] Verify user is able to start the opportunity upon clicking on view opportunity button</t>
        </is>
      </c>
      <c r="D120" s="166" t="inlineStr">
        <is>
          <t>🟡 Automatable - not yet done</t>
        </is>
      </c>
      <c r="E120" s="166" t="inlineStr">
        <is>
          <t>Mobile UI flow - no spec asserts this case</t>
        </is>
      </c>
      <c r="F120" s="166" t="inlineStr">
        <is>
          <t>Pass 1 (mobile): MTP vs test suite</t>
        </is>
      </c>
    </row>
    <row r="121">
      <c r="A121" s="166" t="inlineStr">
        <is>
          <t>GAP-LAND-13</t>
        </is>
      </c>
      <c r="B121" s="166" t="inlineStr">
        <is>
          <t>Connect Landing Page</t>
        </is>
      </c>
      <c r="C121" s="166" t="inlineStr">
        <is>
          <t>[OLP_13] Verify Inprogress opportunities section is not visible when no inprogress opportunities are there</t>
        </is>
      </c>
      <c r="D121" s="166" t="inlineStr">
        <is>
          <t>🟡 Automatable - not yet done</t>
        </is>
      </c>
      <c r="E121" s="166" t="inlineStr">
        <is>
          <t>Mobile UI flow - no spec asserts this case</t>
        </is>
      </c>
      <c r="F121" s="166" t="inlineStr">
        <is>
          <t>Pass 1 (mobile): MTP vs test suite</t>
        </is>
      </c>
    </row>
    <row r="122">
      <c r="A122" s="166" t="inlineStr">
        <is>
          <t>GAP-LAND-14</t>
        </is>
      </c>
      <c r="B122" s="166" t="inlineStr">
        <is>
          <t>Connect Landing Page</t>
        </is>
      </c>
      <c r="C122" s="166" t="inlineStr">
        <is>
          <t>[OLP_14] Verify new opportunities section is not visible when no new opportunities are there</t>
        </is>
      </c>
      <c r="D122" s="166" t="inlineStr">
        <is>
          <t>🟡 Automatable - not yet done</t>
        </is>
      </c>
      <c r="E122" s="166" t="inlineStr">
        <is>
          <t>Mobile UI flow - no spec asserts this case</t>
        </is>
      </c>
      <c r="F122" s="166" t="inlineStr">
        <is>
          <t>Pass 1 (mobile): MTP vs test suite</t>
        </is>
      </c>
    </row>
    <row r="123">
      <c r="A123" s="166" t="inlineStr">
        <is>
          <t>GAP-LAND-15</t>
        </is>
      </c>
      <c r="B123" s="166" t="inlineStr">
        <is>
          <t>Connect Landing Page</t>
        </is>
      </c>
      <c r="C123" s="166" t="inlineStr">
        <is>
          <t>[OLP_15] Verify complete opportunities section is not visible when no completed opportunities are there</t>
        </is>
      </c>
      <c r="D123" s="166" t="inlineStr">
        <is>
          <t>🟡 Automatable - not yet done</t>
        </is>
      </c>
      <c r="E123" s="166" t="inlineStr">
        <is>
          <t>Mobile UI flow - no spec asserts this case</t>
        </is>
      </c>
      <c r="F123" s="166" t="inlineStr">
        <is>
          <t>Pass 1 (mobile): MTP vs test suite</t>
        </is>
      </c>
    </row>
    <row r="124">
      <c r="A124" s="166" t="inlineStr">
        <is>
          <t>GAP-LAND-16</t>
        </is>
      </c>
      <c r="B124" s="166" t="inlineStr">
        <is>
          <t>Connect Landing Page</t>
        </is>
      </c>
      <c r="C124" s="166" t="inlineStr">
        <is>
          <t>[OLP_16] Verify user is able to land on the learn/delivery app when click on the resume option</t>
        </is>
      </c>
      <c r="D124" s="166" t="inlineStr">
        <is>
          <t>🟡 Automatable - not yet done</t>
        </is>
      </c>
      <c r="E124" s="166" t="inlineStr">
        <is>
          <t>Mobile UI flow - no spec asserts this case</t>
        </is>
      </c>
      <c r="F124" s="166" t="inlineStr">
        <is>
          <t>Pass 1 (mobile): MTP vs test suite</t>
        </is>
      </c>
    </row>
    <row r="125">
      <c r="A125" s="166" t="inlineStr">
        <is>
          <t>GAP-LAND-17</t>
        </is>
      </c>
      <c r="B125" s="166" t="inlineStr">
        <is>
          <t>Connect Landing Page</t>
        </is>
      </c>
      <c r="C125" s="166" t="inlineStr">
        <is>
          <t>[OLP_17] Verify user is able to download the learn/delivery app when click on the resume option</t>
        </is>
      </c>
      <c r="D125" s="166" t="inlineStr">
        <is>
          <t>🟡 Automatable - not yet done</t>
        </is>
      </c>
      <c r="E125" s="166" t="inlineStr">
        <is>
          <t>Mobile UI flow - no spec asserts this case</t>
        </is>
      </c>
      <c r="F125" s="166" t="inlineStr">
        <is>
          <t>Pass 1 (mobile): MTP vs test suite</t>
        </is>
      </c>
    </row>
    <row r="126">
      <c r="A126" s="166" t="inlineStr">
        <is>
          <t>GAP-LAND-18</t>
        </is>
      </c>
      <c r="B126" s="166" t="inlineStr">
        <is>
          <t>Connect Landing Page</t>
        </is>
      </c>
      <c r="C126" s="166" t="inlineStr">
        <is>
          <t>[OLP_18] Verify  user is able to see the new opportunity badge for new opportunities</t>
        </is>
      </c>
      <c r="D126" s="166" t="inlineStr">
        <is>
          <t>🟡 Automatable - not yet done</t>
        </is>
      </c>
      <c r="E126" s="166" t="inlineStr">
        <is>
          <t>Mobile UI flow - no spec asserts this case</t>
        </is>
      </c>
      <c r="F126" s="166" t="inlineStr">
        <is>
          <t>Pass 1 (mobile): MTP vs test suite</t>
        </is>
      </c>
    </row>
    <row r="127">
      <c r="A127" s="166" t="inlineStr">
        <is>
          <t>GAP-LAND-19</t>
        </is>
      </c>
      <c r="B127" s="166" t="inlineStr">
        <is>
          <t>Connect Landing Page</t>
        </is>
      </c>
      <c r="C127" s="166" t="inlineStr">
        <is>
          <t>[OLP_19] Verify user is able to see the learn badge with precentage progress when learn app is inprogress</t>
        </is>
      </c>
      <c r="D127" s="166" t="inlineStr">
        <is>
          <t>🟡 Automatable - not yet done</t>
        </is>
      </c>
      <c r="E127" s="166" t="inlineStr">
        <is>
          <t>Mobile UI flow - no spec asserts this case</t>
        </is>
      </c>
      <c r="F127" s="166" t="inlineStr">
        <is>
          <t>Pass 1 (mobile): MTP vs test suite</t>
        </is>
      </c>
    </row>
    <row r="128">
      <c r="A128" s="166" t="inlineStr">
        <is>
          <t>GAP-LAND-20</t>
        </is>
      </c>
      <c r="B128" s="166" t="inlineStr">
        <is>
          <t>Connect Landing Page</t>
        </is>
      </c>
      <c r="C128" s="166" t="inlineStr">
        <is>
          <t>[OLP_20] Verify user is able to see the assessment completed badge when user is completed the assessment</t>
        </is>
      </c>
      <c r="D128" s="166" t="inlineStr">
        <is>
          <t>🟡 Automatable - not yet done</t>
        </is>
      </c>
      <c r="E128" s="166" t="inlineStr">
        <is>
          <t>Mobile UI flow - no spec asserts this case</t>
        </is>
      </c>
      <c r="F128" s="166" t="inlineStr">
        <is>
          <t>Pass 1 (mobile): MTP vs test suite</t>
        </is>
      </c>
    </row>
    <row r="129">
      <c r="A129" s="166" t="inlineStr">
        <is>
          <t>GAP-LAND-21</t>
        </is>
      </c>
      <c r="B129" s="166" t="inlineStr">
        <is>
          <t>Connect Landing Page</t>
        </is>
      </c>
      <c r="C129" s="166" t="inlineStr">
        <is>
          <t>[OLP_21] Verify user is able to see the delivery progress badge along with percentage</t>
        </is>
      </c>
      <c r="D129" s="166" t="inlineStr">
        <is>
          <t>🟡 Automatable - not yet done</t>
        </is>
      </c>
      <c r="E129" s="166" t="inlineStr">
        <is>
          <t>Mobile UI flow - no spec asserts this case</t>
        </is>
      </c>
      <c r="F129" s="166" t="inlineStr">
        <is>
          <t>Pass 1 (mobile): MTP vs test suite</t>
        </is>
      </c>
    </row>
    <row r="130">
      <c r="A130" s="166" t="inlineStr">
        <is>
          <t>GAP-LAND-22</t>
        </is>
      </c>
      <c r="B130" s="166" t="inlineStr">
        <is>
          <t>Connect Landing Page</t>
        </is>
      </c>
      <c r="C130" s="166" t="inlineStr">
        <is>
          <t>[OLP_22] Verify user is able to see the learn progress badge with 0% when learn app is not started</t>
        </is>
      </c>
      <c r="D130" s="166" t="inlineStr">
        <is>
          <t>🟡 Automatable - not yet done</t>
        </is>
      </c>
      <c r="E130" s="166" t="inlineStr">
        <is>
          <t>Mobile UI flow - no spec asserts this case</t>
        </is>
      </c>
      <c r="F130" s="166" t="inlineStr">
        <is>
          <t>Pass 1 (mobile): MTP vs test suite</t>
        </is>
      </c>
    </row>
    <row r="131">
      <c r="A131" s="166" t="inlineStr">
        <is>
          <t>GAP-LAND-23</t>
        </is>
      </c>
      <c r="B131" s="166" t="inlineStr">
        <is>
          <t>Connect Landing Page</t>
        </is>
      </c>
      <c r="C131" s="166" t="inlineStr">
        <is>
          <t>[OLP_23] Verify user is able to see the delivery progress badge with 0% when delivery app is not started</t>
        </is>
      </c>
      <c r="D131" s="166" t="inlineStr">
        <is>
          <t>🟡 Automatable - not yet done</t>
        </is>
      </c>
      <c r="E131" s="166" t="inlineStr">
        <is>
          <t>Mobile UI flow - no spec asserts this case</t>
        </is>
      </c>
      <c r="F131" s="166" t="inlineStr">
        <is>
          <t>Pass 1 (mobile): MTP vs test suite</t>
        </is>
      </c>
    </row>
    <row r="132">
      <c r="A132" s="166" t="inlineStr">
        <is>
          <t>GAP-LAND-24</t>
        </is>
      </c>
      <c r="B132" s="166" t="inlineStr">
        <is>
          <t>Connect Landing Page</t>
        </is>
      </c>
      <c r="C132" s="166" t="inlineStr">
        <is>
          <t>[OLP_24] Verify completion date is shown in red colour if user have not completed the opportunity before 5 days of expire</t>
        </is>
      </c>
      <c r="D132" s="166" t="inlineStr">
        <is>
          <t>🟡 Automatable - not yet done</t>
        </is>
      </c>
      <c r="E132" s="166" t="inlineStr">
        <is>
          <t>Mobile UI flow - no spec asserts this case</t>
        </is>
      </c>
      <c r="F132" s="166" t="inlineStr">
        <is>
          <t>Pass 1 (mobile): MTP vs test suite</t>
        </is>
      </c>
    </row>
    <row r="133">
      <c r="A133" s="166" t="inlineStr">
        <is>
          <t>GAP-LAND-25</t>
        </is>
      </c>
      <c r="B133" s="166" t="inlineStr">
        <is>
          <t>Connect Landing Page</t>
        </is>
      </c>
      <c r="C133" s="166" t="inlineStr">
        <is>
          <t>[OLP_25] Verify user shouldn't see any date or red color date text for completed opportunities</t>
        </is>
      </c>
      <c r="D133" s="166" t="inlineStr">
        <is>
          <t>🟡 Automatable - not yet done</t>
        </is>
      </c>
      <c r="E133" s="166" t="inlineStr">
        <is>
          <t>Mobile UI flow - no spec asserts this case</t>
        </is>
      </c>
      <c r="F133" s="166" t="inlineStr">
        <is>
          <t>Pass 1 (mobile): MTP vs test suite</t>
        </is>
      </c>
    </row>
    <row r="134">
      <c r="A134" s="166" t="inlineStr">
        <is>
          <t>GAP-LAND-26</t>
        </is>
      </c>
      <c r="B134" s="166" t="inlineStr">
        <is>
          <t>Connect Landing Page</t>
        </is>
      </c>
      <c r="C134" s="166" t="inlineStr">
        <is>
          <t>[OLP_26] Verify no progress badge is displayed for opps under completed section</t>
        </is>
      </c>
      <c r="D134" s="166" t="inlineStr">
        <is>
          <t>🟡 Automatable - not yet done</t>
        </is>
      </c>
      <c r="E134" s="166" t="inlineStr">
        <is>
          <t>Mobile UI flow - no spec asserts this case</t>
        </is>
      </c>
      <c r="F134" s="166" t="inlineStr">
        <is>
          <t>Pass 1 (mobile): MTP vs test suite</t>
        </is>
      </c>
    </row>
    <row r="135">
      <c r="A135" s="166" t="inlineStr">
        <is>
          <t>GAP-LAND-27</t>
        </is>
      </c>
      <c r="B135" s="166" t="inlineStr">
        <is>
          <t>Connect Landing Page</t>
        </is>
      </c>
      <c r="C135" s="166" t="inlineStr">
        <is>
          <t>[OLP_27] Verfiy green check mark is displayed for opps which completed all visits</t>
        </is>
      </c>
      <c r="D135" s="166" t="inlineStr">
        <is>
          <t>🟡 Automatable - not yet done</t>
        </is>
      </c>
      <c r="E135" s="166" t="inlineStr">
        <is>
          <t>Mobile UI flow - no spec asserts this case</t>
        </is>
      </c>
      <c r="F135" s="166" t="inlineStr">
        <is>
          <t>Pass 1 (mobile): MTP vs test suite</t>
        </is>
      </c>
    </row>
    <row r="136">
      <c r="A136" s="166" t="inlineStr">
        <is>
          <t>GAP-LAND-28</t>
        </is>
      </c>
      <c r="B136" s="166" t="inlineStr">
        <is>
          <t>Connect Landing Page</t>
        </is>
      </c>
      <c r="C136" s="166" t="inlineStr">
        <is>
          <t>[OLP_28] Verify user is able to download learn/delivery app using review option [completed opp]</t>
        </is>
      </c>
      <c r="D136" s="166" t="inlineStr">
        <is>
          <t>🟡 Automatable - not yet done</t>
        </is>
      </c>
      <c r="E136" s="166" t="inlineStr">
        <is>
          <t>Mobile UI flow - no spec asserts this case</t>
        </is>
      </c>
      <c r="F136" s="166" t="inlineStr">
        <is>
          <t>Pass 1 (mobile): MTP vs test suite</t>
        </is>
      </c>
    </row>
    <row r="137">
      <c r="A137" s="166" t="inlineStr">
        <is>
          <t>GAP-MSG-01</t>
        </is>
      </c>
      <c r="B137" s="166" t="inlineStr">
        <is>
          <t>Connect messaging</t>
        </is>
      </c>
      <c r="C137" s="166" t="inlineStr">
        <is>
          <t>[Connect channel 1] Verify user is able to create connect channel</t>
        </is>
      </c>
      <c r="D137" s="166" t="inlineStr">
        <is>
          <t>🔴 Manual only</t>
        </is>
      </c>
      <c r="E137" s="166" t="inlineStr">
        <is>
          <t>HQ-&gt;mobile channel creation round-trip on device</t>
        </is>
      </c>
      <c r="F137" s="166" t="inlineStr">
        <is>
          <t>Pass 1 (mobile): MTP vs test suite</t>
        </is>
      </c>
    </row>
    <row r="138">
      <c r="A138" s="166" t="inlineStr">
        <is>
          <t>GAP-MSG-02</t>
        </is>
      </c>
      <c r="B138" s="166" t="inlineStr">
        <is>
          <t>Connect messaging</t>
        </is>
      </c>
      <c r="C138" s="166" t="inlineStr">
        <is>
          <t>[Connect message5] Verify user is able to create keyword for connect message</t>
        </is>
      </c>
      <c r="D138" s="166" t="inlineStr">
        <is>
          <t>🟡 Automatable - not yet done</t>
        </is>
      </c>
      <c r="E138" s="166" t="inlineStr">
        <is>
          <t>Mobile UI flow - no spec asserts this case</t>
        </is>
      </c>
      <c r="F138" s="166" t="inlineStr">
        <is>
          <t>Pass 1 (mobile): MTP vs test suite</t>
        </is>
      </c>
    </row>
    <row r="139">
      <c r="A139" s="166" t="inlineStr">
        <is>
          <t>GAP-MSG-03</t>
        </is>
      </c>
      <c r="B139" s="166" t="inlineStr">
        <is>
          <t>Connect messaging</t>
        </is>
      </c>
      <c r="C139" s="166" t="inlineStr">
        <is>
          <t>[Connect message6] Verify user is able to create keyword for connect survey</t>
        </is>
      </c>
      <c r="D139" s="166" t="inlineStr">
        <is>
          <t>🟡 Automatable - not yet done</t>
        </is>
      </c>
      <c r="E139" s="166" t="inlineStr">
        <is>
          <t>Mobile UI flow - no spec asserts this case</t>
        </is>
      </c>
      <c r="F139" s="166" t="inlineStr">
        <is>
          <t>Pass 1 (mobile): MTP vs test suite</t>
        </is>
      </c>
    </row>
    <row r="140">
      <c r="A140" s="166" t="inlineStr">
        <is>
          <t>GAP-MSG-04</t>
        </is>
      </c>
      <c r="B140" s="166" t="inlineStr">
        <is>
          <t>Connect messaging</t>
        </is>
      </c>
      <c r="C140" s="166" t="inlineStr">
        <is>
          <t>[Connect message7] Verify user is able to unsubscribe the channel</t>
        </is>
      </c>
      <c r="D140" s="166" t="inlineStr">
        <is>
          <t>🔴 Manual only</t>
        </is>
      </c>
      <c r="E140" s="166" t="inlineStr">
        <is>
          <t>Unsubscribe - message-receipt round-trip to confirm</t>
        </is>
      </c>
      <c r="F140" s="166" t="inlineStr">
        <is>
          <t>Pass 1 (mobile): MTP vs test suite</t>
        </is>
      </c>
    </row>
    <row r="141">
      <c r="A141" s="166" t="inlineStr">
        <is>
          <t>GAP-MSG-05</t>
        </is>
      </c>
      <c r="B141" s="166" t="inlineStr">
        <is>
          <t>Connect messaging</t>
        </is>
      </c>
      <c r="C141" s="166" t="inlineStr">
        <is>
          <t>[Connect message8] Verify user is able to resubscribe to the channel</t>
        </is>
      </c>
      <c r="D141" s="166" t="inlineStr">
        <is>
          <t>🔴 Manual only</t>
        </is>
      </c>
      <c r="E141" s="166" t="inlineStr">
        <is>
          <t>Resubscribe - message-receipt round-trip to confirm</t>
        </is>
      </c>
      <c r="F141" s="166" t="inlineStr">
        <is>
          <t>Pass 1 (mobile): MTP vs test suite</t>
        </is>
      </c>
    </row>
    <row r="142">
      <c r="A142" s="166" t="inlineStr">
        <is>
          <t>GAP-NOT-01</t>
        </is>
      </c>
      <c r="B142" s="166" t="inlineStr">
        <is>
          <t>Connect Notifications</t>
        </is>
      </c>
      <c r="C142" s="166" t="inlineStr">
        <is>
          <t>[Notifications_03] Verify user is able to see all the notifications history in the notifications page</t>
        </is>
      </c>
      <c r="D142" s="166" t="inlineStr">
        <is>
          <t>🔴 Manual only</t>
        </is>
      </c>
      <c r="E142" s="166" t="inlineStr">
        <is>
          <t>Push notification receipt - real FCM round-trip</t>
        </is>
      </c>
      <c r="F142" s="166" t="inlineStr">
        <is>
          <t>Pass 1 (mobile): MTP vs test suite</t>
        </is>
      </c>
    </row>
    <row r="143">
      <c r="A143" s="166" t="inlineStr">
        <is>
          <t>GAP-NOT-02</t>
        </is>
      </c>
      <c r="B143" s="166" t="inlineStr">
        <is>
          <t>Connect Notifications</t>
        </is>
      </c>
      <c r="C143" s="166" t="inlineStr">
        <is>
          <t>[Notifications_06] Verify prompts to resume work are shown in notifications history page</t>
        </is>
      </c>
      <c r="D143" s="166" t="inlineStr">
        <is>
          <t>🔴 Manual only</t>
        </is>
      </c>
      <c r="E143" s="166" t="inlineStr">
        <is>
          <t>Push notification receipt - real FCM round-trip</t>
        </is>
      </c>
      <c r="F143" s="166" t="inlineStr">
        <is>
          <t>Pass 1 (mobile): MTP vs test suite</t>
        </is>
      </c>
    </row>
    <row r="144">
      <c r="A144" s="166" t="inlineStr">
        <is>
          <t>GAP-NOT-03</t>
        </is>
      </c>
      <c r="B144" s="166" t="inlineStr">
        <is>
          <t>Connect Notifications</t>
        </is>
      </c>
      <c r="C144" s="166" t="inlineStr">
        <is>
          <t>[Notifications_07] Verify user is able to land on deliver progress screen upon clicking on the resume prompt notification</t>
        </is>
      </c>
      <c r="D144" s="166" t="inlineStr">
        <is>
          <t>🔴 Manual only</t>
        </is>
      </c>
      <c r="E144" s="166" t="inlineStr">
        <is>
          <t>Push notification receipt - real FCM round-trip</t>
        </is>
      </c>
      <c r="F144" s="166" t="inlineStr">
        <is>
          <t>Pass 1 (mobile): MTP vs test suite</t>
        </is>
      </c>
    </row>
    <row r="145">
      <c r="A145" s="166" t="inlineStr">
        <is>
          <t>GAP-NOT-04</t>
        </is>
      </c>
      <c r="B145" s="166" t="inlineStr">
        <is>
          <t>Connect Notifications</t>
        </is>
      </c>
      <c r="C145" s="166" t="inlineStr">
        <is>
          <t>[Notifications_10] Verify Send message notifications are shown in the notification history page</t>
        </is>
      </c>
      <c r="D145" s="166" t="inlineStr">
        <is>
          <t>🔴 Manual only</t>
        </is>
      </c>
      <c r="E145" s="166" t="inlineStr">
        <is>
          <t>Push notification receipt - real FCM round-trip</t>
        </is>
      </c>
      <c r="F145" s="166" t="inlineStr">
        <is>
          <t>Pass 1 (mobile): MTP vs test suite</t>
        </is>
      </c>
    </row>
    <row r="146">
      <c r="A146" s="166" t="inlineStr">
        <is>
          <t>GAP-NOT-05</t>
        </is>
      </c>
      <c r="B146" s="166" t="inlineStr">
        <is>
          <t>Connect Notifications</t>
        </is>
      </c>
      <c r="C146" s="166" t="inlineStr">
        <is>
          <t>[Notifications_11] Verify red dot is displayed when notification received</t>
        </is>
      </c>
      <c r="D146" s="166" t="inlineStr">
        <is>
          <t>🔴 Manual only</t>
        </is>
      </c>
      <c r="E146" s="166" t="inlineStr">
        <is>
          <t>Red-dot on real push receipt - FCM timing</t>
        </is>
      </c>
      <c r="F146" s="166" t="inlineStr">
        <is>
          <t>Pass 1 (mobile): MTP vs test suite</t>
        </is>
      </c>
    </row>
    <row r="147">
      <c r="A147" s="166" t="inlineStr">
        <is>
          <t>GAP-NOT-06</t>
        </is>
      </c>
      <c r="B147" s="166" t="inlineStr">
        <is>
          <t>Connect Notifications</t>
        </is>
      </c>
      <c r="C147" s="166" t="inlineStr">
        <is>
          <t>[Notifications_12] Verfiy user recieved notification for payment rollback</t>
        </is>
      </c>
      <c r="D147" s="166" t="inlineStr">
        <is>
          <t>🔴 Manual only</t>
        </is>
      </c>
      <c r="E147" s="166" t="inlineStr">
        <is>
          <t>Push notification receipt - real FCM round-trip</t>
        </is>
      </c>
      <c r="F147" s="166" t="inlineStr">
        <is>
          <t>Pass 1 (mobile): MTP vs test suite</t>
        </is>
      </c>
    </row>
    <row r="148">
      <c r="A148" s="166" t="inlineStr">
        <is>
          <t>GAP-NOT-07</t>
        </is>
      </c>
      <c r="B148" s="166" t="inlineStr">
        <is>
          <t>Connect Notifications</t>
        </is>
      </c>
      <c r="C148" s="166" t="inlineStr">
        <is>
          <t>[Notifications_13] Verfiy user recieved notification for Assessment score</t>
        </is>
      </c>
      <c r="D148" s="166" t="inlineStr">
        <is>
          <t>🔴 Manual only</t>
        </is>
      </c>
      <c r="E148" s="166" t="inlineStr">
        <is>
          <t>Push notification receipt - real FCM round-trip</t>
        </is>
      </c>
      <c r="F148" s="166" t="inlineStr">
        <is>
          <t>Pass 1 (mobile): MTP vs test suite</t>
        </is>
      </c>
    </row>
    <row r="149">
      <c r="A149" s="166" t="inlineStr">
        <is>
          <t>GAP-NOT-08</t>
        </is>
      </c>
      <c r="B149" s="166" t="inlineStr">
        <is>
          <t>Connect Notifications</t>
        </is>
      </c>
      <c r="C149" s="166" t="inlineStr">
        <is>
          <t>[Notifications_14] Verify user is able to receive relearn task assigned notification</t>
        </is>
      </c>
      <c r="D149" s="166" t="inlineStr">
        <is>
          <t>🔴 Manual only</t>
        </is>
      </c>
      <c r="E149" s="166" t="inlineStr">
        <is>
          <t>Push notification receipt - real FCM round-trip</t>
        </is>
      </c>
      <c r="F149" s="166" t="inlineStr">
        <is>
          <t>Pass 1 (mobile): MTP vs test suite</t>
        </is>
      </c>
    </row>
    <row r="150">
      <c r="A150" s="166" t="inlineStr">
        <is>
          <t>GAP-NOT-09</t>
        </is>
      </c>
      <c r="B150" s="166" t="inlineStr">
        <is>
          <t>Connect Notifications</t>
        </is>
      </c>
      <c r="C150" s="166" t="inlineStr">
        <is>
          <t>[Notifications_15] Verify re assigning for same task will receive the notification</t>
        </is>
      </c>
      <c r="D150" s="166" t="inlineStr">
        <is>
          <t>🔴 Manual only</t>
        </is>
      </c>
      <c r="E150" s="166" t="inlineStr">
        <is>
          <t>Push notification receipt - real FCM round-trip</t>
        </is>
      </c>
      <c r="F150" s="166" t="inlineStr">
        <is>
          <t>Pass 1 (mobile): MTP vs test suite</t>
        </is>
      </c>
    </row>
    <row r="151">
      <c r="A151" s="166" t="inlineStr">
        <is>
          <t>GAP-NOT-10</t>
        </is>
      </c>
      <c r="B151" s="166" t="inlineStr">
        <is>
          <t>Connect Notifications</t>
        </is>
      </c>
      <c r="C151" s="166" t="inlineStr">
        <is>
          <t>[Notifications_16] Verify user is able to receive work area assigned notification</t>
        </is>
      </c>
      <c r="D151" s="166" t="inlineStr">
        <is>
          <t>🔴 Manual only</t>
        </is>
      </c>
      <c r="E151" s="166" t="inlineStr">
        <is>
          <t>Push notification receipt - real FCM round-trip</t>
        </is>
      </c>
      <c r="F151" s="166" t="inlineStr">
        <is>
          <t>Pass 1 (mobile): MTP vs test suite</t>
        </is>
      </c>
    </row>
    <row r="152">
      <c r="A152" s="166" t="inlineStr">
        <is>
          <t>GAP-NOT-11</t>
        </is>
      </c>
      <c r="B152" s="166" t="inlineStr">
        <is>
          <t>Connect Notifications</t>
        </is>
      </c>
      <c r="C152" s="166" t="inlineStr">
        <is>
          <t>[Notifications_17] Verify user is able to receive single notifications for assiging multiple work areas</t>
        </is>
      </c>
      <c r="D152" s="166" t="inlineStr">
        <is>
          <t>🔴 Manual only</t>
        </is>
      </c>
      <c r="E152" s="166" t="inlineStr">
        <is>
          <t>Push notification receipt - real FCM round-trip</t>
        </is>
      </c>
      <c r="F152" s="166" t="inlineStr">
        <is>
          <t>Pass 1 (mobile): MTP vs test suite</t>
        </is>
      </c>
    </row>
    <row r="153">
      <c r="A153" s="166" t="inlineStr">
        <is>
          <t>GAP-NOT-12</t>
        </is>
      </c>
      <c r="B153" s="166" t="inlineStr">
        <is>
          <t>Connect Notifications</t>
        </is>
      </c>
      <c r="C153" s="166" t="inlineStr">
        <is>
          <t>[Notifications_18] Verify when user clicks on the push notification in the middle of form submission  exit form dialogue box appears</t>
        </is>
      </c>
      <c r="D153" s="166" t="inlineStr">
        <is>
          <t>🔴 Manual only</t>
        </is>
      </c>
      <c r="E153" s="166" t="inlineStr">
        <is>
          <t>Push arriving mid-form - real FCM timing</t>
        </is>
      </c>
      <c r="F153" s="166" t="inlineStr">
        <is>
          <t>Pass 1 (mobile): MTP vs test suite</t>
        </is>
      </c>
    </row>
    <row r="154">
      <c r="A154" s="166" t="inlineStr">
        <is>
          <t>GAP-WH-01</t>
        </is>
      </c>
      <c r="B154" s="166" t="inlineStr">
        <is>
          <t>Connect worker History</t>
        </is>
      </c>
      <c r="C154" s="166" t="inlineStr">
        <is>
          <t>[Worker_History 1] Verify we are able create manage creditals on CCC web UI</t>
        </is>
      </c>
      <c r="D154" s="166" t="inlineStr">
        <is>
          <t>🟡 Automatable - not yet done</t>
        </is>
      </c>
      <c r="E154" s="166" t="inlineStr">
        <is>
          <t>Mobile UI flow - no spec asserts this case</t>
        </is>
      </c>
      <c r="F154" s="166" t="inlineStr">
        <is>
          <t>Pass 1 (mobile): MTP vs test suite</t>
        </is>
      </c>
    </row>
    <row r="155">
      <c r="A155" s="166" t="inlineStr">
        <is>
          <t>GAP-WH-02</t>
        </is>
      </c>
      <c r="B155" s="166" t="inlineStr">
        <is>
          <t>Connect worker History</t>
        </is>
      </c>
      <c r="C155" s="166" t="inlineStr">
        <is>
          <t>[Worker_History 2] Verify earned credentials are visible in worker history section</t>
        </is>
      </c>
      <c r="D155" s="166" t="inlineStr">
        <is>
          <t>🟡 Automatable - not yet done</t>
        </is>
      </c>
      <c r="E155" s="166" t="inlineStr">
        <is>
          <t>Mobile UI flow - no spec asserts this case</t>
        </is>
      </c>
      <c r="F155" s="166" t="inlineStr">
        <is>
          <t>Pass 1 (mobile): MTP vs test suite</t>
        </is>
      </c>
    </row>
    <row r="156">
      <c r="A156" s="166" t="inlineStr">
        <is>
          <t>GAP-WH-03</t>
        </is>
      </c>
      <c r="B156" s="166" t="inlineStr">
        <is>
          <t>Connect worker History</t>
        </is>
      </c>
      <c r="C156" s="166" t="inlineStr">
        <is>
          <t>[Worker_History 3] Verify previously earned credentials are still visible on mobile when disabled on web UI</t>
        </is>
      </c>
      <c r="D156" s="166" t="inlineStr">
        <is>
          <t>🟡 Automatable - not yet done</t>
        </is>
      </c>
      <c r="E156" s="166" t="inlineStr">
        <is>
          <t>Mobile UI flow - no spec asserts this case</t>
        </is>
      </c>
      <c r="F156" s="166" t="inlineStr">
        <is>
          <t>Pass 1 (mobile): MTP vs test suite</t>
        </is>
      </c>
    </row>
    <row r="157">
      <c r="A157" s="166" t="inlineStr">
        <is>
          <t>GAP-MAP-01</t>
        </is>
      </c>
      <c r="B157" s="166" t="inlineStr">
        <is>
          <t xml:space="preserve">Case List map </t>
        </is>
      </c>
      <c r="C157" s="166" t="inlineStr">
        <is>
          <t>[Map_01] Verify user is able to configure geo options</t>
        </is>
      </c>
      <c r="D157" s="166" t="inlineStr">
        <is>
          <t>🟡 Automatable - not yet done</t>
        </is>
      </c>
      <c r="E157" s="166" t="inlineStr">
        <is>
          <t>Mobile UI flow - no spec asserts this case</t>
        </is>
      </c>
      <c r="F157" s="166" t="inlineStr">
        <is>
          <t>Pass 1 (mobile): MTP vs test suite</t>
        </is>
      </c>
    </row>
    <row r="158">
      <c r="A158" s="166" t="inlineStr">
        <is>
          <t>GAP-MAP-02</t>
        </is>
      </c>
      <c r="B158" s="166" t="inlineStr">
        <is>
          <t xml:space="preserve">Case List map </t>
        </is>
      </c>
      <c r="C158" s="166" t="inlineStr">
        <is>
          <t>[Map_02] Verify removal of required Geo options</t>
        </is>
      </c>
      <c r="D158" s="166" t="inlineStr">
        <is>
          <t>🟡 Automatable - not yet done</t>
        </is>
      </c>
      <c r="E158" s="166" t="inlineStr">
        <is>
          <t>Mobile UI flow - no spec asserts this case</t>
        </is>
      </c>
      <c r="F158" s="166" t="inlineStr">
        <is>
          <t>Pass 1 (mobile): MTP vs test suite</t>
        </is>
      </c>
    </row>
    <row r="159">
      <c r="A159" s="166" t="inlineStr">
        <is>
          <t>GAP-MAP-03</t>
        </is>
      </c>
      <c r="B159" s="166" t="inlineStr">
        <is>
          <t xml:space="preserve">Case List map </t>
        </is>
      </c>
      <c r="C159" s="166" t="inlineStr">
        <is>
          <t>[Map_03] Verify polygons and points are displayed on the case list map</t>
        </is>
      </c>
      <c r="D159" s="166" t="inlineStr">
        <is>
          <t>🔴 Manual only</t>
        </is>
      </c>
      <c r="E159" s="166" t="inlineStr">
        <is>
          <t>Map canvas rendering/interaction - no stable selectors (reviewer to confirm)</t>
        </is>
      </c>
      <c r="F159" s="166" t="inlineStr">
        <is>
          <t>Pass 1 (mobile): MTP vs test suite</t>
        </is>
      </c>
    </row>
    <row r="160">
      <c r="A160" s="166" t="inlineStr">
        <is>
          <t>GAP-MAP-04</t>
        </is>
      </c>
      <c r="B160" s="166" t="inlineStr">
        <is>
          <t xml:space="preserve">Case List map </t>
        </is>
      </c>
      <c r="C160" s="166" t="inlineStr">
        <is>
          <t>[Map_04] Verify multiple locations display correctly</t>
        </is>
      </c>
      <c r="D160" s="166" t="inlineStr">
        <is>
          <t>🔴 Manual only</t>
        </is>
      </c>
      <c r="E160" s="166" t="inlineStr">
        <is>
          <t>Map canvas rendering/interaction - no stable selectors (reviewer to confirm)</t>
        </is>
      </c>
      <c r="F160" s="166" t="inlineStr">
        <is>
          <t>Pass 1 (mobile): MTP vs test suite</t>
        </is>
      </c>
    </row>
    <row r="161">
      <c r="A161" s="166" t="inlineStr">
        <is>
          <t>GAP-MAP-05</t>
        </is>
      </c>
      <c r="B161" s="166" t="inlineStr">
        <is>
          <t xml:space="preserve">Case List map </t>
        </is>
      </c>
      <c r="C161" s="166" t="inlineStr">
        <is>
          <t>[Map_05] Verify overlapping polygons for same coordinates</t>
        </is>
      </c>
      <c r="D161" s="166" t="inlineStr">
        <is>
          <t>🔴 Manual only</t>
        </is>
      </c>
      <c r="E161" s="166" t="inlineStr">
        <is>
          <t>Map canvas rendering/interaction - no stable selectors (reviewer to confirm)</t>
        </is>
      </c>
      <c r="F161" s="166" t="inlineStr">
        <is>
          <t>Pass 1 (mobile): MTP vs test suite</t>
        </is>
      </c>
    </row>
    <row r="162">
      <c r="A162" s="166" t="inlineStr">
        <is>
          <t>GAP-MAP-06</t>
        </is>
      </c>
      <c r="B162" s="166" t="inlineStr">
        <is>
          <t xml:space="preserve">Case List map </t>
        </is>
      </c>
      <c r="C162" s="166" t="inlineStr">
        <is>
          <t>[Map_06] Verify case name popup appears on clicking a polygon</t>
        </is>
      </c>
      <c r="D162" s="166" t="inlineStr">
        <is>
          <t>🔴 Manual only</t>
        </is>
      </c>
      <c r="E162" s="166" t="inlineStr">
        <is>
          <t>Map canvas rendering/interaction - no stable selectors (reviewer to confirm)</t>
        </is>
      </c>
      <c r="F162" s="166" t="inlineStr">
        <is>
          <t>Pass 1 (mobile): MTP vs test suite</t>
        </is>
      </c>
    </row>
    <row r="163">
      <c r="A163" s="166" t="inlineStr">
        <is>
          <t>GAP-MAP-07</t>
        </is>
      </c>
      <c r="B163" s="166" t="inlineStr">
        <is>
          <t xml:space="preserve">Case List map </t>
        </is>
      </c>
      <c r="C163" s="166" t="inlineStr">
        <is>
          <t>[Map_07] Verify user can open the Case Follow-Up form by clicking on case name</t>
        </is>
      </c>
      <c r="D163" s="166" t="inlineStr">
        <is>
          <t>🔴 Manual only</t>
        </is>
      </c>
      <c r="E163" s="166" t="inlineStr">
        <is>
          <t>Map canvas rendering/interaction - no stable selectors (reviewer to confirm)</t>
        </is>
      </c>
      <c r="F163" s="166" t="inlineStr">
        <is>
          <t>Pass 1 (mobile): MTP vs test suite</t>
        </is>
      </c>
    </row>
    <row r="164">
      <c r="A164" s="166" t="inlineStr">
        <is>
          <t>GAP-MAP-08</t>
        </is>
      </c>
      <c r="B164" s="166" t="inlineStr">
        <is>
          <t xml:space="preserve">Case List map </t>
        </is>
      </c>
      <c r="C164" s="166" t="inlineStr">
        <is>
          <t>[Map_08] Verify warning message on the mobile map for wrong configuration</t>
        </is>
      </c>
      <c r="D164" s="166" t="inlineStr">
        <is>
          <t>🔴 Manual only</t>
        </is>
      </c>
      <c r="E164" s="166" t="inlineStr">
        <is>
          <t>Map canvas rendering/interaction - no stable selectors (reviewer to confirm)</t>
        </is>
      </c>
      <c r="F164" s="166" t="inlineStr">
        <is>
          <t>Pass 1 (mobile): MTP vs test suite</t>
        </is>
      </c>
    </row>
    <row r="165">
      <c r="A165" s="166" t="inlineStr">
        <is>
          <t>GAP-MAP-09</t>
        </is>
      </c>
      <c r="B165" s="166" t="inlineStr">
        <is>
          <t xml:space="preserve">Case List map </t>
        </is>
      </c>
      <c r="C165" s="166" t="inlineStr">
        <is>
          <t>[Map_09] Verify visibility of individual toggles based on entity count</t>
        </is>
      </c>
      <c r="D165" s="166" t="inlineStr">
        <is>
          <t>🔴 Manual only</t>
        </is>
      </c>
      <c r="E165" s="166" t="inlineStr">
        <is>
          <t>Map canvas rendering/interaction - no stable selectors (reviewer to confirm)</t>
        </is>
      </c>
      <c r="F165" s="166" t="inlineStr">
        <is>
          <t>Pass 1 (mobile): MTP vs test suite</t>
        </is>
      </c>
    </row>
    <row r="166">
      <c r="A166" s="166" t="inlineStr">
        <is>
          <t>GAP-MAP-10</t>
        </is>
      </c>
      <c r="B166" s="166" t="inlineStr">
        <is>
          <t xml:space="preserve">Case List map </t>
        </is>
      </c>
      <c r="C166" s="166" t="inlineStr">
        <is>
          <t>[Map_10] Verify toggles are shown when multiple entities exist</t>
        </is>
      </c>
      <c r="D166" s="166" t="inlineStr">
        <is>
          <t>🔴 Manual only</t>
        </is>
      </c>
      <c r="E166" s="166" t="inlineStr">
        <is>
          <t>Map canvas rendering/interaction - no stable selectors (reviewer to confirm)</t>
        </is>
      </c>
      <c r="F166" s="166" t="inlineStr">
        <is>
          <t>Pass 1 (mobile): MTP vs test suite</t>
        </is>
      </c>
    </row>
    <row r="167">
      <c r="A167" s="166" t="inlineStr">
        <is>
          <t>GAP-MAP-11</t>
        </is>
      </c>
      <c r="B167" s="166" t="inlineStr">
        <is>
          <t xml:space="preserve">Case List map </t>
        </is>
      </c>
      <c r="C167" s="166" t="inlineStr">
        <is>
          <t>[Map_11] Verify user can toggle polygons and points ON/OFF</t>
        </is>
      </c>
      <c r="D167" s="166" t="inlineStr">
        <is>
          <t>🔴 Manual only</t>
        </is>
      </c>
      <c r="E167" s="166" t="inlineStr">
        <is>
          <t>Map canvas rendering/interaction - no stable selectors (reviewer to confirm)</t>
        </is>
      </c>
      <c r="F167" s="166" t="inlineStr">
        <is>
          <t>Pass 1 (mobile): MTP vs test suite</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Q16"/>
  <sheetViews>
    <sheetView workbookViewId="0">
      <selection activeCell="A1" sqref="A1"/>
    </sheetView>
  </sheetViews>
  <sheetFormatPr baseColWidth="8" defaultColWidth="12.63" defaultRowHeight="15.75" customHeight="1"/>
  <cols>
    <col width="36.38" customWidth="1" style="145" min="1" max="1"/>
    <col width="21.75" customWidth="1" style="145" min="2" max="2"/>
    <col width="17.38" customWidth="1" style="145" min="3" max="3"/>
    <col width="15.63" customWidth="1" style="145" min="4" max="4"/>
    <col width="6.38" customWidth="1" style="145" min="5" max="5"/>
    <col width="5.38" customWidth="1" style="145" min="6" max="12"/>
    <col width="11.88" customWidth="1" style="145" min="13" max="17"/>
  </cols>
  <sheetData>
    <row r="1">
      <c r="A1" s="146" t="n"/>
      <c r="B1" s="147" t="inlineStr">
        <is>
          <t>CCC: Mobile Regression [Master]</t>
        </is>
      </c>
      <c r="C1" s="148" t="n"/>
      <c r="D1" s="149" t="n"/>
      <c r="E1" s="5" t="n"/>
      <c r="F1" s="147" t="inlineStr">
        <is>
          <t>Keys</t>
        </is>
      </c>
      <c r="G1" s="150" t="n"/>
      <c r="H1" s="150" t="n"/>
      <c r="I1" s="150" t="n"/>
      <c r="J1" s="150" t="n"/>
      <c r="K1" s="150" t="n"/>
      <c r="L1" s="151" t="n"/>
      <c r="M1" s="9" t="n"/>
      <c r="N1" s="9" t="n"/>
      <c r="O1" s="9" t="n"/>
      <c r="P1" s="9" t="n"/>
      <c r="Q1" s="9" t="n"/>
    </row>
    <row r="2" ht="20.25" customHeight="1" s="145">
      <c r="A2" s="152" t="n"/>
      <c r="B2" s="153" t="n"/>
      <c r="C2" s="154" t="n"/>
      <c r="D2" s="155" t="n"/>
      <c r="E2" s="5" t="n"/>
      <c r="F2" s="14" t="inlineStr">
        <is>
          <t>Pass</t>
        </is>
      </c>
      <c r="G2" s="148" t="n"/>
      <c r="H2" s="77" t="inlineStr">
        <is>
          <t>Passed steps of Test Case</t>
        </is>
      </c>
      <c r="I2" s="150" t="n"/>
      <c r="J2" s="150" t="n"/>
      <c r="K2" s="150" t="n"/>
      <c r="L2" s="151" t="n"/>
      <c r="M2" s="26" t="n"/>
      <c r="N2" s="26" t="n"/>
      <c r="O2" s="26" t="n"/>
      <c r="P2" s="26" t="n"/>
      <c r="Q2" s="26" t="n"/>
    </row>
    <row r="3" ht="27" customHeight="1" s="145">
      <c r="A3" s="152" t="n"/>
      <c r="B3" s="156" t="n"/>
      <c r="C3" s="148" t="n"/>
      <c r="D3" s="149" t="n"/>
      <c r="E3" s="5" t="n"/>
      <c r="F3" s="14" t="inlineStr">
        <is>
          <t>Fail</t>
        </is>
      </c>
      <c r="G3" s="148" t="n"/>
      <c r="H3" s="77" t="inlineStr">
        <is>
          <t>Failed steps of Test Case</t>
        </is>
      </c>
      <c r="I3" s="150" t="n"/>
      <c r="J3" s="150" t="n"/>
      <c r="K3" s="150" t="n"/>
      <c r="L3" s="151" t="n"/>
      <c r="M3" s="26" t="n"/>
      <c r="N3" s="26" t="n"/>
      <c r="O3" s="26" t="n"/>
      <c r="P3" s="26" t="n"/>
      <c r="Q3" s="26" t="n"/>
    </row>
    <row r="4" ht="27" customHeight="1" s="145">
      <c r="A4" s="152" t="n"/>
      <c r="B4" s="157" t="n"/>
      <c r="D4" s="158" t="n"/>
      <c r="E4" s="5" t="n"/>
      <c r="F4" s="14" t="inlineStr">
        <is>
          <t>N/A</t>
        </is>
      </c>
      <c r="G4" s="148" t="n"/>
      <c r="H4" s="77" t="inlineStr">
        <is>
          <t>Not applicable to your testing</t>
        </is>
      </c>
      <c r="I4" s="77" t="n"/>
      <c r="J4" s="77" t="n"/>
      <c r="K4" s="77" t="n"/>
      <c r="L4" s="77" t="n"/>
      <c r="M4" s="26" t="n"/>
      <c r="N4" s="26" t="n"/>
      <c r="O4" s="26" t="n"/>
      <c r="P4" s="26" t="n"/>
      <c r="Q4" s="26" t="n"/>
    </row>
    <row r="5" ht="27" customHeight="1" s="145">
      <c r="A5" s="159" t="n"/>
      <c r="B5" s="153" t="n"/>
      <c r="C5" s="154" t="n"/>
      <c r="D5" s="155" t="n"/>
      <c r="E5" s="5" t="n"/>
      <c r="F5" s="22" t="inlineStr">
        <is>
          <t>Blocking</t>
        </is>
      </c>
      <c r="G5" s="148" t="n"/>
      <c r="H5" s="77" t="inlineStr">
        <is>
          <t>Failed and is a critical feature or cannot proceed with testing</t>
        </is>
      </c>
      <c r="I5" s="150" t="n"/>
      <c r="J5" s="150" t="n"/>
      <c r="K5" s="150" t="n"/>
      <c r="L5" s="151" t="n"/>
      <c r="M5" s="23" t="n"/>
      <c r="N5" s="23" t="n"/>
      <c r="O5" s="23" t="n"/>
      <c r="P5" s="23" t="n"/>
      <c r="Q5" s="23" t="n"/>
    </row>
    <row r="6" ht="17.25" customHeight="1" s="145">
      <c r="A6" s="24" t="inlineStr">
        <is>
          <t>Name of Tester</t>
        </is>
      </c>
      <c r="B6" s="24" t="inlineStr">
        <is>
          <t>Start Date</t>
        </is>
      </c>
      <c r="C6" s="24" t="inlineStr">
        <is>
          <t>End Date</t>
        </is>
      </c>
      <c r="D6" s="5" t="n"/>
      <c r="E6" s="5" t="n"/>
      <c r="F6" s="160" t="inlineStr">
        <is>
          <t>Unanswered</t>
        </is>
      </c>
      <c r="G6" s="151" t="n"/>
      <c r="H6" s="77" t="inlineStr">
        <is>
          <t>Unanswered/ blank test cases</t>
        </is>
      </c>
      <c r="I6" s="150" t="n"/>
      <c r="J6" s="150" t="n"/>
      <c r="K6" s="150" t="n"/>
      <c r="L6" s="151" t="n"/>
      <c r="M6" s="26" t="n"/>
      <c r="N6" s="26" t="n"/>
      <c r="O6" s="26" t="n"/>
      <c r="P6" s="26" t="n"/>
      <c r="Q6" s="26" t="n"/>
    </row>
    <row r="7">
      <c r="A7" s="30" t="n"/>
      <c r="B7" s="28" t="n"/>
      <c r="C7" s="29" t="n"/>
      <c r="D7" s="5" t="n"/>
      <c r="E7" s="9" t="n"/>
      <c r="F7" s="30" t="n"/>
      <c r="G7" s="30" t="n"/>
      <c r="H7" s="30" t="n"/>
      <c r="I7" s="30" t="n"/>
      <c r="J7" s="30" t="n"/>
      <c r="K7" s="30" t="n"/>
      <c r="L7" s="30" t="n"/>
      <c r="M7" s="30" t="n"/>
      <c r="N7" s="30" t="n"/>
      <c r="O7" s="30" t="n"/>
      <c r="P7" s="30" t="n"/>
      <c r="Q7" s="30" t="n"/>
    </row>
    <row r="8">
      <c r="A8" s="30" t="n"/>
      <c r="B8" s="28" t="n"/>
      <c r="C8" s="29" t="n"/>
      <c r="D8" s="5" t="n"/>
      <c r="E8" s="9" t="n"/>
      <c r="F8" s="30" t="n"/>
      <c r="G8" s="30" t="n"/>
      <c r="H8" s="30" t="n"/>
      <c r="I8" s="30" t="n"/>
      <c r="J8" s="30" t="n"/>
      <c r="K8" s="30" t="n"/>
      <c r="L8" s="30" t="n"/>
      <c r="M8" s="30" t="n"/>
      <c r="N8" s="30" t="n"/>
      <c r="O8" s="30" t="n"/>
      <c r="P8" s="30" t="n"/>
      <c r="Q8" s="30" t="n"/>
    </row>
    <row r="9">
      <c r="A9" s="33" t="inlineStr">
        <is>
          <t>Tab</t>
        </is>
      </c>
      <c r="B9" s="33" t="inlineStr">
        <is>
          <t>Execution Status</t>
        </is>
      </c>
      <c r="C9" s="33" t="inlineStr">
        <is>
          <t>Duration (In Hours)</t>
        </is>
      </c>
      <c r="D9" s="33" t="inlineStr">
        <is>
          <t>Comments (if any)</t>
        </is>
      </c>
      <c r="E9" s="34" t="n"/>
      <c r="F9" s="36" t="inlineStr">
        <is>
          <t>Case Results
(if none, displays as 0)</t>
        </is>
      </c>
      <c r="G9" s="154" t="n"/>
      <c r="H9" s="154" t="n"/>
      <c r="I9" s="154" t="n"/>
      <c r="J9" s="155" t="n"/>
      <c r="K9" s="36" t="inlineStr">
        <is>
          <t>Total</t>
        </is>
      </c>
      <c r="L9" s="34" t="n"/>
      <c r="M9" s="36" t="inlineStr">
        <is>
          <t>Ticket Summaries (if none, displays as #N/A)</t>
        </is>
      </c>
      <c r="N9" s="154" t="n"/>
      <c r="O9" s="154" t="n"/>
      <c r="P9" s="154" t="n"/>
      <c r="Q9" s="155" t="n"/>
    </row>
    <row r="10">
      <c r="A10" s="37">
        <f>sheetName(2)</f>
        <v/>
      </c>
      <c r="B10" s="39" t="n"/>
      <c r="C10" s="39" t="n"/>
      <c r="D10" s="39" t="n"/>
      <c r="E10" s="34" t="n"/>
      <c r="F10" s="40">
        <f>countif(INDIRECT("'"&amp;A10&amp;"'!"&amp;"E2:E100"), "Pass")</f>
        <v/>
      </c>
      <c r="G10" s="41">
        <f>countif(INDIRECT("'"&amp;A10&amp;"'!"&amp;"E2:E100"), "Fail")</f>
        <v/>
      </c>
      <c r="H10" s="42">
        <f>countif(INDIRECT("'"&amp;A10&amp;"'!"&amp;"E2:E100"), "N/A")</f>
        <v/>
      </c>
      <c r="I10" s="43">
        <f>countif(INDIRECT("'"&amp;A10&amp;"'!"&amp;"E2:E100"), "Blocking")</f>
        <v/>
      </c>
      <c r="J10" s="44">
        <f>countif(INDIRECT("'"&amp;A10&amp;"'!"&amp;"E2:E100"), "")</f>
        <v/>
      </c>
      <c r="K10" s="45">
        <f>sum(F10:J10)</f>
        <v/>
      </c>
      <c r="L10" s="34" t="n"/>
      <c r="M10" s="45">
        <f>IFERROR(__xludf.DUMMYFUNCTION(" TRANSPOSE(UNIQUE( FILTER( INDIRECT(""'""&amp;$A$10&amp;""'!""&amp;""F2:F100"") , NOT(ISBLANK(INDIRECT(""'""&amp;$A$10&amp;""'!""&amp;""F2:F100""))) ) ))"),"#N/A")</f>
        <v/>
      </c>
      <c r="N10" s="45" t="n"/>
      <c r="O10" s="45" t="n"/>
      <c r="P10" s="45" t="n"/>
      <c r="Q10" s="45" t="n"/>
    </row>
    <row r="11">
      <c r="A11" s="37">
        <f>sheetName(3)</f>
        <v/>
      </c>
      <c r="B11" s="39" t="n"/>
      <c r="C11" s="39" t="n"/>
      <c r="D11" s="39" t="n"/>
      <c r="E11" s="34" t="n"/>
      <c r="F11" s="40">
        <f>countif(INDIRECT("'"&amp;A11&amp;"'!"&amp;"E2:E100"), "Pass")</f>
        <v/>
      </c>
      <c r="G11" s="41">
        <f>countif(INDIRECT("'"&amp;A11&amp;"'!"&amp;"E2:E100"), "Fail")</f>
        <v/>
      </c>
      <c r="H11" s="42">
        <f>countif(INDIRECT("'"&amp;A11&amp;"'!"&amp;"E2:E100"), "N/A")</f>
        <v/>
      </c>
      <c r="I11" s="43">
        <f>countif(INDIRECT("'"&amp;A11&amp;"'!"&amp;"E2:E100"), "Blocking")</f>
        <v/>
      </c>
      <c r="J11" s="44">
        <f>countif(INDIRECT("'"&amp;A11&amp;"'!"&amp;"E2:E100"), "")</f>
        <v/>
      </c>
      <c r="K11" s="45">
        <f>sum(F11:J11)</f>
        <v/>
      </c>
      <c r="L11" s="34" t="n"/>
      <c r="M11" s="45">
        <f>IFERROR(__xludf.DUMMYFUNCTION(" TRANSPOSE(UNIQUE( FILTER( INDIRECT(""'""&amp;$A$10&amp;""'!""&amp;""F2:F100"") , NOT(ISBLANK(INDIRECT(""'""&amp;$A$10&amp;""'!""&amp;""F2:F100""))) ) ))"),"#N/A")</f>
        <v/>
      </c>
      <c r="N11" s="45" t="n"/>
      <c r="O11" s="45" t="n"/>
      <c r="P11" s="45" t="n"/>
      <c r="Q11" s="45" t="n"/>
    </row>
    <row r="12">
      <c r="A12" s="37">
        <f>sheetName(4)</f>
        <v/>
      </c>
      <c r="B12" s="47" t="n"/>
      <c r="C12" s="47" t="n"/>
      <c r="D12" s="47" t="n"/>
      <c r="E12" s="47" t="n"/>
      <c r="F12" s="40">
        <f>countif(INDIRECT("'"&amp;A12&amp;"'!"&amp;"E2:E100"), "Pass")</f>
        <v/>
      </c>
      <c r="G12" s="41">
        <f>countif(INDIRECT("'"&amp;A12&amp;"'!"&amp;"E2:E100"), "Fail")</f>
        <v/>
      </c>
      <c r="H12" s="42">
        <f>countif(INDIRECT("'"&amp;A12&amp;"'!"&amp;"E2:E100"), "N/A")</f>
        <v/>
      </c>
      <c r="I12" s="43">
        <f>countif(INDIRECT("'"&amp;A12&amp;"'!"&amp;"E2:E100"), "Blocking")</f>
        <v/>
      </c>
      <c r="J12" s="44">
        <f>countif(INDIRECT("'"&amp;A12&amp;"'!"&amp;"E2:E100"), "")</f>
        <v/>
      </c>
      <c r="K12" s="45">
        <f>sum(F12:J12)</f>
        <v/>
      </c>
      <c r="L12" s="47" t="n"/>
      <c r="M12" s="48" t="n"/>
      <c r="N12" s="48" t="n"/>
      <c r="O12" s="48" t="n"/>
      <c r="P12" s="48" t="n"/>
      <c r="Q12" s="48" t="n"/>
    </row>
    <row r="13">
      <c r="A13" s="37">
        <f>sheetName(5)</f>
        <v/>
      </c>
      <c r="B13" s="47" t="n"/>
      <c r="C13" s="47" t="n"/>
      <c r="D13" s="47" t="n"/>
      <c r="E13" s="47" t="n"/>
      <c r="F13" s="40">
        <f>countif(INDIRECT("'"&amp;A13&amp;"'!"&amp;"E2:E100"), "Pass")</f>
        <v/>
      </c>
      <c r="G13" s="41">
        <f>countif(INDIRECT("'"&amp;A13&amp;"'!"&amp;"E2:E100"), "Fail")</f>
        <v/>
      </c>
      <c r="H13" s="42">
        <f>countif(INDIRECT("'"&amp;A13&amp;"'!"&amp;"E2:E100"), "N/A")</f>
        <v/>
      </c>
      <c r="I13" s="43">
        <f>countif(INDIRECT("'"&amp;A13&amp;"'!"&amp;"E2:E100"), "Blocking")</f>
        <v/>
      </c>
      <c r="J13" s="44">
        <f>countif(INDIRECT("'"&amp;A13&amp;"'!"&amp;"E2:E100"), "")</f>
        <v/>
      </c>
      <c r="K13" s="45">
        <f>sum(F13:J13)</f>
        <v/>
      </c>
      <c r="L13" s="47" t="n"/>
      <c r="M13" s="48" t="n"/>
      <c r="N13" s="48" t="n"/>
      <c r="O13" s="48" t="n"/>
      <c r="P13" s="48" t="n"/>
      <c r="Q13" s="48" t="n"/>
    </row>
    <row r="14">
      <c r="A14" s="37">
        <f>sheetName(6)</f>
        <v/>
      </c>
      <c r="B14" s="47" t="n"/>
      <c r="C14" s="47" t="n"/>
      <c r="D14" s="47" t="n"/>
      <c r="E14" s="47" t="n"/>
      <c r="F14" s="40">
        <f>countif(INDIRECT("'"&amp;A14&amp;"'!"&amp;"E2:E100"), "Pass")</f>
        <v/>
      </c>
      <c r="G14" s="41">
        <f>countif(INDIRECT("'"&amp;A14&amp;"'!"&amp;"E2:E100"), "Fail")</f>
        <v/>
      </c>
      <c r="H14" s="42">
        <f>countif(INDIRECT("'"&amp;A14&amp;"'!"&amp;"E2:E100"), "N/A")</f>
        <v/>
      </c>
      <c r="I14" s="43">
        <f>countif(INDIRECT("'"&amp;A14&amp;"'!"&amp;"E2:E100"), "Blocking")</f>
        <v/>
      </c>
      <c r="J14" s="44">
        <f>countif(INDIRECT("'"&amp;A14&amp;"'!"&amp;"E2:E100"), "")</f>
        <v/>
      </c>
      <c r="K14" s="45">
        <f>sum(F14:J14)</f>
        <v/>
      </c>
      <c r="L14" s="47" t="n"/>
      <c r="M14" s="48" t="n"/>
      <c r="N14" s="48" t="n"/>
      <c r="O14" s="48" t="n"/>
      <c r="P14" s="48" t="n"/>
      <c r="Q14" s="48" t="n"/>
    </row>
    <row r="15">
      <c r="A15" s="37">
        <f>sheetName(7)</f>
        <v/>
      </c>
      <c r="B15" s="47" t="n"/>
      <c r="C15" s="47" t="n"/>
      <c r="D15" s="47" t="n"/>
      <c r="E15" s="47" t="n"/>
      <c r="F15" s="40">
        <f>countif(INDIRECT("'"&amp;A15&amp;"'!"&amp;"E2:E100"), "Pass")</f>
        <v/>
      </c>
      <c r="G15" s="41">
        <f>countif(INDIRECT("'"&amp;A15&amp;"'!"&amp;"E2:E100"), "Fail")</f>
        <v/>
      </c>
      <c r="H15" s="42">
        <f>countif(INDIRECT("'"&amp;A15&amp;"'!"&amp;"E2:E100"), "N/A")</f>
        <v/>
      </c>
      <c r="I15" s="43">
        <f>countif(INDIRECT("'"&amp;A15&amp;"'!"&amp;"E2:E100"), "Blocking")</f>
        <v/>
      </c>
      <c r="J15" s="44">
        <f>countif(INDIRECT("'"&amp;A15&amp;"'!"&amp;"E2:E100"), "")</f>
        <v/>
      </c>
      <c r="K15" s="45">
        <f>sum(F15:J15)</f>
        <v/>
      </c>
      <c r="L15" s="47" t="n"/>
      <c r="M15" s="48" t="n"/>
      <c r="N15" s="48" t="n"/>
      <c r="O15" s="48" t="n"/>
      <c r="P15" s="48" t="n"/>
      <c r="Q15" s="48" t="n"/>
    </row>
    <row r="16">
      <c r="A16" s="37">
        <f>sheetName(8)</f>
        <v/>
      </c>
      <c r="B16" s="47" t="n"/>
      <c r="C16" s="47" t="n"/>
      <c r="D16" s="47" t="n"/>
      <c r="E16" s="47" t="n"/>
      <c r="F16" s="40">
        <f>countif(INDIRECT("'"&amp;A16&amp;"'!"&amp;"E2:E100"), "Pass")</f>
        <v/>
      </c>
      <c r="G16" s="41">
        <f>countif(INDIRECT("'"&amp;A16&amp;"'!"&amp;"E2:E100"), "Fail")</f>
        <v/>
      </c>
      <c r="H16" s="42">
        <f>countif(INDIRECT("'"&amp;A16&amp;"'!"&amp;"E2:E100"), "N/A")</f>
        <v/>
      </c>
      <c r="I16" s="43">
        <f>countif(INDIRECT("'"&amp;A16&amp;"'!"&amp;"E2:E100"), "Blocking")</f>
        <v/>
      </c>
      <c r="J16" s="44">
        <f>countif(INDIRECT("'"&amp;A16&amp;"'!"&amp;"E2:E100"), "")</f>
        <v/>
      </c>
      <c r="K16" s="45">
        <f>sum(F16:J16)</f>
        <v/>
      </c>
      <c r="L16" s="47" t="n"/>
      <c r="M16" s="48" t="n"/>
      <c r="N16" s="48" t="n"/>
      <c r="O16" s="48" t="n"/>
      <c r="P16" s="48" t="n"/>
      <c r="Q16" s="48" t="n"/>
    </row>
  </sheetData>
  <mergeCells count="15">
    <mergeCell ref="F3:G3"/>
    <mergeCell ref="F4:G4"/>
    <mergeCell ref="F2:G2"/>
    <mergeCell ref="F1:L1"/>
    <mergeCell ref="F9:J9"/>
    <mergeCell ref="H2:L2"/>
    <mergeCell ref="B1:D2"/>
    <mergeCell ref="H3:L3"/>
    <mergeCell ref="B3:D5"/>
    <mergeCell ref="H6:L6"/>
    <mergeCell ref="F5:G5"/>
    <mergeCell ref="F6:G6"/>
    <mergeCell ref="H5:L5"/>
    <mergeCell ref="M9:Q9"/>
    <mergeCell ref="A1:A5"/>
  </mergeCells>
  <conditionalFormatting sqref="F2:F5">
    <cfRule type="cellIs" priority="1" operator="equal" dxfId="0">
      <formula>"Blocking"</formula>
    </cfRule>
    <cfRule type="cellIs" priority="2" operator="equal" dxfId="1">
      <formula>"Fail"</formula>
    </cfRule>
    <cfRule type="cellIs" priority="3" operator="equal" dxfId="2">
      <formula>"N/A"</formula>
    </cfRule>
    <cfRule type="cellIs" priority="4" operator="equal" dxfId="3">
      <formula>"Blocking"</formula>
    </cfRule>
    <cfRule type="cellIs" priority="5" operator="equal" dxfId="4">
      <formula>"Pass"</formula>
    </cfRule>
    <cfRule type="cellIs" priority="6" operator="equal" dxfId="5">
      <formula>"Fail"</formula>
    </cfRule>
    <cfRule type="cellIs" priority="7" operator="equal" dxfId="6">
      <formula>"N/A"</formula>
    </cfRule>
    <cfRule type="cellIs" priority="8" operator="equal" dxfId="7">
      <formula>"Blocking"</formula>
    </cfRule>
  </conditionalFormatting>
  <dataValidations count="3">
    <dataValidation sqref="B7:C7" showDropDown="1" showInputMessage="1" showErrorMessage="0" allowBlank="1" prompt="Enter a valid date" type="custom">
      <formula1>OR(NOT(ISERROR(DATEVALUE(B7))), AND(ISNUMBER(B7), LEFT(CELL("format", B7))="D"))</formula1>
    </dataValidation>
    <dataValidation sqref="F2:F5" showDropDown="0" showInputMessage="0" showErrorMessage="1" allowBlank="1" type="list">
      <formula1>"Pass,Fail,N/A,Blocking"</formula1>
    </dataValidation>
    <dataValidation sqref="B10:B16" showDropDown="0" showInputMessage="0" showErrorMessage="1" allowBlank="1" type="list">
      <formula1>"In Progress,Done,Blocked,Not Started"</formula1>
    </dataValidation>
  </dataValidations>
  <pageMargins left="0.75" right="0.75" top="1" bottom="1" header="0.5" footer="0.5"/>
</worksheet>
</file>

<file path=xl/worksheets/sheet6.xml><?xml version="1.0" encoding="utf-8"?>
<worksheet xmlns="http://schemas.openxmlformats.org/spreadsheetml/2006/main">
  <sheetPr>
    <tabColor rgb="FFFFFFFF"/>
    <outlinePr summaryBelow="0" summaryRight="0"/>
    <pageSetUpPr/>
  </sheetPr>
  <dimension ref="A1:G45"/>
  <sheetViews>
    <sheetView workbookViewId="0">
      <pane ySplit="1" topLeftCell="A2" activePane="bottomLeft" state="frozen"/>
      <selection pane="bottomLeft" activeCell="B3" sqref="B3"/>
    </sheetView>
  </sheetViews>
  <sheetFormatPr baseColWidth="8" defaultColWidth="12.63" defaultRowHeight="15.75" customHeight="1"/>
  <cols>
    <col width="17" customWidth="1" style="145" min="1" max="1"/>
    <col width="45.25" customWidth="1" style="145" min="2" max="2"/>
    <col width="43.13" customWidth="1" style="145" min="3" max="3"/>
    <col width="44.25" customWidth="1" style="145" min="4" max="4"/>
    <col width="17.5" customWidth="1" style="145" min="5" max="5"/>
    <col width="15" customWidth="1" style="145" min="6" max="7"/>
  </cols>
  <sheetData>
    <row r="1" ht="13.5" customHeight="1" s="145">
      <c r="A1" s="49" t="inlineStr">
        <is>
          <t>Test Case ID</t>
        </is>
      </c>
      <c r="B1" s="49" t="inlineStr">
        <is>
          <t>Description</t>
        </is>
      </c>
      <c r="C1" s="50" t="inlineStr">
        <is>
          <t>Steps</t>
        </is>
      </c>
      <c r="D1" s="50" t="inlineStr">
        <is>
          <t>Outcome</t>
        </is>
      </c>
      <c r="E1" s="49" t="inlineStr">
        <is>
          <t>Status (Pass/Fail)</t>
        </is>
      </c>
      <c r="F1" s="50" t="inlineStr">
        <is>
          <t>Ticket/ Bug</t>
        </is>
      </c>
      <c r="G1" s="50" t="inlineStr">
        <is>
          <t>Comments</t>
        </is>
      </c>
    </row>
    <row r="2" ht="12.75" customHeight="1" s="145">
      <c r="A2" s="51" t="inlineStr">
        <is>
          <t>TC_01</t>
        </is>
      </c>
      <c r="B2" s="52" t="inlineStr">
        <is>
          <t>Confirm an existing user is able to sign in and is able to continue to work</t>
        </is>
      </c>
      <c r="C2" s="114" t="inlineStr">
        <is>
          <t>1. Install CCC app
2. Expand left hand menu
3. Click on sign up/ register for personal ID
4. Sign up with personal ID
5. Verify all the opportunities progress is able to resume</t>
        </is>
      </c>
      <c r="D2" s="54" t="inlineStr">
        <is>
          <t>Exisiting user should be able to sign in and continue to workl</t>
        </is>
      </c>
      <c r="E2" s="55" t="n"/>
      <c r="F2" s="57" t="n"/>
      <c r="G2" s="51" t="n"/>
    </row>
    <row r="3" ht="12.75" customHeight="1" s="145">
      <c r="A3" s="51" t="inlineStr">
        <is>
          <t>TC_02</t>
        </is>
      </c>
      <c r="B3" s="52" t="inlineStr">
        <is>
          <t>Verify when user updates to the latest beta app, the user remains signed in</t>
        </is>
      </c>
      <c r="C3" s="114" t="inlineStr">
        <is>
          <t xml:space="preserve">1. Sign up for personal ID
2. Update the app to latest version
</t>
        </is>
      </c>
      <c r="D3" s="54" t="inlineStr">
        <is>
          <t>- Already signed in user should remain signed in on updating to the latest version
- The user shouldn't lose any information or progress for any of the opportunity</t>
        </is>
      </c>
      <c r="E3" s="55" t="n"/>
      <c r="F3" s="57" t="n"/>
      <c r="G3" s="57" t="n"/>
    </row>
    <row r="4" ht="12.75" customHeight="1" s="145">
      <c r="A4" s="51" t="inlineStr">
        <is>
          <t>TC_03</t>
        </is>
      </c>
      <c r="B4" s="52" t="inlineStr">
        <is>
          <t>Verify user can logout of Personal ID and re-authenitcate themselves</t>
        </is>
      </c>
      <c r="C4" s="114" t="inlineStr">
        <is>
          <t xml:space="preserve">1. Sign up for personal ID
2. Submit few delivery forms for an opportunity
3. Click on 3 dots menu &gt;&gt; forget personal ID
4. Again sign up for personal ID
</t>
        </is>
      </c>
      <c r="D4" s="54" t="inlineStr">
        <is>
          <t xml:space="preserve">User should be able to resume work after sign-ing in again </t>
        </is>
      </c>
      <c r="E4" s="55" t="n"/>
      <c r="F4" s="57" t="n"/>
      <c r="G4" s="57" t="n"/>
    </row>
    <row r="5" ht="12.75" customHeight="1" s="145">
      <c r="A5" s="51" t="inlineStr">
        <is>
          <t>TC_04</t>
        </is>
      </c>
      <c r="B5" s="52" t="inlineStr">
        <is>
          <t>Verify user sees a new Hamburger menu on the left side top corner</t>
        </is>
      </c>
      <c r="C5" s="52" t="inlineStr">
        <is>
          <t>1. Install CCC app
2. Expand left hand menu
3. Click on sign up/ register for personal ID
4. Sign up with personal ID</t>
        </is>
      </c>
      <c r="D5" s="54" t="inlineStr">
        <is>
          <t>User should be able to see the hamburger option
- Upon clicking it hamburger option, new side navigation drawer should get open
- Should see a "sign up/register for personalID", "About" options</t>
        </is>
      </c>
      <c r="E5" s="55" t="n"/>
      <c r="F5" s="57" t="n"/>
      <c r="G5" s="57" t="n"/>
    </row>
    <row r="6" ht="12.75" customHeight="1" s="145">
      <c r="A6" s="51" t="inlineStr">
        <is>
          <t>TC_05</t>
        </is>
      </c>
      <c r="B6" s="52" t="inlineStr">
        <is>
          <t>Verify on clicking the "Sign up Personal ID" option, user is redirected to the Start Page</t>
        </is>
      </c>
      <c r="C6" s="114" t="inlineStr">
        <is>
          <t>1. Install CCC app
2. Expand left hand menu
3. Click on sign up for personal ID</t>
        </is>
      </c>
      <c r="D6" s="52" t="inlineStr">
        <is>
          <t xml:space="preserve">User should be taken to the Start page and see the following changes on the page:
- Name of the page should be "Get Started with PersonalID"
- User should only see one field to enter the phone number 
- The field name should be "Enter your Phone Number"
- User should see a continue button as well
- User should also see a T&amp;Cs checkbox </t>
        </is>
      </c>
      <c r="E6" s="58" t="n"/>
      <c r="F6" s="57" t="n"/>
      <c r="G6" s="57" t="n"/>
    </row>
    <row r="7" ht="12.75" customHeight="1" s="145">
      <c r="A7" s="51" t="inlineStr">
        <is>
          <t>TC_06</t>
        </is>
      </c>
      <c r="B7" s="52" t="inlineStr">
        <is>
          <t xml:space="preserve">Verify validations for the phone number field </t>
        </is>
      </c>
      <c r="C7" s="114" t="inlineStr">
        <is>
          <t xml:space="preserve">Continue from above TC
- enter mobile number
</t>
        </is>
      </c>
      <c r="D7" s="52" t="inlineStr">
        <is>
          <t>- User should see the country code auto-filled when they land on the start page 
- User should be able to enter any digits into the field 
- User shold not be able to continue without entering a valid mobile number
- The button should remain disabled if the number of digits entered for the phone number is less than the required digits for that country’s format (e.g., for an Indian number, the user must enter 10 digits).</t>
        </is>
      </c>
      <c r="E7" s="58" t="n"/>
      <c r="F7" s="57" t="n"/>
      <c r="G7" s="57" t="n"/>
    </row>
    <row r="8" ht="12.75" customHeight="1" s="145">
      <c r="A8" s="51" t="inlineStr">
        <is>
          <t>TC_07</t>
        </is>
      </c>
      <c r="B8" s="52" t="inlineStr">
        <is>
          <t>Confirm on clicking the continue button, user is taken to the Android Device Authentication page</t>
        </is>
      </c>
      <c r="C8" s="52" t="inlineStr">
        <is>
          <t xml:space="preserve">Continue from above TC
- enter mobile number and continue
</t>
        </is>
      </c>
      <c r="D8" s="52" t="inlineStr">
        <is>
          <t>- User should be asked to verify themselves by using PIN/Pattern or biometrics that they have configured for their android device</t>
        </is>
      </c>
      <c r="E8" s="58" t="n"/>
      <c r="F8" s="57" t="n"/>
      <c r="G8" s="57" t="n"/>
    </row>
    <row r="9" ht="12.75" customHeight="1" s="145">
      <c r="A9" s="51" t="inlineStr">
        <is>
          <t>TC_08</t>
        </is>
      </c>
      <c r="B9" s="52" t="inlineStr">
        <is>
          <t xml:space="preserve">Verify that user is taken to device settings, to configure authentication when there's no device authentication configured </t>
        </is>
      </c>
      <c r="C9" s="114" t="inlineStr">
        <is>
          <t>Prerequisite: Mobile device shouldn't be have any lock/finger print configurations
1. Click on Sign up for personal ID
2. Enter mobile number and click continue
3. Click on configure fingerprint
4. User should be taken to device settings to configure fingerprint</t>
        </is>
      </c>
      <c r="D9" s="52" t="inlineStr">
        <is>
          <t>- User should be taken to the settings to configure fingerprints on the device
- User should see the option "Configure Fingerprint"  on the screen when there's no biometrics configured on the device</t>
        </is>
      </c>
      <c r="E9" s="58" t="n"/>
      <c r="F9" s="57" t="n"/>
      <c r="G9" s="57" t="n"/>
    </row>
    <row r="10" ht="12.75" customHeight="1" s="145">
      <c r="A10" s="51" t="inlineStr">
        <is>
          <t>TC_09</t>
        </is>
      </c>
      <c r="B10" s="52" t="inlineStr">
        <is>
          <t xml:space="preserve">Verify on authenticating the android device successfully, user is taken to the OTP page </t>
        </is>
      </c>
      <c r="C10" s="114" t="inlineStr">
        <is>
          <t>Continue to above TC
- Click on agree &amp; continue 
- Scan fingerprint/ enter lock pin or pattern
- user lands on the otp page</t>
        </is>
      </c>
      <c r="D10" s="52" t="inlineStr">
        <is>
          <t xml:space="preserve">- User should be redirected to the OTP screen once they have successfully authenticated the android device </t>
        </is>
      </c>
      <c r="E10" s="58" t="n"/>
      <c r="F10" s="57" t="n"/>
      <c r="G10" s="57" t="n"/>
    </row>
    <row r="11" ht="12.75" customHeight="1" s="145">
      <c r="A11" s="51" t="inlineStr">
        <is>
          <t>TC_10</t>
        </is>
      </c>
      <c r="B11" s="52" t="inlineStr">
        <is>
          <t>Confirm when user lands on the OTP page, they receive an OTP on the mobile number they entered on the Start page</t>
        </is>
      </c>
      <c r="C11" s="52" t="n"/>
      <c r="D11" s="52" t="inlineStr">
        <is>
          <t xml:space="preserve">- User should recieve an OTP on the mobile number they entered when they land on the OTP page
- Verify and Resend button should remain greyed out </t>
        </is>
      </c>
      <c r="E11" s="58" t="n"/>
      <c r="F11" s="57" t="n"/>
      <c r="G11" s="57" t="n"/>
    </row>
    <row r="12" ht="12.75" customHeight="1" s="145">
      <c r="A12" s="51" t="inlineStr">
        <is>
          <t>TC_11</t>
        </is>
      </c>
      <c r="B12" s="52" t="inlineStr">
        <is>
          <t>Confirm user is able to resen code after 120 seconds only</t>
        </is>
      </c>
      <c r="C12" s="114" t="inlineStr">
        <is>
          <t>1.Click on sign up for personal ID
2. Enter mobile number
3. Authenticate with app lock/finger print
4. Otp generates, wait 120 seconds and resend code button is enabled
5. Click on resend button</t>
        </is>
      </c>
      <c r="D12" s="52" t="inlineStr">
        <is>
          <t>- User should only be able to click on the Resend button after the 120 secs have passed 
- They should receive the same OTP again when they click on the resend code button
- The button should get disabled again after user have pressed it</t>
        </is>
      </c>
      <c r="E12" s="58" t="n"/>
      <c r="F12" s="57" t="n"/>
      <c r="G12" s="57" t="n"/>
    </row>
    <row r="13" ht="12.75" customHeight="1" s="145">
      <c r="A13" s="51" t="inlineStr">
        <is>
          <t>TC_12</t>
        </is>
      </c>
      <c r="B13" s="52" t="inlineStr">
        <is>
          <t>Confirm that the verify button gets enabled when user enter the OTP code</t>
        </is>
      </c>
      <c r="C13" s="114" t="inlineStr">
        <is>
          <t>Continue from above TC
- Enter the generated otp in the fields
- Verify button is enabled</t>
        </is>
      </c>
      <c r="D13" s="52" t="inlineStr">
        <is>
          <t xml:space="preserve">- Verify button should get enabled when user enters a code in the OTP field 
- Button shouold get enabled even if the OTP entered is wrong </t>
        </is>
      </c>
      <c r="E13" s="58" t="n"/>
      <c r="F13" s="57" t="n"/>
      <c r="G13" s="57" t="n"/>
    </row>
    <row r="14" ht="12.75" customHeight="1" s="145">
      <c r="A14" s="51" t="inlineStr">
        <is>
          <t>TC_13</t>
        </is>
      </c>
      <c r="B14" s="52" t="inlineStr">
        <is>
          <t>Verify user cannot verify the phone by entering the wrong OTP</t>
        </is>
      </c>
      <c r="C14" s="114" t="inlineStr">
        <is>
          <t>Continue from above TC
- Enter the wrong otp &gt;&gt; click on verify button</t>
        </is>
      </c>
      <c r="D14" s="52" t="inlineStr">
        <is>
          <t xml:space="preserve">- User should see an error message if they enter the wrong OTP and click on verify button </t>
        </is>
      </c>
      <c r="E14" s="58" t="n"/>
      <c r="F14" s="57" t="n"/>
      <c r="G14" s="57" t="n"/>
    </row>
    <row r="15" ht="12.75" customHeight="1" s="145">
      <c r="A15" s="51" t="inlineStr">
        <is>
          <t>TC_14</t>
        </is>
      </c>
      <c r="B15" s="52" t="inlineStr">
        <is>
          <t xml:space="preserve">Confirm that user is able to enter and delete any digit in the OTP fields </t>
        </is>
      </c>
      <c r="C15" s="52" t="n"/>
      <c r="D15" s="52" t="inlineStr">
        <is>
          <t xml:space="preserve">- User should be able to enter any digits in the OTP fields without any issue 
- User should also be able to delete any digit in the OTP fields and the cursor should move back to the previous field </t>
        </is>
      </c>
      <c r="E15" s="58" t="n"/>
      <c r="F15" s="57" t="n"/>
      <c r="G15" s="57" t="n"/>
    </row>
    <row r="16" ht="12.75" customHeight="1" s="145">
      <c r="A16" s="51" t="inlineStr">
        <is>
          <t>TC_15</t>
        </is>
      </c>
      <c r="B16" s="52" t="inlineStr">
        <is>
          <t xml:space="preserve">Verify on successfully verifying the OTP, user is taken to the Name page </t>
        </is>
      </c>
      <c r="C16" s="114" t="inlineStr">
        <is>
          <t>Cont from above TC
- Enter correct otp &gt;&gt; click on verify button</t>
        </is>
      </c>
      <c r="D16" s="52" t="inlineStr">
        <is>
          <t>- User should be redirected to the Name page on entering the correct OTP</t>
        </is>
      </c>
      <c r="E16" s="58" t="n"/>
      <c r="F16" s="57" t="n"/>
      <c r="G16" s="57" t="n"/>
    </row>
    <row r="17" ht="12.75" customHeight="1" s="145">
      <c r="A17" s="51" t="inlineStr">
        <is>
          <t>TC_16</t>
        </is>
      </c>
      <c r="B17" s="52" t="inlineStr">
        <is>
          <t>Confirm user can change the phone number by clicking the 'change' option</t>
        </is>
      </c>
      <c r="C17" s="114" t="inlineStr">
        <is>
          <t>1.Click on sign up for personal ID
2. Enter mobile number
3. Click on change option on verification code page</t>
        </is>
      </c>
      <c r="D17" s="52" t="inlineStr">
        <is>
          <t xml:space="preserve">- User should be redirected back to the Start page if they click on the change option 
- User should be able to edit the phone number and restart the sign up process again </t>
        </is>
      </c>
      <c r="E17" s="58" t="n"/>
      <c r="F17" s="57" t="n"/>
      <c r="G17" s="57" t="n"/>
    </row>
    <row r="18" ht="12.75" customHeight="1" s="145">
      <c r="A18" s="51" t="inlineStr">
        <is>
          <t>TC_17</t>
        </is>
      </c>
      <c r="B18" s="52" t="inlineStr">
        <is>
          <t>Confirm user sees the page title and name field on the Name page</t>
        </is>
      </c>
      <c r="C18" s="114" t="inlineStr">
        <is>
          <t>1. Click on sign up for personal ID
2. Enter mobile number
3. Agree and continue with fingerprint
4. Enter otp and verify
5. User lands on the name page</t>
        </is>
      </c>
      <c r="D18" s="52" t="inlineStr">
        <is>
          <t>- User should see the subtitle heading on the page "Please enter your name as it appears on your government-issued identification"
- User should also see a Name field and a continue button on the screen</t>
        </is>
      </c>
      <c r="E18" s="58" t="n"/>
      <c r="F18" s="57" t="n"/>
      <c r="G18" s="57" t="n"/>
    </row>
    <row r="19" ht="12.75" customHeight="1" s="145">
      <c r="A19" s="51" t="inlineStr">
        <is>
          <t>TC_18</t>
        </is>
      </c>
      <c r="B19" s="52" t="inlineStr">
        <is>
          <t xml:space="preserve">Confirm users name is verified agains the DB for potential duplicate account </t>
        </is>
      </c>
      <c r="C19" s="114" t="inlineStr">
        <is>
          <t>cont from above TC
- Enter name and click continue</t>
        </is>
      </c>
      <c r="D19" s="52" t="inlineStr">
        <is>
          <t>- After the user selects “Continue” the system will be validating this name against a fuzzy match of possible names in the DB to suggest possible duplicates. 
- From here the flow will branch depending upon if this is a new or returning user</t>
        </is>
      </c>
      <c r="E19" s="58" t="n"/>
      <c r="F19" s="57" t="n"/>
      <c r="G19" s="57" t="n"/>
    </row>
    <row r="20" ht="12.75" customHeight="1" s="145">
      <c r="A20" s="51" t="inlineStr">
        <is>
          <t>TC_19</t>
        </is>
      </c>
      <c r="B20" s="52" t="inlineStr">
        <is>
          <t xml:space="preserve">Confirm user lands on the "Backup Code" screen after entering the name </t>
        </is>
      </c>
      <c r="C20" s="114" t="inlineStr">
        <is>
          <t>cont from above TC
- Click continue on name page 
- User land son the back up code screen</t>
        </is>
      </c>
      <c r="D20" s="52" t="inlineStr">
        <is>
          <t xml:space="preserve">- User should land on the "Backup Code" page/screen 
- Here, Dimagi logo should've been updated by CommCare logo 
- User should see two fields to setup backup code and continue button </t>
        </is>
      </c>
      <c r="E20" s="58" t="n"/>
      <c r="F20" s="57" t="n"/>
      <c r="G20" s="57" t="n"/>
    </row>
    <row r="21" ht="12.75" customHeight="1" s="145">
      <c r="A21" s="51" t="inlineStr">
        <is>
          <t>TC_20</t>
        </is>
      </c>
      <c r="B21" s="52" t="inlineStr">
        <is>
          <t xml:space="preserve">Verify user can setup a backup code and conitnue forward </t>
        </is>
      </c>
      <c r="C21" s="114" t="inlineStr">
        <is>
          <t>cont from above TC
- Enter the back up code field
- Enter the same code in confirm field
- Click on continue</t>
        </is>
      </c>
      <c r="D21" s="52" t="inlineStr">
        <is>
          <t xml:space="preserve">- User should be able to setup a new bacup code by entering the same code in both the fields 
i) Code 
ii) Confirm Code 
- User should be be navigated to the 'Photo' page on clicking continue </t>
        </is>
      </c>
      <c r="E21" s="58" t="n"/>
      <c r="F21" s="57" t="n"/>
      <c r="G21" s="57" t="n"/>
    </row>
    <row r="22" ht="12.75" customHeight="1" s="145">
      <c r="A22" s="51" t="inlineStr">
        <is>
          <t>TC_21</t>
        </is>
      </c>
      <c r="B22" s="52" t="inlineStr">
        <is>
          <t>Ensure user can only continue if they enter the same code in the two input boxes</t>
        </is>
      </c>
      <c r="C22" s="52" t="n"/>
      <c r="D22" s="52" t="inlineStr">
        <is>
          <t xml:space="preserve">- User should see an error message, when the code in the two input fields do not match 
- User should not be able to continue to next page </t>
        </is>
      </c>
      <c r="E22" s="58" t="n"/>
      <c r="F22" s="57" t="n"/>
      <c r="G22" s="57" t="n"/>
    </row>
    <row r="23" ht="12.75" customHeight="1" s="145">
      <c r="A23" s="51" t="inlineStr">
        <is>
          <t>TC_22</t>
        </is>
      </c>
      <c r="B23" s="52" t="inlineStr">
        <is>
          <t>Verify user can see the code they have entered by clicking the eye icon</t>
        </is>
      </c>
      <c r="C23" s="52" t="n"/>
      <c r="D23" s="52" t="inlineStr">
        <is>
          <t xml:space="preserve">- On clicking the eye icon on the two fields, the backup code should get revealed to the user
- They should be able to undo it by clicking the icon again </t>
        </is>
      </c>
      <c r="E23" s="58" t="n"/>
      <c r="F23" s="57" t="n"/>
      <c r="G23" s="57" t="n"/>
    </row>
    <row r="24" ht="12.75" customHeight="1" s="145">
      <c r="A24" s="51" t="inlineStr">
        <is>
          <t>TC_23</t>
        </is>
      </c>
      <c r="B24" s="52" t="inlineStr">
        <is>
          <t>Confirm user is taken to the "Take Photo" page after they have configured the backup code</t>
        </is>
      </c>
      <c r="C24" s="114" t="inlineStr">
        <is>
          <t>1. Configure the back up code 
2. Click on continue
3. User lands on capture photo page</t>
        </is>
      </c>
      <c r="D24" s="52" t="inlineStr">
        <is>
          <t xml:space="preserve">- User should see the commcare logo on the screen instead of Dimagi logo 
- User should see 'Welcome xyz" and "Please take a photo of yourself to complete your account setup" with a profile icon on the page 
- User should also see two buttons Take Photo (enabled) and Save Photo (disabled) </t>
        </is>
      </c>
      <c r="E24" s="58" t="n"/>
      <c r="F24" s="57" t="n"/>
      <c r="G24" s="57" t="n"/>
    </row>
    <row r="25" ht="12.75" customHeight="1" s="145">
      <c r="A25" s="51" t="inlineStr">
        <is>
          <t>TC_24</t>
        </is>
      </c>
      <c r="B25" s="52" t="inlineStr">
        <is>
          <t>Confirm that user can take a photo by clicking take photo option</t>
        </is>
      </c>
      <c r="C25" s="114" t="inlineStr">
        <is>
          <t>continue from above TC
- Click on the take photo option</t>
        </is>
      </c>
      <c r="D25" s="52" t="inlineStr">
        <is>
          <t>- Front camera should open when, user clicks on "Take Photo" option
- User should be able to click a selfie when the camera opens. (It should auto capture as there is no click button)
- User should see the clicked picture on the screen and 'Save button' should get enabled</t>
        </is>
      </c>
      <c r="E25" s="58" t="n"/>
      <c r="F25" s="57" t="n"/>
      <c r="G25" s="57" t="n"/>
    </row>
    <row r="26" ht="12.75" customHeight="1" s="145">
      <c r="A26" s="51" t="inlineStr">
        <is>
          <t>TC_25</t>
        </is>
      </c>
      <c r="B26" s="52" t="inlineStr">
        <is>
          <t xml:space="preserve">Confrm user can replace the photo they saved </t>
        </is>
      </c>
      <c r="C26" s="114" t="inlineStr">
        <is>
          <t>cont from above TC:
- Click on take photo option to replace photo</t>
        </is>
      </c>
      <c r="D26" s="52" t="inlineStr">
        <is>
          <t>- User should be able to replace the photo by taking a new photo
- The picutre should get updated by the new one on the 'Capture Photo' screen</t>
        </is>
      </c>
      <c r="E26" s="58" t="n"/>
      <c r="F26" s="57" t="n"/>
      <c r="G26" s="57" t="n"/>
    </row>
    <row r="27" ht="12.75" customHeight="1" s="145">
      <c r="A27" s="51" t="inlineStr">
        <is>
          <t>TC_26</t>
        </is>
      </c>
      <c r="B27" s="52" t="inlineStr">
        <is>
          <t xml:space="preserve">Confirm user can save the picture and the account is created </t>
        </is>
      </c>
      <c r="C27" s="114" t="inlineStr">
        <is>
          <t>cont from above TC
- Click on save photo button</t>
        </is>
      </c>
      <c r="D27" s="52" t="inlineStr">
        <is>
          <t xml:space="preserve">- On cicking the save photo option, the account should get created 
- User should see a pop-up message, that account created successfully
- User should be taken to the either the CommCare HQ mobile app or Connect homescreen on clicking OK on the pop-up </t>
        </is>
      </c>
      <c r="E27" s="58" t="n"/>
      <c r="F27" s="57" t="n"/>
      <c r="G27" s="57" t="n"/>
    </row>
    <row r="28" ht="12.75" customHeight="1" s="145">
      <c r="A28" s="51" t="inlineStr">
        <is>
          <t>TC_27</t>
        </is>
      </c>
      <c r="B28" s="52" t="inlineStr">
        <is>
          <t>Verify user sees a pop-up on successful account creation</t>
        </is>
      </c>
      <c r="C28" s="114" t="inlineStr">
        <is>
          <t>cont from above TC
- Account created successfully message is appeared</t>
        </is>
      </c>
      <c r="D28" s="52" t="inlineStr">
        <is>
          <t>- User should see 'Account Created' pop-up on the screen on saving the photo with the text "Your Personal ID account has been successfully created and is now ready for you to use!"
- User should be redirected to CommCare HQ mobile app and do not see "Go to Connect Menu" option</t>
        </is>
      </c>
      <c r="E28" s="58" t="n"/>
      <c r="F28" s="57" t="n"/>
      <c r="G28" s="57" t="n"/>
    </row>
    <row r="29" ht="12.75" customHeight="1" s="145">
      <c r="A29" s="51" t="inlineStr">
        <is>
          <t>TC_28</t>
        </is>
      </c>
      <c r="B29" s="52" t="inlineStr">
        <is>
          <t xml:space="preserve">Verify user is able to sign out, by clicking "Forget PersonalID user" </t>
        </is>
      </c>
      <c r="C29" s="114" t="inlineStr">
        <is>
          <t>cont from above TC
- Click on 3 dot menu
- Click on forget personal ID option</t>
        </is>
      </c>
      <c r="D29" s="52" t="inlineStr">
        <is>
          <t>- User should be able to sign out of the personal id by clicking the option
- On again clicking the three dot option, use should see "Sign up for PersonalID option</t>
        </is>
      </c>
      <c r="E29" s="58" t="n"/>
      <c r="F29" s="57" t="n"/>
      <c r="G29" s="57" t="n"/>
    </row>
    <row r="30" ht="12.75" customHeight="1" s="145">
      <c r="A30" s="51" t="inlineStr">
        <is>
          <t>TC_29</t>
        </is>
      </c>
      <c r="B30" s="52" t="inlineStr">
        <is>
          <t>Confirm when user enters an existing phone number, on verifying the number they are taken to the "Enter Backup Code" screen</t>
        </is>
      </c>
      <c r="C30" s="114" t="inlineStr">
        <is>
          <t xml:space="preserve">1. Click on sign up for personal ID
2. Enter personal ID number
3. Verify with fingerprint
4. Verify with otp
5. Enter name and click continue
6. Enters on backup code screen
</t>
        </is>
      </c>
      <c r="D30" s="52" t="inlineStr">
        <is>
          <t xml:space="preserve">- When recovering an account, user should be taken to the "Enter Backup Code" screen
- On entering the correct backup code, user should be able to revocer the account 
- They should see a success message that the account is recovered </t>
        </is>
      </c>
      <c r="E30" s="58" t="n"/>
      <c r="F30" s="57" t="n"/>
      <c r="G30" s="57" t="n"/>
    </row>
    <row r="31" ht="12.75" customHeight="1" s="145">
      <c r="A31" s="51" t="inlineStr">
        <is>
          <t>TC_30</t>
        </is>
      </c>
      <c r="B31" s="52" t="inlineStr">
        <is>
          <t>Verify user see there name and photo associated with the account on the screen</t>
        </is>
      </c>
      <c r="C31" s="52" t="n"/>
      <c r="D31" s="52" t="inlineStr">
        <is>
          <t xml:space="preserve">- User should see there picture on the screen and following text "Welcom back username"
- They should also see a field to enter the Personal ID Backup Code on the screen
</t>
        </is>
      </c>
      <c r="E31" s="58" t="n"/>
      <c r="F31" s="57" t="n"/>
      <c r="G31" s="57" t="inlineStr">
        <is>
          <t>"This is not me" option is deprecated</t>
        </is>
      </c>
    </row>
    <row r="32" ht="12.75" customHeight="1" s="145">
      <c r="A32" s="51" t="inlineStr">
        <is>
          <t>TC_31</t>
        </is>
      </c>
      <c r="B32" s="52" t="inlineStr">
        <is>
          <t>Verify user is unable to recover the account, if they enter a wrong backup code</t>
        </is>
      </c>
      <c r="C32" s="114" t="inlineStr">
        <is>
          <t>- Enter wrong back up code</t>
        </is>
      </c>
      <c r="D32" s="52" t="inlineStr">
        <is>
          <t xml:space="preserve">- User shouldn't be able to recover there account on entering the wrong backup code 
- User should see an error pop-up message, that says "Wrong Backup code and informing user that they have only 2 more incorrect attempts left </t>
        </is>
      </c>
      <c r="E32" s="58" t="n"/>
      <c r="F32" s="57" t="n"/>
      <c r="G32" s="57" t="n"/>
    </row>
    <row r="33" ht="12.75" customHeight="1" s="145">
      <c r="A33" s="51" t="inlineStr">
        <is>
          <t>TC_32</t>
        </is>
      </c>
      <c r="B33" s="114" t="inlineStr">
        <is>
          <t xml:space="preserve">Verify user account is locked when they enter the backup code wrong more than 3 times </t>
        </is>
      </c>
      <c r="C33" s="114" t="inlineStr">
        <is>
          <t>- Enter wrong back up code more than 3 times</t>
        </is>
      </c>
      <c r="D33" s="114" t="inlineStr">
        <is>
          <t xml:space="preserve">- On entering the incorrect backup code more that 3 times, user account will be locked </t>
        </is>
      </c>
      <c r="E33" s="58" t="n"/>
      <c r="F33" s="57" t="n"/>
      <c r="G33" s="57" t="n"/>
    </row>
    <row r="34" ht="12.75" customHeight="1" s="145">
      <c r="A34" s="51" t="inlineStr">
        <is>
          <t>TC_35</t>
        </is>
      </c>
      <c r="B34" s="52" t="inlineStr">
        <is>
          <t>Confirm on devices that don't support fingerprint, user is uanble to sign up for Personal ID</t>
        </is>
      </c>
      <c r="C34" s="114" t="inlineStr">
        <is>
          <t>Prerequisite: Mobile device shouldn't support fingerprint option
1. Click on sign up for personal ID
2. Enter mobile number &gt;&gt; click on continue</t>
        </is>
      </c>
      <c r="D34" s="52" t="inlineStr">
        <is>
          <t xml:space="preserve">- User should see a Process Failed pop-up with the following message "Your device isn't eligible to sign up for PersonalID at this time due to non availability of biometrci security feature. Please try again on a different device." 
- On pressing 'OK' user should be taken back to the Start page.  </t>
        </is>
      </c>
      <c r="E34" s="58" t="n"/>
      <c r="F34" s="57" t="n"/>
      <c r="G34" s="57" t="n"/>
    </row>
    <row r="35" ht="12.75" customHeight="1" s="145">
      <c r="A35" s="51" t="inlineStr">
        <is>
          <t>TC_36</t>
        </is>
      </c>
      <c r="B35" s="52" t="inlineStr">
        <is>
          <t>Verify on logging in on a CC app, user sees a 'Link to Personal ID' pop up</t>
        </is>
      </c>
      <c r="C35" s="114" t="inlineStr">
        <is>
          <t>1. Sign up for personal ID
2. Install CC app using barcode
3. Login to the CC app</t>
        </is>
      </c>
      <c r="D35" s="52" t="inlineStr">
        <is>
          <t>- User should see a pop-up to  link the MW with the Personal ID, "Do you want to link the login to your PersonalID account? You will not need to type your password in the future."
- User should see two options 
i) Yes 
ii) No</t>
        </is>
      </c>
      <c r="E35" s="58" t="n"/>
      <c r="F35" s="57" t="n"/>
      <c r="G35" s="57" t="n"/>
    </row>
    <row r="36" ht="12.75" customHeight="1" s="145">
      <c r="A36" s="51" t="inlineStr">
        <is>
          <t>TC_38</t>
        </is>
      </c>
      <c r="B36" s="52" t="inlineStr">
        <is>
          <t>Verify on selecting 'No' user is able to log into the CC app</t>
        </is>
      </c>
      <c r="C36" s="114" t="inlineStr">
        <is>
          <t>cont from  above TC
- Select No for the "Do you want to link the login to your PersonalID account? You will not need to type your password in the future." pop up</t>
        </is>
      </c>
      <c r="D36" s="52" t="inlineStr">
        <is>
          <t>- On selecting 'NO', user is able to login into the CC app 
- User is able to submit forms without issue 
- The pop-up does not appears again when user logs out and login again on the app</t>
        </is>
      </c>
      <c r="E36" s="58" t="n"/>
      <c r="F36" s="57" t="n"/>
      <c r="G36" s="57" t="n"/>
    </row>
    <row r="37" ht="12.75" customHeight="1" s="145">
      <c r="A37" s="51" t="inlineStr">
        <is>
          <t>TC_39</t>
        </is>
      </c>
      <c r="B37" s="52" t="inlineStr">
        <is>
          <t xml:space="preserve">Confirm the MW is now linked with the PersonalID when user clicks on 'Yes' on the pop-up </t>
        </is>
      </c>
      <c r="C37" s="114" t="inlineStr">
        <is>
          <t>- Select Yes for the "Do you want to link the login to your PersonalID account? You will not need to type your password in the future." pop up</t>
        </is>
      </c>
      <c r="D37" s="52" t="inlineStr">
        <is>
          <t xml:space="preserve">- MW should be linked to the PersonalID account 
- User should not have to enter password again to login </t>
        </is>
      </c>
      <c r="E37" s="58" t="n"/>
      <c r="F37" s="57" t="n"/>
      <c r="G37" s="57" t="n"/>
    </row>
    <row r="38" ht="12.75" customHeight="1" s="145">
      <c r="A38" s="51" t="inlineStr">
        <is>
          <t>TC_40</t>
        </is>
      </c>
      <c r="B38" s="52" t="inlineStr">
        <is>
          <t xml:space="preserve">Verify user can also login on the CC app by entering password </t>
        </is>
      </c>
      <c r="C38" s="52" t="inlineStr">
        <is>
          <t>cont to above TC
- Login to app using password</t>
        </is>
      </c>
      <c r="D38" s="52" t="inlineStr">
        <is>
          <t>- User should be able to login by entering the password 
- User should also see a Unlink PersonalID pop up "I see you logged in with your password although PersonalID was configured for auto-login. Would you like to sever this login from PersonalID?"
- User should see two options 
i) Yes 
ii) No</t>
        </is>
      </c>
      <c r="E38" s="58" t="n"/>
      <c r="F38" s="57" t="n"/>
      <c r="G38" s="57" t="n"/>
    </row>
    <row r="39" ht="12.75" customHeight="1" s="145">
      <c r="A39" s="51" t="inlineStr">
        <is>
          <t>TC_41</t>
        </is>
      </c>
      <c r="B39" s="52" t="inlineStr">
        <is>
          <t>Verify if user selects 'Yes' on the Unlink PersonalID pop-up, MW unlinks</t>
        </is>
      </c>
      <c r="C39" s="52" t="inlineStr">
        <is>
          <t>cont to above TC
- Login to app using password
- Click 'yes' to unlink personal ID</t>
        </is>
      </c>
      <c r="D39" s="52" t="inlineStr">
        <is>
          <t xml:space="preserve">- MW should be unlinked to the Personal ID and user can no longer log into the CC apps using PersonalID 
- User should only be able to login using password </t>
        </is>
      </c>
      <c r="E39" s="58" t="n"/>
      <c r="F39" s="57" t="n"/>
      <c r="G39" s="57" t="n"/>
    </row>
    <row r="40" ht="12.75" customHeight="1" s="145">
      <c r="A40" s="51" t="inlineStr">
        <is>
          <t>TC_42</t>
        </is>
      </c>
      <c r="B40" s="52" t="inlineStr">
        <is>
          <t>Confirm on selecting 'No'on the unlinl PersonalID option, MW remains linked to the PersonalID</t>
        </is>
      </c>
      <c r="C40" s="52" t="inlineStr">
        <is>
          <t>cont to above TC
- Login to app using password
- Click 'NO' to not unlink personal ID</t>
        </is>
      </c>
      <c r="D40" s="52" t="inlineStr">
        <is>
          <t>- User should not be unlinked and should be able to login using the PersonalID</t>
        </is>
      </c>
      <c r="E40" s="58" t="n"/>
      <c r="F40" s="57" t="n"/>
      <c r="G40" s="57" t="n"/>
    </row>
    <row r="41" ht="12.75" customHeight="1" s="145">
      <c r="A41" s="51" t="inlineStr">
        <is>
          <t>TC_43</t>
        </is>
      </c>
      <c r="B41" s="52" t="inlineStr">
        <is>
          <t>Confirm we see a new column "Personal ID"on mobile workers page on HQ</t>
        </is>
      </c>
      <c r="C41" s="52" t="inlineStr">
        <is>
          <t>cont to above TC
- Login to app using password
- Click 'yes' to unlink personal ID</t>
        </is>
      </c>
      <c r="D41" s="52" t="inlineStr">
        <is>
          <t xml:space="preserve">- User should see a new column "Personal ID Status" on mobile workers page on HQ
- User should the following two status for the column
i) Not LInked 
ii) Active </t>
        </is>
      </c>
      <c r="E41" s="58" t="n"/>
      <c r="F41" s="57" t="n"/>
      <c r="G41" s="57" t="n"/>
    </row>
    <row r="42" ht="12.75" customHeight="1" s="145">
      <c r="A42" s="51" t="inlineStr">
        <is>
          <t>TC_44</t>
        </is>
      </c>
      <c r="B42" s="52" t="inlineStr">
        <is>
          <t>Confirm when a MW is linked to Personal ID, 'Unlink PersonalID' button is present for Active column</t>
        </is>
      </c>
      <c r="C42" s="52" t="inlineStr">
        <is>
          <t>1. Login CC HQ
2. Naviagte to users &gt;&gt; Mobile workers</t>
        </is>
      </c>
      <c r="D42" s="52" t="inlineStr">
        <is>
          <t xml:space="preserve">- Admin user should see "Unlink PersonalID" button, under Action column with Deactivate button </t>
        </is>
      </c>
      <c r="E42" s="58" t="n"/>
      <c r="F42" s="57" t="n"/>
      <c r="G42" s="57" t="n"/>
    </row>
    <row r="43" ht="12.75" customHeight="1" s="145">
      <c r="A43" s="51" t="inlineStr">
        <is>
          <t>TC_45</t>
        </is>
      </c>
      <c r="B43" s="52" t="inlineStr">
        <is>
          <t>Verify on clicking on "Unlink PersonalID" button, user can unlink the MW with PersonalID</t>
        </is>
      </c>
      <c r="C43" s="52" t="n"/>
      <c r="D43" s="52" t="inlineStr">
        <is>
          <t xml:space="preserve">- On clicking "Unlink PersonalID" option, we see a pop-up on HQ "Are you sure you want to unlink the PersonalID account for this mobile worker?" and see the two options 
i) Cancel 
ii) Unlink </t>
        </is>
      </c>
      <c r="E43" s="58" t="n"/>
      <c r="F43" s="57" t="n"/>
      <c r="G43" s="57" t="n"/>
    </row>
    <row r="44" ht="12.75" customHeight="1" s="145">
      <c r="A44" s="51" t="inlineStr">
        <is>
          <t>TC_46</t>
        </is>
      </c>
      <c r="B44" s="52" t="inlineStr">
        <is>
          <t>Confrim on selecting the Unlink option, MW is not linked to the PersonalID anymore</t>
        </is>
      </c>
      <c r="C44" s="52" t="n"/>
      <c r="D44" s="52" t="inlineStr">
        <is>
          <t>- MW should get unlinked from PersonalID and PersonalID status should get updated to Inactive 
- User should now see a 'Link PersonalID' option for the MW
- User should not see the option to login via PersonalID on the CC app</t>
        </is>
      </c>
      <c r="E44" s="58" t="n"/>
      <c r="F44" s="57" t="n"/>
      <c r="G44" s="57" t="n"/>
    </row>
    <row r="45" ht="12.75" customHeight="1" s="145">
      <c r="A45" s="51" t="inlineStr">
        <is>
          <t>TC_47</t>
        </is>
      </c>
      <c r="B45" s="52" t="inlineStr">
        <is>
          <t>Confirm user sees "Go to Connect Menu" when they have signed up for PersonalID</t>
        </is>
      </c>
      <c r="C45" s="52" t="n"/>
      <c r="D45" s="52" t="inlineStr">
        <is>
          <t>- User should see "Go to Connect Menu" option for the Beta Release but not for Mainline release app</t>
        </is>
      </c>
      <c r="E45" s="58" t="n"/>
      <c r="F45" s="57" t="n"/>
      <c r="G45" s="57" t="n"/>
    </row>
  </sheetData>
  <conditionalFormatting sqref="E2:E45">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45" showDropDown="0" showInputMessage="0" showErrorMessage="1" allowBlank="1" type="list">
      <formula1>"Pass,Fail,N/A,Blocking"</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H54"/>
  <sheetViews>
    <sheetView workbookViewId="0">
      <selection activeCell="A1" sqref="A1"/>
    </sheetView>
  </sheetViews>
  <sheetFormatPr baseColWidth="8" defaultColWidth="12.63" defaultRowHeight="15.75" customHeight="1"/>
  <cols>
    <col width="23.88" customWidth="1" style="145" min="1" max="1"/>
    <col width="41.63" customWidth="1" style="145" min="2" max="2"/>
    <col width="43" customWidth="1" style="145" min="3" max="3"/>
    <col width="48.13" customWidth="1" style="145" min="4" max="4"/>
    <col width="16.38" customWidth="1" style="145" min="5" max="5"/>
    <col width="14.38" customWidth="1" style="145" min="6" max="6"/>
    <col width="25.38" customWidth="1" style="145" min="7" max="7"/>
    <col width="22.75" customWidth="1" style="145" min="8" max="8"/>
  </cols>
  <sheetData>
    <row r="1">
      <c r="A1" s="72" t="inlineStr">
        <is>
          <t>Test Case ID</t>
        </is>
      </c>
      <c r="B1" s="72" t="inlineStr">
        <is>
          <t>Description</t>
        </is>
      </c>
      <c r="C1" s="72" t="inlineStr">
        <is>
          <t xml:space="preserve">Steps </t>
        </is>
      </c>
      <c r="D1" s="72" t="inlineStr">
        <is>
          <t>Expected Outcome</t>
        </is>
      </c>
      <c r="E1" s="72" t="inlineStr">
        <is>
          <t>Status (Pass/Fail)</t>
        </is>
      </c>
      <c r="F1" s="72" t="inlineStr">
        <is>
          <t>Ticket/ Bug ID</t>
        </is>
      </c>
      <c r="G1" s="72" t="inlineStr">
        <is>
          <t>Comments</t>
        </is>
      </c>
      <c r="H1" s="72" t="n"/>
    </row>
    <row r="2">
      <c r="A2" s="96" t="inlineStr">
        <is>
          <t xml:space="preserve">TC_01 </t>
        </is>
      </c>
      <c r="B2" s="62" t="inlineStr">
        <is>
          <t>Confirm after signing up with a Personal ID, user sees all the connect options in the side menu</t>
        </is>
      </c>
      <c r="C2" s="66" t="inlineStr">
        <is>
          <t>1. Install commcare mobile app
2. Click on the hamburger option and sign up for personal ID uisng existing number
3. After login with personal ID, expand the side navigation drawer by cliking on the hamburger option
4. Verify all connect options are displayed on the side navigation drawer</t>
        </is>
      </c>
      <c r="D2" s="62" t="inlineStr">
        <is>
          <t>User should see the following options in the side menu, after signing up for Personal ID
- Oppoortunities 
- CommCare Apps 
- Messaging 
- Work History 
- Payments</t>
        </is>
      </c>
      <c r="E2" s="58" t="n"/>
      <c r="F2" s="66" t="n"/>
      <c r="G2" s="65" t="inlineStr">
        <is>
          <t>Payments pages aren't ready and will be only be available in the later release</t>
        </is>
      </c>
      <c r="H2" s="65" t="n"/>
    </row>
    <row r="3">
      <c r="A3" s="96" t="inlineStr">
        <is>
          <t>TC_02</t>
        </is>
      </c>
      <c r="B3" s="66" t="inlineStr">
        <is>
          <t xml:space="preserve">Verify if there are no apps installed on the device, the CommCare apps option is greyed out </t>
        </is>
      </c>
      <c r="C3" s="66" t="inlineStr">
        <is>
          <t>1. Install commcare mobile app
2. Click on the hamburger option and sign up for personal ID uisng existing number
3. Make sure no commcare apps are not installed
4. Expand the side navigation drawer and observe that commcare apps option is greyed out</t>
        </is>
      </c>
      <c r="D3" s="66" t="inlineStr">
        <is>
          <t>- The option 'CommCare apps' should be greyed out if there are no app installed on the device
- The option should be enabled again, if there's atleast one app installled on the device</t>
        </is>
      </c>
      <c r="E3" s="58" t="n"/>
      <c r="F3" s="66" t="n"/>
      <c r="G3" s="65" t="n"/>
      <c r="H3" s="65" t="n"/>
    </row>
    <row r="4">
      <c r="A4" s="96" t="inlineStr">
        <is>
          <t>TC_03</t>
        </is>
      </c>
      <c r="B4" s="66" t="inlineStr">
        <is>
          <t>Verify on signing up with a new PersonalID user we don't see any options in the side drawer menu</t>
        </is>
      </c>
      <c r="C4" s="62" t="inlineStr">
        <is>
          <t>1. Open the app and sign up for PersonalID with a completely new user. 
2. On completing the sign up, user should see a new side drawer ootion. 
3. Observe that in the side drawer we don't see any options.</t>
        </is>
      </c>
      <c r="D4" s="66" t="inlineStr">
        <is>
          <t>- User should not see any connect related options in the side drawer if PersonalID user has not beein invited to any opportunities
- User should see 'Refresh Opportunities" option in the 3-dot menu
- User should only see greyed out CommCare Apps option in the side drawer. On installing any app, the option should get enabled</t>
        </is>
      </c>
      <c r="E4" s="58" t="n"/>
      <c r="F4" s="66" t="n"/>
      <c r="G4" s="65" t="n"/>
      <c r="H4" s="65" t="n"/>
    </row>
    <row r="5">
      <c r="A5" s="96" t="inlineStr">
        <is>
          <t>TC_04</t>
        </is>
      </c>
      <c r="B5" s="66" t="inlineStr">
        <is>
          <t xml:space="preserve">Confirm we see the messaging channels only when the channel exists </t>
        </is>
      </c>
      <c r="C5" s="66" t="inlineStr">
        <is>
          <t>- For new personal ID:
1. Login with personal ID
2. Create a channel in commcare hq for new personal ID
3. Expand the side navigation drawer
4. Verify messaging option is visible 
- For exisiting personal ID user whose channel is already created
1. Login with exisiting PID
2. Verify the messaging option is visible</t>
        </is>
      </c>
      <c r="D5" s="66" t="inlineStr">
        <is>
          <t>- Messaging option for a new PID user should only be visible after the channel creation 
- For old existing users, messaging option should be displayed after sign in</t>
        </is>
      </c>
      <c r="E5" s="58" t="n"/>
      <c r="F5" s="66" t="n"/>
      <c r="G5" s="65" t="n"/>
      <c r="H5" s="65" t="n"/>
    </row>
    <row r="6">
      <c r="A6" s="96" t="inlineStr">
        <is>
          <t>TC_05</t>
        </is>
      </c>
      <c r="B6" s="66" t="inlineStr">
        <is>
          <t xml:space="preserve">Verify that the new user sees "Go to Connect" button on clicking the 'Refresh Opportunity" option </t>
        </is>
      </c>
      <c r="C6" s="66" t="inlineStr">
        <is>
          <t>1. Register with new Personal ID
2. Go to side navigation drawer, verify opportunities option isn't visible 
3. Click on the 3 dots menu &gt;&gt; select Refresh opportunities button
4. If any opportunities are invited, new found found message is displayed
5. 'Go to connect' button &amp; opportunities button are displayed</t>
        </is>
      </c>
      <c r="D6" s="66" t="inlineStr">
        <is>
          <t xml:space="preserve">- New PID users should only see the Go to connect menu when they click on refresh opportunities after being invited
- If user is not invited to an opportuntiy, clickin refresh button should not display connect options 
- Refresh button should disappear once the connect option appears </t>
        </is>
      </c>
      <c r="E6" s="58" t="n"/>
      <c r="F6" s="66" t="n"/>
      <c r="G6" s="65" t="n"/>
      <c r="H6" s="65" t="n"/>
    </row>
    <row r="7">
      <c r="A7" s="96" t="inlineStr">
        <is>
          <t>TC_06</t>
        </is>
      </c>
      <c r="B7" s="66" t="inlineStr">
        <is>
          <t>Verify user sees all the installed apps under CommCare Apps section</t>
        </is>
      </c>
      <c r="C7" s="66" t="inlineStr">
        <is>
          <t>1. Login with PID
2. Install few learn/deliver apps
3. Go to side navigation drawer
4. All the installed apps are installed under commcare apps section</t>
        </is>
      </c>
      <c r="D7" s="66" t="inlineStr">
        <is>
          <t>- User should see all the apps installed on the device under CommCare Apps
- Clicking on the apps should take user to the login page for the selected apps</t>
        </is>
      </c>
      <c r="E7" s="58" t="n"/>
      <c r="F7" s="66" t="n"/>
      <c r="G7" s="65" t="n"/>
      <c r="H7" s="65" t="n"/>
    </row>
    <row r="8">
      <c r="A8" s="96" t="inlineStr">
        <is>
          <t>TC_07</t>
        </is>
      </c>
      <c r="B8" s="66" t="inlineStr">
        <is>
          <t>Confirm user sees there name and picture on the side nav menu</t>
        </is>
      </c>
      <c r="C8" s="66" t="inlineStr">
        <is>
          <t>1. Login with PID
2. Verify PID user name and picture are displayed on side navigation menu</t>
        </is>
      </c>
      <c r="D8" s="66" t="inlineStr">
        <is>
          <t xml:space="preserve">- User should see their name and picture at the top of the left hand menu </t>
        </is>
      </c>
      <c r="E8" s="58" t="n"/>
      <c r="F8" s="66" t="n"/>
      <c r="G8" s="65" t="n"/>
      <c r="H8" s="65" t="n"/>
    </row>
    <row r="9">
      <c r="A9" s="96" t="inlineStr">
        <is>
          <t>TC_08</t>
        </is>
      </c>
      <c r="B9" s="66" t="inlineStr">
        <is>
          <t xml:space="preserve">Verify on clicking the opportunities option from the side drawer takes you to the opportunity list page </t>
        </is>
      </c>
      <c r="C9" s="66" t="inlineStr">
        <is>
          <t>1. Login with PID user
2. Click on the opportunities option from side navigation drawer
3. Verify user is landed on the opportunities list page</t>
        </is>
      </c>
      <c r="D9" s="66" t="inlineStr">
        <is>
          <t>- User should land on the opportunities list page by clicking on the opportunities option</t>
        </is>
      </c>
      <c r="E9" s="58" t="n"/>
      <c r="F9" s="66" t="n"/>
      <c r="G9" s="65" t="n"/>
      <c r="H9" s="65" t="n"/>
    </row>
    <row r="10">
      <c r="A10" s="96" t="inlineStr">
        <is>
          <t>TC_09</t>
        </is>
      </c>
      <c r="B10" s="66" t="inlineStr">
        <is>
          <t xml:space="preserve">Confirm on receiving a message, we see a red dot on the messaging option </t>
        </is>
      </c>
      <c r="C10" s="66" t="inlineStr">
        <is>
          <t>1. Login with PID user whose channel have been already created 
2. Trigger connect messages from commcare hq
3. Observe that on receiving a triggered message, red dot have been highlighted on messaging option in mobile</t>
        </is>
      </c>
      <c r="D10" s="66" t="n"/>
      <c r="E10" s="58" t="n"/>
      <c r="F10" s="66" t="n"/>
      <c r="G10" s="65" t="n"/>
      <c r="H10" s="65" t="n"/>
    </row>
    <row r="11">
      <c r="A11" s="96" t="inlineStr">
        <is>
          <t>TC_10</t>
        </is>
      </c>
      <c r="B11" s="66" t="inlineStr">
        <is>
          <t xml:space="preserve">Verify on clicking the messaging option, user is taken channels list page </t>
        </is>
      </c>
      <c r="C11" s="66" t="inlineStr">
        <is>
          <t>1. Login with PID
2. Click on side navigation menu
3. Select messaging option</t>
        </is>
      </c>
      <c r="D11" s="66" t="inlineStr">
        <is>
          <t>- User should land on the channels list page</t>
        </is>
      </c>
      <c r="E11" s="58" t="n"/>
      <c r="F11" s="66" t="n"/>
      <c r="G11" s="65" t="n"/>
      <c r="H11" s="65" t="n"/>
    </row>
    <row r="12">
      <c r="A12" s="96" t="inlineStr">
        <is>
          <t>TC_11</t>
        </is>
      </c>
      <c r="B12" s="66" t="inlineStr">
        <is>
          <t>Confirm that the hamburger menu is visible on the screen even after user has signed out of PersonalID</t>
        </is>
      </c>
      <c r="C12" s="66" t="inlineStr">
        <is>
          <t>1. Click on the hamburger option
2. Click on sign up/register for personal ID option from side nav drawer 
3. Login with PID
4. Click on 3 dots menu &gt;&gt; select forget personal ID</t>
        </is>
      </c>
      <c r="D12" s="66" t="inlineStr">
        <is>
          <t>The hamburger icon and side nav menu should be visible to the user if they forget the PersonalID</t>
        </is>
      </c>
      <c r="E12" s="58" t="n"/>
      <c r="F12" s="66" t="n"/>
      <c r="G12" s="65" t="n"/>
      <c r="H12" s="65" t="n"/>
    </row>
    <row r="13">
      <c r="A13" s="96" t="inlineStr">
        <is>
          <t>TC_12</t>
        </is>
      </c>
      <c r="B13" s="66" t="inlineStr">
        <is>
          <t>When a new PersonalID user sign up, they should not see the connect options</t>
        </is>
      </c>
      <c r="C13" s="74" t="inlineStr">
        <is>
          <t>1. Click on the hamburger option
2. Click on sign up/register for personal ID option from side nav drawer 
3. Register for personal ID using new mobile number
4. Go to side navigation menu
5. Verify no connect options are displayed on the side navigation menu</t>
        </is>
      </c>
      <c r="D13" s="66" t="inlineStr">
        <is>
          <t>Connect options aren't displayed on the side navigation menu when sign up with new user</t>
        </is>
      </c>
      <c r="E13" s="58" t="n"/>
      <c r="F13" s="66" t="n"/>
      <c r="G13" s="65" t="n"/>
      <c r="H13" s="65" t="n"/>
    </row>
    <row r="14">
      <c r="A14" s="96" t="inlineStr">
        <is>
          <t>TC_13</t>
        </is>
      </c>
      <c r="B14" s="66" t="inlineStr">
        <is>
          <t>Verify user sees the connect options on clicking "Referesh Opportuntiy" button</t>
        </is>
      </c>
      <c r="C14" s="66" t="inlineStr">
        <is>
          <t>"1. Register with new Personal ID
2. Go to side navigation drawer, verify opportunities option isn't visible 
3. Invite an user for an opportunity from CCC web UI
4. Click on the 3 dots menu &gt;&gt; select Refresh opportunities button
5. If any opportunities are invited, new found found message is displayed
6. 'Go to connect' button &amp; opportunities button are displayed"</t>
        </is>
      </c>
      <c r="D14" s="66" t="inlineStr">
        <is>
          <t xml:space="preserve">- On inviting a user after sign up,user should sees the connect options on clicking the refresh opportunity option </t>
        </is>
      </c>
      <c r="E14" s="58" t="n"/>
      <c r="F14" s="66" t="n"/>
      <c r="G14" s="65" t="n"/>
      <c r="H14" s="65" t="n"/>
    </row>
    <row r="15">
      <c r="A15" s="96" t="inlineStr">
        <is>
          <t>TC_14</t>
        </is>
      </c>
      <c r="B15" s="66" t="inlineStr">
        <is>
          <t xml:space="preserve">Verify if user is not invited to an opportunity, on clicking the Refresh opportuntiy button, user isn't able to see any connect option </t>
        </is>
      </c>
      <c r="C15" s="66" t="inlineStr">
        <is>
          <t xml:space="preserve">"1. Register with new Personal ID
2. Go to side navigation drawer, verify opportunities option isn't visible 
3. Click on the 3 dots menu &gt;&gt; select Refresh opportunities button
4. "No opprtunities found" message is displayed
</t>
        </is>
      </c>
      <c r="D15" s="66" t="inlineStr">
        <is>
          <t>- Connect options are not visible upon clicking on 'refresh opportunities' button when no opportunity is invited</t>
        </is>
      </c>
      <c r="E15" s="58" t="n"/>
      <c r="F15" s="66" t="n"/>
      <c r="G15" s="65" t="n"/>
      <c r="H15" s="65" t="n"/>
    </row>
    <row r="16">
      <c r="A16" s="96" t="inlineStr">
        <is>
          <t>TC_15</t>
        </is>
      </c>
      <c r="B16" s="66" t="inlineStr">
        <is>
          <t xml:space="preserve">Verify user sees the connect options visible to them on receiving the push notification for the invite </t>
        </is>
      </c>
      <c r="C16" s="66" t="inlineStr">
        <is>
          <t>1. Register with new Personal ID
2. Go to side navigation drawer, verify opportunities option isn't visible 
3. Invite an user for an opportunity from CCC web UI
4. Push notification is received upon inviting for any opportunity
5. Connect options are also visible</t>
        </is>
      </c>
      <c r="D16" s="66" t="inlineStr">
        <is>
          <t xml:space="preserve">- User should see the connect option on receiving the push notification or when user clicks on it
- The "Refresh Opportunity" button should get hidden once the connect functions are visible </t>
        </is>
      </c>
      <c r="E16" s="58" t="n"/>
      <c r="F16" s="66" t="n"/>
      <c r="G16" s="65" t="n"/>
      <c r="H16" s="65" t="n"/>
    </row>
    <row r="17">
      <c r="A17" s="96" t="inlineStr">
        <is>
          <t>TC_16</t>
        </is>
      </c>
      <c r="B17" s="66" t="inlineStr">
        <is>
          <t>Confirm for a pre-invited user, connect options are visible on sign up</t>
        </is>
      </c>
      <c r="C17" s="66" t="inlineStr">
        <is>
          <t>1. Invite an user [who is not registered for personal ID yet] for an opportunity
2. Register with personal ID using the number used in step 1
3. Go to side navigation drawer
4. Verify connect options are visible</t>
        </is>
      </c>
      <c r="D17" s="66" t="inlineStr">
        <is>
          <t xml:space="preserve">- Connect options should be visible for a pre-invited user 
- User should see the opportunity in the list for which they were invited </t>
        </is>
      </c>
      <c r="E17" s="58" t="n"/>
      <c r="F17" s="66" t="n"/>
      <c r="G17" s="65" t="n"/>
      <c r="H17" s="65" t="n"/>
    </row>
    <row r="18">
      <c r="A18" s="96" t="inlineStr">
        <is>
          <t>TC_17</t>
        </is>
      </c>
      <c r="B18" s="66" t="inlineStr">
        <is>
          <t xml:space="preserve">Verify mobile users sess all the opportunities that they are invited to on the opportunity list page </t>
        </is>
      </c>
      <c r="C18" s="66" t="inlineStr">
        <is>
          <t>1. Login with PID
2. Go to side navigation menu
3. Select opprtunities option
4. User should be landing on opportunities list page 
5. All the opportunities invited for an PID user are listed on the opportunity list page</t>
        </is>
      </c>
      <c r="D18" s="66" t="inlineStr">
        <is>
          <t xml:space="preserve">- Each Opportunity should show the correct values for all fields in the CCC web UI
- Each Opportunity should show the correct values for all the opportunities user is part of </t>
        </is>
      </c>
      <c r="E18" s="58" t="n"/>
      <c r="F18" s="66" t="n"/>
      <c r="G18" s="66" t="n">
        <v>1</v>
      </c>
      <c r="H18" s="66" t="n"/>
    </row>
    <row r="19">
      <c r="A19" s="96" t="inlineStr">
        <is>
          <t>TC_18</t>
        </is>
      </c>
      <c r="B19" s="66" t="inlineStr">
        <is>
          <t xml:space="preserve">Confirm user receivies a text invite message when they are added to the opportunity </t>
        </is>
      </c>
      <c r="C19" s="66" t="inlineStr">
        <is>
          <t>Cont from above TC
- Verify personal ID mobile number, text message will be received for an opp invite</t>
        </is>
      </c>
      <c r="D19" s="66" t="inlineStr">
        <is>
          <t>- User should receive a text message on the number they have the ConnectID account with. 
- User should be able to click the link and redirected share their info with the project. 
- The new opportunity should be visible in the opportunity list and "New Opportunity" label should be visible to the user</t>
        </is>
      </c>
      <c r="E19" s="96" t="n"/>
      <c r="F19" s="66" t="n"/>
      <c r="G19" s="66" t="n">
        <v>1</v>
      </c>
      <c r="H19" s="66" t="n"/>
    </row>
    <row r="20">
      <c r="A20" s="96" t="inlineStr">
        <is>
          <t>TC_19</t>
        </is>
      </c>
      <c r="B20" s="66" t="inlineStr">
        <is>
          <t>Verify the user status is updated once the user has accepted to share the information with the project by clicking the link in the text message</t>
        </is>
      </c>
      <c r="C20" s="66" t="inlineStr">
        <is>
          <t xml:space="preserve">Cont from above TC
- Click on the link in opp invite text message </t>
        </is>
      </c>
      <c r="D20" s="66" t="inlineStr">
        <is>
          <t>- The count for wrokers "Yet to accept invitation" should get updated on the opportunity dashboard 
- The Work Progress Funnel should get updates as well on opportunity dashboard</t>
        </is>
      </c>
      <c r="E20" s="96" t="n"/>
      <c r="F20" s="66" t="n"/>
      <c r="G20" s="66" t="n">
        <v>1</v>
      </c>
      <c r="H20" s="66" t="n"/>
    </row>
    <row r="21">
      <c r="A21" s="96" t="inlineStr">
        <is>
          <t>TC_20</t>
        </is>
      </c>
      <c r="B21" s="66" t="inlineStr">
        <is>
          <t>Verify on selecting the view opportunity button, user sees the description and all the opportunity details</t>
        </is>
      </c>
      <c r="C21" s="66" t="inlineStr">
        <is>
          <t xml:space="preserve">1. Sign up for personal ID
2. Click on Go to connect menu
3. Click on the view opportunity
</t>
        </is>
      </c>
      <c r="D21" s="66" t="inlineStr">
        <is>
          <t>User should see the following details on selecting an opportunity from the list 
- Description
- Learn modules
- Delivery details
On clicking the "Start" option, learn app should start downloading</t>
        </is>
      </c>
      <c r="E21" s="96" t="n"/>
      <c r="F21" s="66" t="n"/>
      <c r="G21" s="66" t="n">
        <v>1</v>
      </c>
      <c r="H21" s="66" t="n"/>
    </row>
    <row r="22" ht="59.25" customHeight="1" s="145">
      <c r="A22" s="96" t="inlineStr">
        <is>
          <t>TC_21</t>
        </is>
      </c>
      <c r="B22" s="66" t="inlineStr">
        <is>
          <t xml:space="preserve">Ensure that after downloading the learn app, the opportunity status gets updated on the mobile </t>
        </is>
      </c>
      <c r="C22" s="66" t="inlineStr">
        <is>
          <t xml:space="preserve">Cont from above TC
- Click on download learn app </t>
        </is>
      </c>
      <c r="D22" s="66" t="inlineStr">
        <is>
          <t>The status for the opportunity should get updated to "InProgress" from "New Opportunity"</t>
        </is>
      </c>
      <c r="E22" s="96" t="n"/>
      <c r="F22" s="66" t="n"/>
      <c r="G22" s="66" t="n">
        <v>1</v>
      </c>
      <c r="H22" s="66" t="n"/>
    </row>
    <row r="23">
      <c r="A23" s="96" t="inlineStr">
        <is>
          <t>TC_22</t>
        </is>
      </c>
      <c r="B23" s="66" t="inlineStr">
        <is>
          <t xml:space="preserve">Verify user is able to dowload the Learn App from the opportunity </t>
        </is>
      </c>
      <c r="C23" s="66" t="n"/>
      <c r="D23" s="66" t="inlineStr">
        <is>
          <t>- The Learn App should be downloaded without any issues on the app
- User should see the progress on the screen
- User should not be able to go back from the downlaod page until the download is complete. (The back button should be disbaled)</t>
        </is>
      </c>
      <c r="E23" s="96" t="n"/>
      <c r="F23" s="66" t="n"/>
      <c r="G23" s="66" t="n">
        <v>1</v>
      </c>
      <c r="H23" s="66" t="n"/>
    </row>
    <row r="24">
      <c r="A24" s="96" t="inlineStr">
        <is>
          <t>TC_23</t>
        </is>
      </c>
      <c r="B24" s="66" t="inlineStr">
        <is>
          <t>Ensure that user is taken to the app home screen after successful download of the Learn App</t>
        </is>
      </c>
      <c r="C24" s="66" t="inlineStr">
        <is>
          <t xml:space="preserve">1. Sign up for personal ID
2. Click on Go to connect menu
3. Select any opportunity and download learn app
</t>
        </is>
      </c>
      <c r="D24" s="66" t="inlineStr">
        <is>
          <t>- On successful download of the Learn App, FLW should be autologged into the Learn App
- User should be redirected to the app home screen and can start the learning</t>
        </is>
      </c>
      <c r="E24" s="96" t="n"/>
      <c r="F24" s="66" t="n"/>
      <c r="G24" s="66" t="n">
        <v>1</v>
      </c>
      <c r="H24" s="66" t="n"/>
    </row>
    <row r="25">
      <c r="A25" s="96" t="inlineStr">
        <is>
          <t>TC_24</t>
        </is>
      </c>
      <c r="B25" s="66" t="inlineStr">
        <is>
          <t>Verify on submitting the forms, learn app progress is updated in the app</t>
        </is>
      </c>
      <c r="C25" s="66" t="inlineStr">
        <is>
          <t>cont from  above TC
- Submit learn app forms
- Click on the view status button
- Learn app progress is updated</t>
        </is>
      </c>
      <c r="D25" s="66" t="inlineStr">
        <is>
          <t>- User should see the completed progress in % on the learn progress screen
- User should see the no. of lessons completed out of total lessons 
- "Finish learning to earn certificate" message should get displayed
- Completed learn progress should get updated on the web UI</t>
        </is>
      </c>
      <c r="E25" s="96" t="n"/>
      <c r="F25" s="66" t="n"/>
      <c r="G25" s="66" t="n">
        <v>1</v>
      </c>
      <c r="H25" s="66" t="n"/>
    </row>
    <row r="26">
      <c r="A26" s="96" t="inlineStr">
        <is>
          <t>TC_25</t>
        </is>
      </c>
      <c r="B26" s="66" t="inlineStr">
        <is>
          <t>Confirm on completing all the learn modules, user sees a Training Pending messgae on the Learn Progress screen</t>
        </is>
      </c>
      <c r="C26" s="66" t="inlineStr">
        <is>
          <t xml:space="preserve">cont from  above TC
- Submit all the learn app forms[except assessment]
- Click on the view status button
</t>
        </is>
      </c>
      <c r="D26" s="66" t="inlineStr">
        <is>
          <t xml:space="preserve">- User should see a Training Pending message on completing all the learn modules in Learn Progress screen 
</t>
        </is>
      </c>
      <c r="E26" s="96" t="n"/>
      <c r="F26" s="66" t="n"/>
      <c r="G26" s="66" t="n">
        <v>1</v>
      </c>
      <c r="H26" s="66" t="n"/>
    </row>
    <row r="27">
      <c r="A27" s="96" t="inlineStr">
        <is>
          <t>TC_26</t>
        </is>
      </c>
      <c r="B27" s="66" t="inlineStr">
        <is>
          <t xml:space="preserve">Confirm user is unable to claim the job, if they don't pass the assessment </t>
        </is>
      </c>
      <c r="C27" s="66" t="inlineStr">
        <is>
          <t>1. Sign up for personal ID
2. Click on go to connect menu
3. Select and opportunity
4. Submit all learn forms
5. Submit the assessment that doesn't satisfy the pass score</t>
        </is>
      </c>
      <c r="D27" s="66" t="inlineStr">
        <is>
          <t xml:space="preserve">- User should not be able to claim the job if they don't score the min passing score 
- They should see "Training Failed: Sorry, you did not earn a passing score on your assessment. Please try again." and also see there score and the passing score on the Learn Progress screen
- User should also see the failed assessment status in the Learn tab on the worker screen </t>
        </is>
      </c>
      <c r="E27" s="96" t="n"/>
      <c r="F27" s="66" t="n"/>
      <c r="G27" s="66" t="n">
        <v>1</v>
      </c>
      <c r="H27" s="66" t="n"/>
    </row>
    <row r="28">
      <c r="A28" s="96" t="inlineStr">
        <is>
          <t>TC_27</t>
        </is>
      </c>
      <c r="B28" s="66" t="inlineStr">
        <is>
          <t xml:space="preserve">Verify user can claim the job when they have successfully passed the assessment </t>
        </is>
      </c>
      <c r="C28" s="66" t="inlineStr">
        <is>
          <t>1. Sign up for personal ID
2. Click on go to connect menu
3. Select and opportunity
4. Submit all learn forms
5. Submit the assessment that satisfy the pass score</t>
        </is>
      </c>
      <c r="D28" s="66" t="inlineStr">
        <is>
          <t xml:space="preserve">- User should see a certification when they successfully complete the assessment on the Learn Progress screen
- User should also see a message "You have passed the assessment and are ready to deliver. View job status to proceed" message on the app home screen
- The status under Learn tab for assessments should also get updated to Passed now.. </t>
        </is>
      </c>
      <c r="E28" s="96" t="n"/>
      <c r="F28" s="66" t="n"/>
      <c r="G28" s="66" t="n">
        <v>1</v>
      </c>
      <c r="H28" s="66" t="n"/>
    </row>
    <row r="29">
      <c r="A29" s="96" t="inlineStr">
        <is>
          <t>TC_28</t>
        </is>
      </c>
      <c r="B29" s="66" t="inlineStr">
        <is>
          <t xml:space="preserve">Confirm that user sees the Delivery details on the screen when they click on the "View Opportunity Details" button </t>
        </is>
      </c>
      <c r="C29" s="66" t="inlineStr">
        <is>
          <t>cont from above TC
- Claim job by clicking on the view opportunity details button</t>
        </is>
      </c>
      <c r="D29" s="66" t="inlineStr">
        <is>
          <t xml:space="preserve">i) User should see all the delivery details on the screen with 
- Total Max visits 
- Max visits per day
- Total no of days left 
- Max amount user can earn with the visits 
ii) User should also be able to download the delivery app
 </t>
        </is>
      </c>
      <c r="E29" s="96" t="n"/>
      <c r="F29" s="66" t="n"/>
      <c r="G29" s="66" t="n">
        <v>1</v>
      </c>
      <c r="H29" s="66" t="n"/>
    </row>
    <row r="30">
      <c r="A30" s="96" t="inlineStr">
        <is>
          <t>TC_29</t>
        </is>
      </c>
      <c r="B30" s="66" t="inlineStr">
        <is>
          <t xml:space="preserve">Verify the number of visits is updated in the app after successfully conducting a visit </t>
        </is>
      </c>
      <c r="C30" s="66" t="inlineStr">
        <is>
          <t>cont from  above TC
- Submit few visits</t>
        </is>
      </c>
      <c r="D30" s="66" t="inlineStr">
        <is>
          <t xml:space="preserve">- Should be updated on the app
- The visit should be reflected in the Connect Web 
- There should be a new pending entry in the 'Verification &amp; Payments' tab  </t>
        </is>
      </c>
      <c r="E30" s="96" t="n"/>
      <c r="F30" s="66" t="n"/>
      <c r="G30" s="66" t="n">
        <v>1</v>
      </c>
      <c r="H30" s="66" t="n"/>
    </row>
    <row r="31">
      <c r="A31" s="96" t="inlineStr">
        <is>
          <t>TC_30</t>
        </is>
      </c>
      <c r="B31" s="66" t="inlineStr">
        <is>
          <t>Verify on approving a visit on connect web, the status is updated in the app as well</t>
        </is>
      </c>
      <c r="C31" s="66" t="inlineStr">
        <is>
          <t>1. On web UI, for the pending visits approve the visits from visit verification page from an opportunity
2. Sign up for personal ID in mobile
3. Click on "Go to connect menu"
4. select the opportunity used in step 1
5. Click on view status button
6. Select payment unit, you will land on the visit status tab
7. Visit status should get updated</t>
        </is>
      </c>
      <c r="D31" s="66" t="inlineStr">
        <is>
          <t xml:space="preserve">- The visit status should get update under Deliver tab on the worker page 
- The status should also get updated in the mobile on the delivery progress screen, under Progress tab
- User should see all the payment units for the opportunity on the delivery progress screen </t>
        </is>
      </c>
      <c r="E31" s="96" t="n"/>
      <c r="F31" s="66" t="n"/>
      <c r="G31" s="66" t="n">
        <v>1</v>
      </c>
      <c r="H31" s="66" t="n"/>
    </row>
    <row r="32">
      <c r="A32" s="96" t="inlineStr">
        <is>
          <t>TC_31</t>
        </is>
      </c>
      <c r="B32" s="66" t="inlineStr">
        <is>
          <t>Verify that user can see a payment record under payment tab</t>
        </is>
      </c>
      <c r="C32" s="66" t="inlineStr">
        <is>
          <t>1. Sign up for personal ID
2. Navigate to opportunity list page
3. Select an opportunity with deliver status
4. Click on view status button
5. Select payment tab</t>
        </is>
      </c>
      <c r="D32" s="66" t="inlineStr">
        <is>
          <t>User should see a payment status, under Payment tab on the Delivery Progress screen
- Earned Amount
- Transferred Amount</t>
        </is>
      </c>
      <c r="E32" s="96" t="n"/>
      <c r="F32" s="66" t="n"/>
      <c r="G32" s="66" t="n">
        <v>1</v>
      </c>
      <c r="H32" s="66" t="n"/>
    </row>
    <row r="33">
      <c r="A33" s="96" t="inlineStr">
        <is>
          <t>TC_32</t>
        </is>
      </c>
      <c r="B33" s="66" t="inlineStr">
        <is>
          <t xml:space="preserve">Verify user can only do the max visits allowed to them on a single day </t>
        </is>
      </c>
      <c r="C33" s="66" t="inlineStr">
        <is>
          <t>1. Sign up for personal ID
2. Navigate to opportunity list page
3. Select an opportunity with deliver status
4. Submit the visits that satisfies the daily limit</t>
        </is>
      </c>
      <c r="D33" s="66" t="inlineStr">
        <is>
          <t>- On exceeding the delviery forms limit, user should not see any progress getting updated on the mobile app. 
- User should not see the count of Verification Status getting updated in Verification &amp; Payments tab
- On Web UI, user should see a 'Over Limit' status for the form submitted on after exceeding the daily limit, under Deliver Forms tab</t>
        </is>
      </c>
      <c r="E33" s="96" t="n"/>
      <c r="F33" s="66" t="n"/>
      <c r="G33" s="66" t="n">
        <v>1</v>
      </c>
      <c r="H33" s="66" t="n"/>
    </row>
    <row r="34">
      <c r="A34" s="96" t="inlineStr">
        <is>
          <t>TC_33</t>
        </is>
      </c>
      <c r="B34" s="66" t="inlineStr">
        <is>
          <t xml:space="preserve">Confirm user can continue the delivery progress on a new device by recovering their account </t>
        </is>
      </c>
      <c r="C34" s="66" t="inlineStr">
        <is>
          <t xml:space="preserve">1. Sign up for personal ID on another device
</t>
        </is>
      </c>
      <c r="D34" s="66" t="inlineStr">
        <is>
          <t>User should be able to recover the account successfully and no progress should be lost</t>
        </is>
      </c>
      <c r="E34" s="96" t="n"/>
      <c r="F34" s="66" t="n"/>
      <c r="G34" s="66" t="n">
        <v>1</v>
      </c>
      <c r="H34" s="66" t="n"/>
    </row>
    <row r="35">
      <c r="A35" s="96" t="inlineStr">
        <is>
          <t>TC_34</t>
        </is>
      </c>
      <c r="B35" s="66" t="inlineStr">
        <is>
          <t>Check if user uninstalls the Learn/Deliver App, would they be able to re-install the Learn/Deliver Apps by clicking on resume button</t>
        </is>
      </c>
      <c r="C35" s="66" t="inlineStr">
        <is>
          <t>1. Click on three dots menu in mobile
2. select app manager
3. Uninstall all the learn/deliver apps
4. Go to opp list page
5. Click on resume button</t>
        </is>
      </c>
      <c r="D35" s="66" t="inlineStr">
        <is>
          <t>The Learn/Delvier apps should be downloaded again on clicking the resume button on opp card</t>
        </is>
      </c>
      <c r="E35" s="96" t="n"/>
      <c r="F35" s="66" t="n"/>
      <c r="G35" s="66" t="n"/>
      <c r="H35" s="66" t="n"/>
    </row>
    <row r="36">
      <c r="A36" s="96" t="inlineStr">
        <is>
          <t>TC_35</t>
        </is>
      </c>
      <c r="B36" s="66" t="inlineStr">
        <is>
          <t>Verify the submission of same form doesn't increase the daily visit progress</t>
        </is>
      </c>
      <c r="C36" s="66" t="inlineStr">
        <is>
          <t>1. Submit visit 1
2.  Submit visit 2 with same details of visit 1</t>
        </is>
      </c>
      <c r="D36" s="66" t="inlineStr">
        <is>
          <t>The progress screen should not increment the submitted numbers
- On web the 2nd visit should mark as duplicate</t>
        </is>
      </c>
      <c r="E36" s="96" t="n"/>
      <c r="F36" s="66" t="n"/>
      <c r="G36" s="66" t="n"/>
      <c r="H36" s="66" t="n"/>
    </row>
    <row r="37">
      <c r="A37" s="96" t="inlineStr">
        <is>
          <t>TC_36</t>
        </is>
      </c>
      <c r="B37" s="66" t="inlineStr">
        <is>
          <t>Clicking on Opportunity invite Push Notification should take user to the Opportunity details page</t>
        </is>
      </c>
      <c r="C37" s="66" t="n"/>
      <c r="D37" s="66" t="inlineStr">
        <is>
          <t xml:space="preserve">User should be redirected to the opportunity details page </t>
        </is>
      </c>
      <c r="E37" s="69" t="n"/>
      <c r="F37" s="66" t="n"/>
      <c r="G37" s="66" t="n"/>
      <c r="H37" s="66" t="n"/>
    </row>
    <row r="38">
      <c r="A38" s="96" t="inlineStr">
        <is>
          <t>TC_37</t>
        </is>
      </c>
      <c r="B38" s="66" t="inlineStr">
        <is>
          <t xml:space="preserve">Verify on completion of the download oflearn app user should be automatically taken to the app, to start learning </t>
        </is>
      </c>
      <c r="C38" s="66" t="n"/>
      <c r="D38" s="66" t="inlineStr">
        <is>
          <t>User is logged in automatically on successful download of the learn app and should be able to start the learning</t>
        </is>
      </c>
      <c r="E38" s="96" t="n"/>
      <c r="F38" s="66" t="n"/>
      <c r="G38" s="66" t="n">
        <v>1</v>
      </c>
      <c r="H38" s="66" t="n"/>
    </row>
    <row r="39">
      <c r="A39" s="96" t="inlineStr">
        <is>
          <t>TC_38</t>
        </is>
      </c>
      <c r="B39" s="66" t="inlineStr">
        <is>
          <t>If I have not come back and taken a lesson for the past 3 days, I should receive a push notification nudging me to complete the learning. The push notification should link me directly into the Learn app for that Opportunity</t>
        </is>
      </c>
      <c r="C39" s="66" t="n"/>
      <c r="D39" s="66" t="n"/>
      <c r="E39" s="96" t="n"/>
      <c r="F39" s="66" t="n"/>
      <c r="G39" s="66" t="n"/>
      <c r="H39" s="66" t="n"/>
    </row>
    <row r="40">
      <c r="A40" s="96" t="inlineStr">
        <is>
          <t>TC_39</t>
        </is>
      </c>
      <c r="B40" s="66" t="inlineStr">
        <is>
          <t>If the last date has already been reached, the button on the Review Delivery Details screen should be grayed out and the text above it should read: “The last date for the project is over. You will be notified if the opportunity opens up again’</t>
        </is>
      </c>
      <c r="C40" s="66" t="n"/>
      <c r="D40" s="66" t="n"/>
      <c r="E40" s="96" t="n"/>
      <c r="F40" s="66" t="n"/>
      <c r="G40" s="66" t="n"/>
      <c r="H40" s="66" t="n"/>
    </row>
    <row r="41">
      <c r="A41" s="96" t="inlineStr">
        <is>
          <t>TC_40</t>
        </is>
      </c>
      <c r="B41" s="66" t="inlineStr">
        <is>
          <t>If user do not make a visit for 2 days, they should be sent a push notification nudging me to continue the visits.The push notification should link the user directly into the Deliver app for that Opportunity</t>
        </is>
      </c>
      <c r="C41" s="66" t="n"/>
      <c r="D41" s="66" t="n"/>
      <c r="E41" s="96" t="n"/>
      <c r="F41" s="66" t="n"/>
      <c r="G41" s="66" t="n"/>
      <c r="H41" s="66" t="n"/>
    </row>
    <row r="42">
      <c r="A42" s="96" t="inlineStr">
        <is>
          <t>TC_41</t>
        </is>
      </c>
      <c r="B42" s="66" t="inlineStr">
        <is>
          <t xml:space="preserve">Visits may also be disqualified and not counted if the service was not delivered as seen through a calculated field within the form. Refer to the ‘Payable unit of work’ section in the </t>
        </is>
      </c>
      <c r="C42" s="66" t="n"/>
      <c r="D42" s="66" t="inlineStr">
        <is>
          <t xml:space="preserve">On Web UI, user should be able ot reject visits and the same status should be reflected on the mobile app, under Verificaiton &amp; Payments tab for 'Not Approved' </t>
        </is>
      </c>
      <c r="E42" s="96" t="n"/>
      <c r="F42" s="66" t="n"/>
      <c r="G42" s="66" t="n"/>
      <c r="H42" s="66" t="n"/>
    </row>
    <row r="43">
      <c r="A43" s="96" t="inlineStr">
        <is>
          <t>TC_42</t>
        </is>
      </c>
      <c r="B43" s="66" t="inlineStr">
        <is>
          <t>User should receive a push notification when a new payment transaction has been uploaded that should link to the payment transaction screen</t>
        </is>
      </c>
      <c r="C43" s="66" t="inlineStr">
        <is>
          <t>1. Make a payment transaction from web UI
2. User should receive the push notiifcation on the mobile device</t>
        </is>
      </c>
      <c r="D43" s="66" t="inlineStr">
        <is>
          <t xml:space="preserve">- Confirm user recieved a push notification on receiving a payment
- User should be redirected to the payment tab for hte opportunity on clicking it
- There should be no Yes or No option on the push notification to confirm the payment </t>
        </is>
      </c>
      <c r="E43" s="96" t="n"/>
      <c r="F43" s="66" t="n"/>
      <c r="G43" s="66" t="n">
        <v>1</v>
      </c>
      <c r="H43" s="66" t="n"/>
    </row>
    <row r="44">
      <c r="A44" s="96" t="inlineStr">
        <is>
          <t>TC_43</t>
        </is>
      </c>
      <c r="B44" s="66" t="inlineStr">
        <is>
          <t>Verify that total amount paid to the user for the approved visits is displayed correctly under Payments tab</t>
        </is>
      </c>
      <c r="C44" s="66" t="inlineStr">
        <is>
          <t>1. Sign up for personal ID
2. Navigate to opportunity list page
3. Select an opportunity with deliver status
4. Click on view status button
5. Select payment tab</t>
        </is>
      </c>
      <c r="D44" s="66" t="inlineStr">
        <is>
          <t>- Total amount paid to the user should be refelcted under Payments tab on Web UI
- Same amount should also be reflected under Payment tab when navigating to the "View Job Status" option</t>
        </is>
      </c>
      <c r="E44" s="96" t="n"/>
      <c r="F44" s="66" t="n"/>
      <c r="G44" s="66" t="n">
        <v>1</v>
      </c>
      <c r="H44" s="66" t="n"/>
    </row>
    <row r="45">
      <c r="A45" s="96" t="inlineStr">
        <is>
          <t>TC_44</t>
        </is>
      </c>
      <c r="B45" s="66" t="inlineStr">
        <is>
          <t>Verfiy user is able to see the payment transaction card on the payments tab</t>
        </is>
      </c>
      <c r="C45" s="66" t="inlineStr">
        <is>
          <t xml:space="preserve">1. From web UI make a payment
2. Install CCC app
3. Login with PID
4. Login to deliver app of any opp
5. Navigate to payment tab
</t>
        </is>
      </c>
      <c r="D45" s="66" t="inlineStr">
        <is>
          <t>- User should see the payment transaction card with ask later and "Yes" buttons</t>
        </is>
      </c>
      <c r="E45" s="96" t="n"/>
      <c r="F45" s="66" t="n"/>
      <c r="G45" s="66" t="n"/>
      <c r="H45" s="66" t="n"/>
    </row>
    <row r="46">
      <c r="A46" s="96" t="inlineStr">
        <is>
          <t>TC_45</t>
        </is>
      </c>
      <c r="B46" s="66" t="inlineStr">
        <is>
          <t>Verfiy user is not able to see the payment transaction card after clicking on ask later button</t>
        </is>
      </c>
      <c r="C46" s="66" t="inlineStr">
        <is>
          <t>1. From web UI make a payment
2. Install CCC app
3. Login with PID
4. Login to deliver app of any opp
5. Navigate to payment tab
6. Click Ask later button</t>
        </is>
      </c>
      <c r="D46" s="66" t="inlineStr">
        <is>
          <t>- Payment card should not be visible again
- It should be visible after a week summing up all the unconfirmed amount
- It also appear again if user receives another payment and should display the sum of all the payment until then</t>
        </is>
      </c>
      <c r="E46" s="96" t="n"/>
      <c r="F46" s="66" t="n"/>
      <c r="G46" s="66" t="n"/>
      <c r="H46" s="66" t="n"/>
    </row>
    <row r="47">
      <c r="A47" s="96" t="inlineStr">
        <is>
          <t>TC_46</t>
        </is>
      </c>
      <c r="B47" s="66" t="inlineStr">
        <is>
          <t>Confirm that when a mobile user is suspended from an opportuntiy, the opportunity home page shows user suspended message</t>
        </is>
      </c>
      <c r="C47" s="66" t="inlineStr">
        <is>
          <t>1. Login into the app as a CID user and start working on any opportuntiy.
2. Go to you opportunity page on web apps.
3. Under 'User Status' tab, click on View Profile link for your user.
4. Suspend your user. 
5. On your app, sync the user.</t>
        </is>
      </c>
      <c r="D47" s="66" t="inlineStr">
        <is>
          <t>- When user selects the opportuntiy in the list, user should see the user is suspended messgae on the app home screen</t>
        </is>
      </c>
      <c r="E47" s="96" t="n"/>
      <c r="F47" s="66" t="n"/>
      <c r="G47" s="66" t="n">
        <v>1</v>
      </c>
      <c r="H47" s="66" t="n"/>
    </row>
    <row r="48">
      <c r="A48" s="96" t="inlineStr">
        <is>
          <t>TC_47</t>
        </is>
      </c>
      <c r="B48" s="97" t="inlineStr">
        <is>
          <t>Verify when user clicks on the task assigned  notification from notification history page lands on the delivery app home page</t>
        </is>
      </c>
      <c r="C48" s="97" t="inlineStr">
        <is>
          <t>1. On web, navigate to opp dashboard &gt;&gt; hamburger option &gt;&gt; configure task type
2. Navigate to worker visit verification page &gt;&gt; tasks tab
3. Create a task
4. Verify push notification is received to PID user in mobile
5. Navigate to notification history page
6. Click on the new learn task assigned notification</t>
        </is>
      </c>
      <c r="D48" s="97" t="inlineStr">
        <is>
          <t>- When user clicks on the push notification, should land on the delivery app home page and sync should auto triggered.</t>
        </is>
      </c>
      <c r="E48" s="96" t="n"/>
      <c r="F48" s="66" t="n"/>
      <c r="G48" s="66" t="n"/>
      <c r="H48" s="66" t="n"/>
    </row>
    <row r="49">
      <c r="A49" s="96" t="inlineStr">
        <is>
          <t>TC_48</t>
        </is>
      </c>
      <c r="B49" s="97" t="inlineStr">
        <is>
          <t xml:space="preserve">Verify user lands on the connect app home page by clicking on the notification if delivery app is not installed </t>
        </is>
      </c>
      <c r="C49" s="97" t="inlineStr">
        <is>
          <t xml:space="preserve">1. On web, navigate to opp dashboard &gt;&gt; hamburger option &gt;&gt; configure task type
2. Navigate to worker visit verification page &gt;&gt; tasks tab
3. Create a task
4. Verify push notification is received to PID user in mobile
5. Make sure respective delivery app is not installed
6. Click on the notification </t>
        </is>
      </c>
      <c r="D49" s="97" t="inlineStr">
        <is>
          <t>- User should land on the connect home page when no delivery app is installed</t>
        </is>
      </c>
      <c r="E49" s="96" t="n"/>
      <c r="F49" s="66" t="n"/>
      <c r="G49" s="66" t="n"/>
      <c r="H49" s="66" t="n"/>
    </row>
    <row r="50">
      <c r="A50" s="96" t="inlineStr">
        <is>
          <t>TC_49</t>
        </is>
      </c>
      <c r="B50" s="97" t="inlineStr">
        <is>
          <t>Verify user sees the pending tasks message on the opp card</t>
        </is>
      </c>
      <c r="C50" s="97" t="inlineStr">
        <is>
          <t xml:space="preserve">1. On web, navigate to opp dashboard &gt;&gt; hamburger option &gt;&gt; configure task type
2. Navigate to worker visit verification page &gt;&gt; tasks tab
3. Create a task
4. Verify push notification is received to PID user in mobile
5. Click on the new learn task assigned push notification
6. On the delivery app home page, Opp card verify the pending message </t>
        </is>
      </c>
      <c r="D50" s="97" t="inlineStr">
        <is>
          <t>- User should see the below message when relarn task is assigned
"Complete assigned tasks to continue delivering services"</t>
        </is>
      </c>
      <c r="E50" s="96" t="n"/>
      <c r="F50" s="66" t="n"/>
      <c r="G50" s="66" t="n"/>
      <c r="H50" s="66" t="n"/>
    </row>
    <row r="51">
      <c r="A51" s="96" t="inlineStr">
        <is>
          <t>TC_50</t>
        </is>
      </c>
      <c r="B51" s="97" t="inlineStr">
        <is>
          <t>Verify user sees the all required tasks are completed message when completes the relearn tasks</t>
        </is>
      </c>
      <c r="C51" s="97" t="inlineStr">
        <is>
          <t>cont to above TC
- Complete the relearn task 
- Click on sync</t>
        </is>
      </c>
      <c r="D51" s="97" t="inlineStr">
        <is>
          <t>- User should see the below message when relarn task is completed
"All required tasks have been completed. You may continue with delivery activities"</t>
        </is>
      </c>
      <c r="E51" s="96" t="n"/>
      <c r="F51" s="66" t="n"/>
      <c r="G51" s="66" t="n"/>
      <c r="H51" s="66" t="n"/>
    </row>
    <row r="52">
      <c r="A52" s="96" t="inlineStr">
        <is>
          <t>TC_51</t>
        </is>
      </c>
      <c r="B52" s="97" t="inlineStr">
        <is>
          <t>Verify when user clicks on the work area assigned push notification lands on the delivery app home page</t>
        </is>
      </c>
      <c r="C52" s="97" t="inlineStr">
        <is>
          <t>Continue to above TC:
- Click on the push notification</t>
        </is>
      </c>
      <c r="D52" s="97" t="inlineStr">
        <is>
          <t>- User should land on the delivery app home page and auto sync is triggered</t>
        </is>
      </c>
      <c r="E52" s="96" t="n"/>
      <c r="F52" s="66" t="n"/>
      <c r="G52" s="66" t="n"/>
      <c r="H52" s="66" t="n"/>
    </row>
    <row r="53">
      <c r="A53" s="96" t="inlineStr">
        <is>
          <t>TC_52</t>
        </is>
      </c>
      <c r="B53" s="97" t="inlineStr">
        <is>
          <t>Verify when user clicks on the work area assigned  notification from notification history page lands on the delivery app home page</t>
        </is>
      </c>
      <c r="C53" s="97" t="inlineStr">
        <is>
          <t>1. On web, navigate to opp dashboard &gt;&gt; view progresss map
2. Assign work area for connect worker
3. Verify push notification is received to PID user in mobile
4. Navigate to notification history page
5. Click on the new work area assigned notification</t>
        </is>
      </c>
      <c r="D53" s="97" t="inlineStr">
        <is>
          <t>- User should land on the delivery app home page and auto sync is triggered</t>
        </is>
      </c>
      <c r="E53" s="96" t="n"/>
      <c r="F53" s="66" t="n"/>
      <c r="G53" s="66" t="n"/>
      <c r="H53" s="66" t="n"/>
    </row>
    <row r="54">
      <c r="A54" s="96" t="inlineStr">
        <is>
          <t>TC_53</t>
        </is>
      </c>
      <c r="B54" s="97" t="inlineStr">
        <is>
          <t xml:space="preserve">Verify user lands on the connect app home page by clicking on the notification if delivery app is not installed </t>
        </is>
      </c>
      <c r="C54" s="97" t="inlineStr">
        <is>
          <t xml:space="preserve">1. On web, navigate to opp dashboard &gt;&gt; view progresss map
2. Assign work area for connect worker
3. Verify push notification is received to PID user in mobile
5. Make sure respective delivery app is not installed
6. Click on the notification </t>
        </is>
      </c>
      <c r="D54" s="97" t="inlineStr">
        <is>
          <t xml:space="preserve">Verify user lands on the connect app home page by clicking on the notification if delivery app is not installed </t>
        </is>
      </c>
      <c r="E54" s="96" t="n"/>
      <c r="F54" s="66" t="n"/>
      <c r="G54" s="66" t="n"/>
      <c r="H54" s="66" t="n"/>
    </row>
  </sheetData>
  <conditionalFormatting sqref="E2:E18">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2">
    <dataValidation sqref="E19:E54" showDropDown="0" showInputMessage="0" showErrorMessage="1" allowBlank="1" type="list">
      <formula1>"Pass,Fail,N/A,Blocking"</formula1>
    </dataValidation>
    <dataValidation sqref="E2:E18" showDropDown="0" showInputMessage="0" showErrorMessage="1" allowBlank="1" type="list">
      <formula1>"Pass,Fail,N/A,Blocking"</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43.25" customWidth="1" style="145" min="2" max="2"/>
    <col width="39.25" customWidth="1" style="145" min="3" max="3"/>
    <col width="50.88" customWidth="1" style="145" min="4" max="4"/>
  </cols>
  <sheetData>
    <row r="1">
      <c r="A1" s="72" t="inlineStr">
        <is>
          <t>  </t>
        </is>
      </c>
      <c r="B1" s="72" t="inlineStr">
        <is>
          <t>Description</t>
        </is>
      </c>
      <c r="C1" s="72" t="inlineStr">
        <is>
          <t xml:space="preserve">Steps </t>
        </is>
      </c>
      <c r="D1" s="72" t="inlineStr">
        <is>
          <t>Expected Outcome</t>
        </is>
      </c>
      <c r="E1" s="72" t="inlineStr">
        <is>
          <t>Status (Pass/Fail)</t>
        </is>
      </c>
      <c r="F1" s="72" t="inlineStr">
        <is>
          <t>Ticket/ Bug ID</t>
        </is>
      </c>
      <c r="G1" s="72" t="inlineStr">
        <is>
          <t>Comments</t>
        </is>
      </c>
      <c r="H1" s="72" t="n"/>
    </row>
    <row r="2">
      <c r="A2" s="96" t="inlineStr">
        <is>
          <t>OLP_01</t>
        </is>
      </c>
      <c r="B2" s="74" t="inlineStr">
        <is>
          <t>Verify “In Progress” Opportunities Displayed at Top</t>
        </is>
      </c>
      <c r="C2" s="74" t="inlineStr">
        <is>
          <t>1. Install latest test apk
2. Sign up for personal ID
3. Go to connect menu</t>
        </is>
      </c>
      <c r="D2" s="74" t="inlineStr">
        <is>
          <t>- "InProgress" section is displayed at the top of opportunities list page</t>
        </is>
      </c>
      <c r="E2" s="96" t="n"/>
      <c r="F2" s="96" t="n"/>
      <c r="G2" s="96" t="n"/>
      <c r="H2" s="87" t="n"/>
    </row>
    <row r="3">
      <c r="A3" s="96" t="inlineStr">
        <is>
          <t>OLP_02</t>
        </is>
      </c>
      <c r="B3" s="74" t="inlineStr">
        <is>
          <t>Verify “New” Opportunities Displayed Below In Progress</t>
        </is>
      </c>
      <c r="C3" s="74" t="inlineStr">
        <is>
          <t>1. Install latest test apk
2. Sign up for personal ID
3. Go to connect menu</t>
        </is>
      </c>
      <c r="D3" s="74" t="inlineStr">
        <is>
          <t>- "New Opportunities" section is displayed below the inprogress section</t>
        </is>
      </c>
      <c r="E3" s="96" t="n"/>
      <c r="F3" s="96" t="n"/>
      <c r="G3" s="96" t="n"/>
      <c r="H3" s="87" t="n"/>
    </row>
    <row r="4">
      <c r="A4" s="96" t="inlineStr">
        <is>
          <t>OLP_03</t>
        </is>
      </c>
      <c r="B4" s="74" t="inlineStr">
        <is>
          <t>Verify "Completed opportunities" section displayed at bottom</t>
        </is>
      </c>
      <c r="C4" s="74" t="inlineStr">
        <is>
          <t>1. Install latest test apk
2. Sign up for personal ID
3. Go to connect menu</t>
        </is>
      </c>
      <c r="D4" s="74" t="inlineStr">
        <is>
          <t>- "Completed Opportunities" section is displayed at the bottom of opportunities list page</t>
        </is>
      </c>
      <c r="E4" s="96" t="n"/>
      <c r="F4" s="96" t="n"/>
      <c r="G4" s="96" t="n"/>
      <c r="H4" s="87" t="n"/>
    </row>
    <row r="5">
      <c r="A5" s="96" t="inlineStr">
        <is>
          <t>OLP_04</t>
        </is>
      </c>
      <c r="B5" s="74" t="inlineStr">
        <is>
          <t>Verify User Can View Opportunity Information at Any Time</t>
        </is>
      </c>
      <c r="C5" s="74" t="inlineStr">
        <is>
          <t xml:space="preserve">1. Install latest test apk
2. Sign up for personal ID
3. Go to connect menu
4.Click on the view info option for an inprogress opp
5. Repeat step 4 for completed opp </t>
        </is>
      </c>
      <c r="D5" s="74" t="inlineStr">
        <is>
          <t xml:space="preserve">- We show see the Opp information details at any time when user click on view info option </t>
        </is>
      </c>
      <c r="E5" s="96" t="n"/>
      <c r="F5" s="96" t="n"/>
      <c r="G5" s="96" t="n"/>
      <c r="H5" s="87" t="n"/>
    </row>
    <row r="6">
      <c r="A6" s="96" t="inlineStr">
        <is>
          <t>OLP_05</t>
        </is>
      </c>
      <c r="B6" s="74" t="inlineStr">
        <is>
          <t>Verify Opportunity Details Drawer Opens</t>
        </is>
      </c>
      <c r="C6" s="74" t="inlineStr">
        <is>
          <t>cont to above TC
- When we click on the view info button Opportunity details drawer opens</t>
        </is>
      </c>
      <c r="D6" s="74" t="inlineStr">
        <is>
          <t>- When user clicks on "view info" option Opp details drawer is opened</t>
        </is>
      </c>
      <c r="E6" s="96" t="n"/>
      <c r="F6" s="96" t="n"/>
      <c r="G6" s="96" t="n"/>
      <c r="H6" s="87" t="n"/>
    </row>
    <row r="7">
      <c r="A7" s="96" t="inlineStr">
        <is>
          <t>OLP_06</t>
        </is>
      </c>
      <c r="B7" s="74" t="inlineStr">
        <is>
          <t>Verify Drawer Displays Complete Opportunity Information</t>
        </is>
      </c>
      <c r="C7" s="74" t="inlineStr">
        <is>
          <t>1. Install latest test apk
2. Sign up for personal ID
3. Go to connect menu &gt;&gt; Click on view info option for an Opp</t>
        </is>
      </c>
      <c r="D7" s="74" t="inlineStr">
        <is>
          <t xml:space="preserve">The following details are shown:
- Complete by date
- Work history progress using icons
- Delivery Details
</t>
        </is>
      </c>
      <c r="E7" s="96" t="n"/>
      <c r="F7" s="96" t="n"/>
      <c r="G7" s="96" t="n"/>
      <c r="H7" s="87" t="n"/>
    </row>
    <row r="8">
      <c r="A8" s="96" t="inlineStr">
        <is>
          <t>OLP_07</t>
        </is>
      </c>
      <c r="B8" s="74" t="inlineStr">
        <is>
          <t>Verify Correct Progress Display for Opportunity</t>
        </is>
      </c>
      <c r="C8" s="74" t="inlineStr">
        <is>
          <t>1. Install latest test apk
2. Sign up for personal ID
3. Go to connect menu 
4. Verify learn progress or delivery progress are shown</t>
        </is>
      </c>
      <c r="D8" s="74" t="inlineStr">
        <is>
          <t>- Learn progress badge is displayed correctly for opportunities which have learn app is in progress
- Delivery progress badge is displayed correctly for opp which have delivery app is in progress
- Percentage shown matches actual backend progress.
- Progress updates accurately based on user activity.</t>
        </is>
      </c>
      <c r="E8" s="96" t="n"/>
      <c r="F8" s="96" t="n"/>
      <c r="G8" s="96" t="n"/>
      <c r="H8" s="87" t="n"/>
    </row>
    <row r="9">
      <c r="A9" s="96" t="inlineStr">
        <is>
          <t>OLP_08</t>
        </is>
      </c>
      <c r="B9" s="74" t="inlineStr">
        <is>
          <t>Verify Work History progress is shown on opportunity details</t>
        </is>
      </c>
      <c r="C9" s="74" t="inlineStr">
        <is>
          <t>1. Install latest test apk
2. Sign up for personal ID
3. Go to connect menu 
4. Click on the "View info" option for an opp
5. Verify worker history progress is shown on the opp details drawer</t>
        </is>
      </c>
      <c r="D9" s="74" t="inlineStr">
        <is>
          <t>- Work history progress is visible in the opportunity details drawer.
- Icons/status indicators reflect correct progress state</t>
        </is>
      </c>
      <c r="E9" s="96" t="n"/>
      <c r="F9" s="96" t="n"/>
      <c r="G9" s="96" t="n"/>
      <c r="H9" s="87" t="n"/>
    </row>
    <row r="10">
      <c r="A10" s="96" t="inlineStr">
        <is>
          <t>OLP_09</t>
        </is>
      </c>
      <c r="B10" s="74" t="inlineStr">
        <is>
          <t>Verify user is able to see review and view info options  to the completed opportunities</t>
        </is>
      </c>
      <c r="C10" s="74" t="inlineStr">
        <is>
          <t>1. Install latest test apk
2. Sign up for personal ID
3. Go to connect menu</t>
        </is>
      </c>
      <c r="D10" s="74" t="inlineStr">
        <is>
          <t>Completed opportunities display both Review and View Info options.</t>
        </is>
      </c>
      <c r="E10" s="96" t="n"/>
      <c r="F10" s="96" t="n"/>
      <c r="G10" s="96" t="n"/>
      <c r="H10" s="87" t="n"/>
    </row>
    <row r="11">
      <c r="A11" s="96" t="inlineStr">
        <is>
          <t>OLP_10</t>
        </is>
      </c>
      <c r="B11" s="74" t="inlineStr">
        <is>
          <t>Verify user is able to see the resume and view info options to the InProgress Opportunities</t>
        </is>
      </c>
      <c r="C11" s="74" t="inlineStr">
        <is>
          <t>1. Install latest test apk
2. Sign up for personal ID
3. Go to connect menu</t>
        </is>
      </c>
      <c r="D11" s="74" t="inlineStr">
        <is>
          <t>In Progress opportunities display Resume and View Info options.</t>
        </is>
      </c>
      <c r="E11" s="96" t="n"/>
      <c r="F11" s="96" t="n"/>
      <c r="G11" s="96" t="n"/>
      <c r="H11" s="87" t="n"/>
    </row>
    <row r="12">
      <c r="A12" s="96" t="inlineStr">
        <is>
          <t>OLP_11</t>
        </is>
      </c>
      <c r="B12" s="74" t="inlineStr">
        <is>
          <t>Verify user is able to see the view opportunity button for New Opportunities</t>
        </is>
      </c>
      <c r="C12" s="74" t="inlineStr">
        <is>
          <t>1. Install latest test apk
2. Sign up for personal ID
3. Go to connect menu
4. Invite a new opp from web</t>
        </is>
      </c>
      <c r="D12" s="74" t="inlineStr">
        <is>
          <t>New opportunities display the View opportunity button.</t>
        </is>
      </c>
      <c r="E12" s="96" t="n"/>
      <c r="F12" s="96" t="n"/>
      <c r="G12" s="96" t="n"/>
      <c r="H12" s="87" t="n"/>
    </row>
    <row r="13">
      <c r="A13" s="96" t="inlineStr">
        <is>
          <t>OLP_12</t>
        </is>
      </c>
      <c r="B13" s="74" t="inlineStr">
        <is>
          <t>Verify user is able to start the opportunity upon clicking on view opportunity button</t>
        </is>
      </c>
      <c r="C13" s="74" t="inlineStr">
        <is>
          <t>1. Install latest test apk
2. Sign up for personal ID
3. Go to connect menu
4. Invite a new Opp from web
5. Click on the view opportunity button
6. On opp details page click on start button</t>
        </is>
      </c>
      <c r="D13" s="74" t="inlineStr">
        <is>
          <t>- User lands on the opportunity details page
- User sees the start button
- Learn app starts downloading upon clicking on the start button</t>
        </is>
      </c>
      <c r="E13" s="96" t="n"/>
      <c r="F13" s="96" t="n"/>
      <c r="G13" s="96" t="n"/>
      <c r="H13" s="87" t="n"/>
    </row>
    <row r="14">
      <c r="A14" s="96" t="inlineStr">
        <is>
          <t>OLP_13</t>
        </is>
      </c>
      <c r="B14" s="74" t="inlineStr">
        <is>
          <t>Verify Inprogress opportunities section is not visible when no inprogress opportunities are there</t>
        </is>
      </c>
      <c r="C14" s="74" t="inlineStr">
        <is>
          <t>1. Install latest apk
2. Sign Up for PID 
3. Invite for a new Opp</t>
        </is>
      </c>
      <c r="D14" s="74" t="inlineStr">
        <is>
          <t>In Progress section is hidden when no opportunities exist in that status.</t>
        </is>
      </c>
      <c r="E14" s="96" t="n"/>
      <c r="F14" s="96" t="n"/>
      <c r="G14" s="96" t="n"/>
      <c r="H14" s="87" t="n"/>
    </row>
    <row r="15">
      <c r="A15" s="96" t="inlineStr">
        <is>
          <t>OLP_14</t>
        </is>
      </c>
      <c r="B15" s="74" t="inlineStr">
        <is>
          <t>Verify new opportunities section is not visible when no new opportunities are there</t>
        </is>
      </c>
      <c r="C15" s="74" t="inlineStr">
        <is>
          <t>Cont to above TC
- Start the Opp invited in above TC</t>
        </is>
      </c>
      <c r="D15" s="74" t="inlineStr">
        <is>
          <t>New Opportunities section is hidden when no opportunities are in New status.</t>
        </is>
      </c>
      <c r="E15" s="96" t="n"/>
      <c r="F15" s="96" t="n"/>
      <c r="G15" s="96" t="n"/>
      <c r="H15" s="87" t="n"/>
    </row>
    <row r="16">
      <c r="A16" s="96" t="inlineStr">
        <is>
          <t>OLP_15</t>
        </is>
      </c>
      <c r="B16" s="74" t="inlineStr">
        <is>
          <t>Verify complete opportunities section is not visible when no completed opportunities are there</t>
        </is>
      </c>
      <c r="C16" s="74" t="inlineStr">
        <is>
          <t xml:space="preserve">Cont to above TC
</t>
        </is>
      </c>
      <c r="D16" s="74" t="inlineStr">
        <is>
          <t>Completed section is not displayed when no completed opportunities exist</t>
        </is>
      </c>
      <c r="E16" s="96" t="n"/>
      <c r="F16" s="96" t="n"/>
      <c r="G16" s="96" t="n"/>
      <c r="H16" s="87" t="n"/>
    </row>
    <row r="17">
      <c r="A17" s="96" t="inlineStr">
        <is>
          <t>OLP_16</t>
        </is>
      </c>
      <c r="B17" s="74" t="inlineStr">
        <is>
          <t>Verify user is able to land on the learn/delivery app when click on the resume option</t>
        </is>
      </c>
      <c r="C17" s="74" t="inlineStr">
        <is>
          <t>1. Install latest test apk
2. Sign up for personal ID
3. Go to connect menu 
4. Click on the resume button</t>
        </is>
      </c>
      <c r="D17" s="74" t="inlineStr">
        <is>
          <t>On clicking Resume, user is redirected to the respective Learn/Delivery app (if installed).</t>
        </is>
      </c>
      <c r="E17" s="96" t="n"/>
      <c r="F17" s="96" t="n"/>
      <c r="G17" s="96" t="n"/>
      <c r="H17" s="87" t="n"/>
    </row>
    <row r="18">
      <c r="A18" s="96" t="inlineStr">
        <is>
          <t>OLP_17</t>
        </is>
      </c>
      <c r="B18" s="74" t="inlineStr">
        <is>
          <t>Verify user is able to download the learn/delivery app when click on the resume option</t>
        </is>
      </c>
      <c r="C18" s="74" t="inlineStr">
        <is>
          <t>1. Install latest test apk
2. Sign up for personal ID
3. Go to connect menu 
4. Click on the resume button</t>
        </is>
      </c>
      <c r="D18" s="74" t="inlineStr">
        <is>
          <t>If Learn/Delivery app is not installed, user is redirected to the learn/delivery app download page.</t>
        </is>
      </c>
      <c r="E18" s="96" t="n"/>
      <c r="F18" s="96" t="n"/>
      <c r="G18" s="96" t="n"/>
      <c r="H18" s="87" t="n"/>
    </row>
    <row r="19">
      <c r="A19" s="96" t="inlineStr">
        <is>
          <t>OLP_18</t>
        </is>
      </c>
      <c r="B19" s="74" t="inlineStr">
        <is>
          <t>Verify  user is able to see the new opportunity badge for new opportunities</t>
        </is>
      </c>
      <c r="C19" s="74" t="inlineStr">
        <is>
          <t>1. Sign up for PID
2. Invite an Opp
3. Verfiy user sees new opportunity badge on the Opp card</t>
        </is>
      </c>
      <c r="D19" s="74" t="inlineStr">
        <is>
          <t>- User should see new Opp badge</t>
        </is>
      </c>
      <c r="E19" s="96" t="n"/>
      <c r="F19" s="96" t="n"/>
      <c r="G19" s="96" t="n"/>
      <c r="H19" s="87" t="n"/>
    </row>
    <row r="20">
      <c r="A20" s="96" t="inlineStr">
        <is>
          <t>OLP_19</t>
        </is>
      </c>
      <c r="B20" s="74" t="inlineStr">
        <is>
          <t>Verify user is able to see the learn badge with precentage progress when learn app is inprogress</t>
        </is>
      </c>
      <c r="C20" s="74" t="inlineStr">
        <is>
          <t xml:space="preserve">1. Sign up for PID
2. Invite an Opp and start learn app
3. On Opp list page, verify Learn progress badge is visbile for an Opp </t>
        </is>
      </c>
      <c r="D20" s="74" t="inlineStr">
        <is>
          <t>- Learn badge is visible for In Progress learning.
- Correct percentage is displayed.
- Badge updates dynamically after progress change.</t>
        </is>
      </c>
      <c r="E20" s="96" t="n"/>
      <c r="F20" s="96" t="n"/>
      <c r="G20" s="96" t="n"/>
      <c r="H20" s="87" t="n"/>
    </row>
    <row r="21">
      <c r="A21" s="96" t="inlineStr">
        <is>
          <t>OLP_20</t>
        </is>
      </c>
      <c r="B21" s="74" t="inlineStr">
        <is>
          <t>Verify user is able to see the assessment completed badge when user is completed the assessment</t>
        </is>
      </c>
      <c r="C21" s="74" t="inlineStr">
        <is>
          <t>cont to above TC
- Complete the assessment and verify the badge icon on the Opp card</t>
        </is>
      </c>
      <c r="D21" s="74" t="inlineStr">
        <is>
          <t xml:space="preserve">
- Learn progress badge should get updated to Assessment completed badge</t>
        </is>
      </c>
      <c r="E21" s="96" t="n"/>
      <c r="F21" s="96" t="n"/>
      <c r="G21" s="96" t="n"/>
      <c r="H21" s="87" t="n"/>
    </row>
    <row r="22">
      <c r="A22" s="96" t="inlineStr">
        <is>
          <t>OLP_21</t>
        </is>
      </c>
      <c r="B22" s="74" t="inlineStr">
        <is>
          <t>Verify user is able to see the delivery progress badge along with percentage</t>
        </is>
      </c>
      <c r="C22" s="74" t="inlineStr">
        <is>
          <t xml:space="preserve">1. Sign up for PID
2. Invite an Opp and complete learn app
3. Start delivery progress
3. On Opp list page, verify Delivery progress badge is visbile for an Opp </t>
        </is>
      </c>
      <c r="D22" s="74" t="inlineStr">
        <is>
          <t>- Delivery progress badge is displayed once delivery begins.
- Correct percentage is shown.
- Badge updates as delivery milestones are completed.</t>
        </is>
      </c>
      <c r="E22" s="96" t="n"/>
      <c r="F22" s="96" t="n"/>
      <c r="G22" s="96" t="n"/>
      <c r="H22" s="87" t="n"/>
    </row>
    <row r="23">
      <c r="A23" s="96" t="inlineStr">
        <is>
          <t>OLP_22</t>
        </is>
      </c>
      <c r="B23" s="74" t="inlineStr">
        <is>
          <t>Verify user is able to see the learn progress badge with 0% when learn app is not started</t>
        </is>
      </c>
      <c r="C23" s="74" t="inlineStr">
        <is>
          <t>1. Sign up for PID
2. Invite for an Opp
3. Install learn app and don't start any progress</t>
        </is>
      </c>
      <c r="D23" s="77" t="inlineStr">
        <is>
          <t>- User should see the progress as 0% along with learn progress badge</t>
        </is>
      </c>
      <c r="E23" s="96" t="n"/>
      <c r="F23" s="96" t="n"/>
      <c r="G23" s="96" t="n"/>
      <c r="H23" s="87" t="n"/>
    </row>
    <row r="24">
      <c r="A24" s="96" t="inlineStr">
        <is>
          <t>OLP_23</t>
        </is>
      </c>
      <c r="B24" s="74" t="inlineStr">
        <is>
          <t>Verify user is able to see the delivery progress badge with 0% when delivery app is not started</t>
        </is>
      </c>
      <c r="C24" s="74" t="inlineStr">
        <is>
          <t>1. Sign up for PID
2. Invite for an Opp
3. Complete learn apps and download the delivery app (don't start any progress)</t>
        </is>
      </c>
      <c r="D24" s="77" t="inlineStr">
        <is>
          <t>- User should see the progress as 0% along with delivery progress badge</t>
        </is>
      </c>
      <c r="E24" s="96" t="n"/>
      <c r="F24" s="96" t="n"/>
      <c r="G24" s="96" t="n"/>
      <c r="H24" s="87" t="n"/>
    </row>
    <row r="25">
      <c r="A25" s="96" t="inlineStr">
        <is>
          <t>OLP_24</t>
        </is>
      </c>
      <c r="B25" s="74" t="inlineStr">
        <is>
          <t>Verify completion date is shown in red colour if user have not completed the opportunity before 5 days of expire</t>
        </is>
      </c>
      <c r="C25" s="77" t="n"/>
      <c r="D25" s="74" t="inlineStr">
        <is>
          <t>Completion date appears in red color with info icon when opportunity is within 5 days of expiry and incomplete</t>
        </is>
      </c>
      <c r="E25" s="96" t="n"/>
      <c r="F25" s="96" t="n"/>
      <c r="G25" s="96" t="n"/>
      <c r="H25" s="87" t="n"/>
    </row>
    <row r="26">
      <c r="A26" s="96" t="inlineStr">
        <is>
          <t>OLP_25</t>
        </is>
      </c>
      <c r="B26" s="74" t="inlineStr">
        <is>
          <t>Verify user shouldn't see any date or red color date text for completed opportunities</t>
        </is>
      </c>
      <c r="C26" s="77" t="n"/>
      <c r="D26" s="74" t="inlineStr">
        <is>
          <t>No red color date should be displayed for opps under completed section</t>
        </is>
      </c>
      <c r="E26" s="96" t="n"/>
      <c r="F26" s="96" t="n"/>
      <c r="G26" s="96" t="n"/>
      <c r="H26" s="87" t="n"/>
    </row>
    <row r="27">
      <c r="A27" s="96" t="inlineStr">
        <is>
          <t>OLP_26</t>
        </is>
      </c>
      <c r="B27" s="74" t="inlineStr">
        <is>
          <t>Verify no progress badge is displayed for opps under completed section</t>
        </is>
      </c>
      <c r="C27" s="77" t="n"/>
      <c r="D27" s="74" t="inlineStr">
        <is>
          <t>No Progress icon should be there for opps under completed section</t>
        </is>
      </c>
      <c r="E27" s="96" t="n"/>
      <c r="F27" s="96" t="n"/>
      <c r="G27" s="96" t="n"/>
      <c r="H27" s="87" t="n"/>
    </row>
    <row r="28">
      <c r="A28" s="96" t="inlineStr">
        <is>
          <t>OLP_27</t>
        </is>
      </c>
      <c r="B28" s="74" t="inlineStr">
        <is>
          <t xml:space="preserve">Verfiy green check mark is displayed for opps which completed all visits </t>
        </is>
      </c>
      <c r="C28" s="77" t="inlineStr">
        <is>
          <t>1. Install latest test apk
2. Sign up for personal ID
3. Go to connect menu 
4. Complete all the visits for an Opp</t>
        </is>
      </c>
      <c r="D28" s="74" t="inlineStr">
        <is>
          <t>Green check mark should get updated upon completing all visits</t>
        </is>
      </c>
      <c r="E28" s="96" t="n"/>
      <c r="F28" s="96" t="n"/>
      <c r="G28" s="96" t="n"/>
      <c r="H28" s="87" t="n"/>
    </row>
    <row r="29">
      <c r="A29" s="96" t="inlineStr">
        <is>
          <t>OLP_28</t>
        </is>
      </c>
      <c r="B29" s="74" t="inlineStr">
        <is>
          <t>Verify user is able to download learn/delivery app using review option [completed opp]</t>
        </is>
      </c>
      <c r="C29" s="74" t="inlineStr">
        <is>
          <t>1. Install latest test apk
2. Sign up for personal ID
3. Go to connect menu 
4. Click on the review button</t>
        </is>
      </c>
      <c r="D29" s="74" t="inlineStr">
        <is>
          <t>- Clicking Review redirects user to Learn/Delivery progress page of app if installed.
- If not installed, user is redirected to the download page.</t>
        </is>
      </c>
      <c r="E29" s="96" t="n"/>
      <c r="F29" s="96" t="n"/>
      <c r="G29" s="96" t="n"/>
      <c r="H29" s="87" t="n"/>
    </row>
  </sheetData>
  <dataValidations count="1">
    <dataValidation sqref="E2:E29" showDropDown="0" showInputMessage="0" showErrorMessage="1" allowBlank="1" type="list">
      <formula1>"Pass,Fail,N/A,Blocking"</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H14"/>
  <sheetViews>
    <sheetView workbookViewId="0">
      <selection activeCell="A1" sqref="A1"/>
    </sheetView>
  </sheetViews>
  <sheetFormatPr baseColWidth="8" defaultColWidth="12.63" defaultRowHeight="15.75" customHeight="1"/>
  <cols>
    <col width="19.38" customWidth="1" style="145" min="1" max="1"/>
    <col width="47.88" customWidth="1" style="145" min="2" max="2"/>
    <col width="47.5" customWidth="1" style="145" min="3" max="3"/>
    <col width="37.75" customWidth="1" style="145" min="4" max="4"/>
  </cols>
  <sheetData>
    <row r="1">
      <c r="A1" s="161" t="inlineStr">
        <is>
          <t>Prerequsite: A PID user should get created and login to the learn app, submit few forms.</t>
        </is>
      </c>
      <c r="B1" s="150" t="n"/>
      <c r="C1" s="150" t="n"/>
      <c r="D1" s="150" t="n"/>
      <c r="E1" s="150" t="n"/>
      <c r="F1" s="150" t="n"/>
      <c r="G1" s="151" t="n"/>
      <c r="H1" s="101" t="n"/>
    </row>
    <row r="2">
      <c r="A2" s="80" t="inlineStr">
        <is>
          <t>Test Case ID</t>
        </is>
      </c>
      <c r="B2" s="80" t="inlineStr">
        <is>
          <t>Description</t>
        </is>
      </c>
      <c r="C2" s="80" t="inlineStr">
        <is>
          <t>Steps</t>
        </is>
      </c>
      <c r="D2" s="80" t="inlineStr">
        <is>
          <t>Outcome</t>
        </is>
      </c>
      <c r="E2" s="80" t="inlineStr">
        <is>
          <t>Status (Pass/Fail)</t>
        </is>
      </c>
      <c r="F2" s="80" t="inlineStr">
        <is>
          <t xml:space="preserve">QA Ticket </t>
        </is>
      </c>
      <c r="G2" s="80" t="inlineStr">
        <is>
          <t xml:space="preserve">Comments </t>
        </is>
      </c>
      <c r="H2" s="72" t="n"/>
    </row>
    <row r="3">
      <c r="A3" s="81" t="inlineStr">
        <is>
          <t>Connect channel 1</t>
        </is>
      </c>
      <c r="B3" s="114" t="inlineStr">
        <is>
          <t xml:space="preserve">Verify user is able to create connect channel </t>
        </is>
      </c>
      <c r="C3" s="114" t="inlineStr">
        <is>
          <t xml:space="preserve">1. Login to CC hq
2. Navigate to messaging &gt;&gt; view all
3. Under connect messaging section, Select user conset
4. Click Request messaging consent button
</t>
        </is>
      </c>
      <c r="D3" s="88" t="inlineStr">
        <is>
          <t>- Channel created for a personal ID message is displayed on hq web
- Channel should get created and displayed in the connect mobile</t>
        </is>
      </c>
      <c r="E3" s="99" t="n"/>
      <c r="F3" s="86" t="n"/>
      <c r="G3" s="86" t="n"/>
      <c r="H3" s="66" t="n"/>
    </row>
    <row r="4">
      <c r="A4" s="81" t="inlineStr">
        <is>
          <t>Connect message1</t>
        </is>
      </c>
      <c r="B4" s="114" t="inlineStr">
        <is>
          <t>Verify user is able to create a broadcast with connect message option</t>
        </is>
      </c>
      <c r="C4" s="114" t="inlineStr">
        <is>
          <t>1. Login to CC hq 
2. Navigate to Messaging &gt;&gt; Broadcasts
3. Click on "+ Add broadcast" 
4. Select the content type  as 'connect message' 
5. Create a broadcast
6. Verify PID user recive a message on the channel</t>
        </is>
      </c>
      <c r="D4" s="88" t="inlineStr">
        <is>
          <t>- User should be able to receive the broadcast message in the connect channel</t>
        </is>
      </c>
      <c r="E4" s="99" t="n"/>
      <c r="F4" s="86" t="n"/>
      <c r="G4" s="86" t="n"/>
      <c r="H4" s="66" t="n"/>
    </row>
    <row r="5">
      <c r="A5" s="81" t="inlineStr">
        <is>
          <t>Connect message2</t>
        </is>
      </c>
      <c r="B5" s="114" t="inlineStr">
        <is>
          <t>Verify user is able to create a broadcast with connect survey option</t>
        </is>
      </c>
      <c r="C5" s="114" t="inlineStr">
        <is>
          <t>1. Login to CC hq 
2. Navigate to Messaging &gt;&gt; Broadcasts
3. Click on "+ Add broadcast" 
4. Select the content type  as 'connect Survey' 
5. Create a broadcast
6 Verify PID user recive a message on the channel</t>
        </is>
      </c>
      <c r="D5" s="88" t="inlineStr">
        <is>
          <t>- User should be able to receive the broadcast survey in the connect channel
- User should be able to answer the question and get next question in the form
- Form should get submit and able to verify it on the submit histstory</t>
        </is>
      </c>
      <c r="E5" s="99" t="n"/>
      <c r="F5" s="86" t="n"/>
      <c r="G5" s="86" t="n"/>
      <c r="H5" s="66" t="n"/>
    </row>
    <row r="6">
      <c r="A6" s="81" t="inlineStr">
        <is>
          <t>Connect message3</t>
        </is>
      </c>
      <c r="B6" s="114" t="inlineStr">
        <is>
          <t>Verify user is able to create a Conditional alerts with connect message option</t>
        </is>
      </c>
      <c r="C6" s="114" t="inlineStr">
        <is>
          <t>1. Login to CC hq 
2. Navigate to Messaging &gt;&gt; Conditional alert
3. Click on "+ Conditional alert" 
4. Select the content type  as 'connect message' 
5. Create a Conditional alert
6. Submit a form with PID user used to create CA by satisfying the alert condition
7 Verify PID user recive a message on the channel</t>
        </is>
      </c>
      <c r="D6" s="88" t="inlineStr">
        <is>
          <t>- User should be able to get a alert message in the connect channel upon submitting the form satisfying the alert condition</t>
        </is>
      </c>
      <c r="E6" s="99" t="n"/>
      <c r="F6" s="86" t="n"/>
      <c r="G6" s="86" t="n"/>
      <c r="H6" s="66" t="n"/>
    </row>
    <row r="7">
      <c r="A7" s="81" t="inlineStr">
        <is>
          <t>Connect message4</t>
        </is>
      </c>
      <c r="B7" s="114" t="inlineStr">
        <is>
          <t>Verify user is able to create a conditional alerts with connect survey option</t>
        </is>
      </c>
      <c r="C7" s="114" t="inlineStr">
        <is>
          <t>1. Login to CC hq 
2. Navigate to Messaging &gt;&gt; Conditional alert
3. Click on "+ Conditional alert" 
4. Select the content type  as 'connect survey' 
5. Create a Conditional alert
6. Submit a form with PID user used to create CA by satisfying the alert condition
7 Verify PID user recive a message on the channel</t>
        </is>
      </c>
      <c r="D7" s="88" t="inlineStr">
        <is>
          <t>- User should be able to get a alert survey message in the connect channel upon submitting the form satisfying the alert condition
- User should be able to answer the question and get next question in the form
- Form should get submit and able to verify it on the submit histstory</t>
        </is>
      </c>
      <c r="E7" s="99" t="n"/>
      <c r="F7" s="86" t="n"/>
      <c r="G7" s="86" t="n"/>
      <c r="H7" s="66" t="n"/>
    </row>
    <row r="8">
      <c r="A8" s="81" t="inlineStr">
        <is>
          <t>Connect message5</t>
        </is>
      </c>
      <c r="B8" s="114" t="inlineStr">
        <is>
          <t>Verify user is able to create keyword for connect message</t>
        </is>
      </c>
      <c r="C8" s="114" t="inlineStr">
        <is>
          <t>1. Login to CC hq web UI
2. Navigate to Messaging &gt;&gt; keyword 
3. Select 'connect message' as content type
4. Create a keyword
5. Login with personal ID [CCC mobile]
5. Trigger keyword from channel 
6. verify user receive a connect message in the channel to the personal ID user</t>
        </is>
      </c>
      <c r="D8" s="88" t="inlineStr">
        <is>
          <t>- User should get a connect message in the channel upon triggering the keyword</t>
        </is>
      </c>
      <c r="E8" s="99" t="n"/>
      <c r="F8" s="86" t="n"/>
      <c r="G8" s="86" t="n"/>
      <c r="H8" s="87" t="n"/>
    </row>
    <row r="9">
      <c r="A9" s="81" t="inlineStr">
        <is>
          <t>Connect message6</t>
        </is>
      </c>
      <c r="B9" s="114" t="inlineStr">
        <is>
          <t>Verify user is able to create keyword for connect survey</t>
        </is>
      </c>
      <c r="C9" s="114" t="inlineStr">
        <is>
          <t>1. Login to CC hq web UI
2. Navigate to Messaging &gt;&gt; keyword 
3. Select 'connect survey' as content type
4. Create a keyword
5. Login with personal ID [CCC mobile]
5. Trigger keyword from channel 
6. verify user receive a first question from the form in the channel to the personal ID user
7. Answer all the questions for the form
8. Verify that submitted form is present on hq</t>
        </is>
      </c>
      <c r="D9" s="88" t="inlineStr">
        <is>
          <t>- User should be able to get a connect survey from in the connect channel upon triggering the keyword in the channel
- User should be able to answer the question and get next question in the form
- Form should get submit and able to verify it on the submit histstory</t>
        </is>
      </c>
      <c r="E9" s="99" t="n"/>
      <c r="F9" s="86" t="n"/>
      <c r="G9" s="86" t="n"/>
      <c r="H9" s="87" t="n"/>
    </row>
    <row r="10">
      <c r="A10" s="81" t="inlineStr">
        <is>
          <t>Connect message7</t>
        </is>
      </c>
      <c r="B10" s="114" t="inlineStr">
        <is>
          <t>Verify user is able to unsubscribe the channel</t>
        </is>
      </c>
      <c r="C10" s="114" t="inlineStr">
        <is>
          <t>1. Install CCC app
2. Login with PID 
3. On left hand menu, click on messaging option
4. Open the channel &gt;&gt; click on three dots menu
5. Click on Unsubscribe option
6.On the pop up, select unsubscribe button</t>
        </is>
      </c>
      <c r="D10" s="88" t="inlineStr">
        <is>
          <t xml:space="preserve">- Channel gets unsubscribed and no messages should be received for the unsubscribed channel
- User should see "You are not subscribed to this messaging channel" </t>
        </is>
      </c>
      <c r="E10" s="99" t="n"/>
      <c r="F10" s="86" t="n"/>
      <c r="G10" s="86" t="n"/>
      <c r="H10" s="87" t="n"/>
    </row>
    <row r="11">
      <c r="A11" s="81" t="inlineStr">
        <is>
          <t>Connect message8</t>
        </is>
      </c>
      <c r="B11" s="114" t="inlineStr">
        <is>
          <t xml:space="preserve">Verify user is able to resubscribe to the channel </t>
        </is>
      </c>
      <c r="C11" s="114" t="inlineStr">
        <is>
          <t>1. Install CCC app
2. Login with PID 
3. On left hand menu, click on messaging option
4. Open the channel &gt;&gt; click on three dots menu
5. Click on Resubscribe option
6.On the pop up, select resubscribe button</t>
        </is>
      </c>
      <c r="D11" s="88" t="inlineStr">
        <is>
          <t>- Channel gets resubscribed and messages receiving to the channel should get resumed</t>
        </is>
      </c>
      <c r="E11" s="99" t="n"/>
      <c r="F11" s="86" t="n"/>
      <c r="G11" s="86" t="n"/>
      <c r="H11" s="87" t="n"/>
    </row>
    <row r="12">
      <c r="A12" s="89" t="n"/>
      <c r="B12" s="90" t="n"/>
      <c r="C12" s="90" t="n"/>
      <c r="D12" s="91" t="n"/>
      <c r="E12" s="92" t="n"/>
      <c r="F12" s="94" t="n"/>
      <c r="G12" s="94" t="n"/>
      <c r="H12" s="87" t="n"/>
    </row>
    <row r="13">
      <c r="A13" s="89" t="n"/>
      <c r="B13" s="90" t="n"/>
      <c r="C13" s="90" t="n"/>
      <c r="D13" s="91" t="n"/>
      <c r="E13" s="92" t="n"/>
      <c r="F13" s="94" t="n"/>
      <c r="G13" s="94" t="n"/>
      <c r="H13" s="87" t="n"/>
    </row>
    <row r="14">
      <c r="A14" s="89" t="n"/>
      <c r="B14" s="90" t="n"/>
      <c r="C14" s="90" t="n"/>
      <c r="D14" s="91" t="n"/>
      <c r="E14" s="92" t="n"/>
      <c r="F14" s="94" t="n"/>
      <c r="G14" s="94" t="n"/>
      <c r="H14" s="87" t="n"/>
    </row>
  </sheetData>
  <mergeCells count="1">
    <mergeCell ref="A1:G1"/>
  </mergeCells>
  <dataValidations count="1">
    <dataValidation sqref="E3:E14" showDropDown="0" showInputMessage="0" showErrorMessage="1" allowBlank="1" type="list">
      <formula1>"Pass,Fail,N/A,Blocking"</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H20"/>
  <sheetViews>
    <sheetView workbookViewId="0">
      <selection activeCell="A1" sqref="A1"/>
    </sheetView>
  </sheetViews>
  <sheetFormatPr baseColWidth="8" defaultColWidth="12.63" defaultRowHeight="15.75" customHeight="1"/>
  <cols>
    <col width="18.63" customWidth="1" style="145" min="1" max="1"/>
    <col width="42.75" customWidth="1" style="145" min="2" max="2"/>
    <col width="46.13" customWidth="1" style="145" min="3" max="3"/>
    <col width="47.38" customWidth="1" style="145" min="4" max="4"/>
  </cols>
  <sheetData>
    <row r="1">
      <c r="A1" s="72" t="inlineStr">
        <is>
          <t>Test Case ID</t>
        </is>
      </c>
      <c r="B1" s="72" t="inlineStr">
        <is>
          <t>Description</t>
        </is>
      </c>
      <c r="C1" s="72" t="inlineStr">
        <is>
          <t xml:space="preserve">Steps </t>
        </is>
      </c>
      <c r="D1" s="72" t="inlineStr">
        <is>
          <t>Expected Outcome</t>
        </is>
      </c>
      <c r="E1" s="72" t="inlineStr">
        <is>
          <t>Status (Pass/Fail)</t>
        </is>
      </c>
      <c r="F1" s="72" t="inlineStr">
        <is>
          <t>Ticket/ Bug ID</t>
        </is>
      </c>
      <c r="G1" s="72" t="inlineStr">
        <is>
          <t>Comments</t>
        </is>
      </c>
      <c r="H1" s="72" t="n"/>
    </row>
    <row r="2">
      <c r="A2" s="162" t="inlineStr">
        <is>
          <t>Connect Notifications</t>
        </is>
      </c>
      <c r="B2" s="150" t="n"/>
      <c r="C2" s="150" t="n"/>
      <c r="D2" s="150" t="n"/>
      <c r="E2" s="150" t="n"/>
      <c r="F2" s="150" t="n"/>
      <c r="G2" s="151" t="n"/>
      <c r="H2" s="66" t="n"/>
    </row>
    <row r="3">
      <c r="A3" s="96" t="inlineStr">
        <is>
          <t>Notifications_01</t>
        </is>
      </c>
      <c r="B3" s="97" t="inlineStr">
        <is>
          <t>Verify Notifications option is visible on left hand menu</t>
        </is>
      </c>
      <c r="C3" s="97" t="inlineStr">
        <is>
          <t>1. Install latest CCC apk
2. Expand left hand menu
3. Sign up/register with personal ID
4. Expand left hand menu</t>
        </is>
      </c>
      <c r="D3" s="97" t="inlineStr">
        <is>
          <t xml:space="preserve">
- User should be able to see the notifications option on the left hand menu
- User should land on the notifications history page upon clicking on the notiifcation option</t>
        </is>
      </c>
      <c r="E3" s="66" t="n"/>
      <c r="F3" s="66" t="n"/>
      <c r="G3" s="66" t="n"/>
      <c r="H3" s="66" t="n"/>
    </row>
    <row r="4">
      <c r="A4" s="96" t="inlineStr">
        <is>
          <t>Notifications_02</t>
        </is>
      </c>
      <c r="B4" s="97" t="inlineStr">
        <is>
          <t>Verify notiifcations icon is present on the opportunities list page</t>
        </is>
      </c>
      <c r="C4" s="97" t="inlineStr">
        <is>
          <t>1. Install latest CCC apk
2. Expand left hand menu
3. Sign up/register with personal ID
4. Click on the go to connect option</t>
        </is>
      </c>
      <c r="D4" s="97" t="inlineStr">
        <is>
          <t>- User should be able to see the notifications icon on the opportunities page
- User should land on the notifications history page upon clicking on the notiifcation option</t>
        </is>
      </c>
      <c r="E4" s="66" t="n"/>
      <c r="F4" s="66" t="n"/>
      <c r="G4" s="66" t="n"/>
      <c r="H4" s="66" t="n"/>
    </row>
    <row r="5">
      <c r="A5" s="96" t="inlineStr">
        <is>
          <t>Notifications_03</t>
        </is>
      </c>
      <c r="B5" s="97" t="inlineStr">
        <is>
          <t>Verify user is able to see all the notifications history in the notifications page</t>
        </is>
      </c>
      <c r="C5" s="97" t="inlineStr">
        <is>
          <t xml:space="preserve">1. Install latest CCC apk
2. Expand left hand menu
3. Sign up/register with personal ID
4. Click on the notifications button </t>
        </is>
      </c>
      <c r="D5" s="97" t="inlineStr">
        <is>
          <t>- User should be able to see all the history of notifications[including payment, opportunity invite, resume prompts]</t>
        </is>
      </c>
      <c r="E5" s="66" t="n"/>
      <c r="F5" s="66" t="n"/>
      <c r="G5" s="66" t="n"/>
      <c r="H5" s="66" t="n"/>
    </row>
    <row r="6">
      <c r="A6" s="96" t="inlineStr">
        <is>
          <t>Notifications_04</t>
        </is>
      </c>
      <c r="B6" s="97" t="inlineStr">
        <is>
          <t>Verify opportunity invite notification is shown on notifications history page</t>
        </is>
      </c>
      <c r="C6" s="97" t="inlineStr">
        <is>
          <t>1. Install latest test apk
2. Sign up for personal ID
3. Invite an opportunity from web
4. Navigate to notification history page</t>
        </is>
      </c>
      <c r="D6" s="97" t="inlineStr">
        <is>
          <t>- User should be able to see the opportunity invite in the notification history page
- User should be able to receive push notifcation</t>
        </is>
      </c>
      <c r="E6" s="66" t="n"/>
      <c r="F6" s="66" t="n"/>
      <c r="G6" s="66" t="n"/>
      <c r="H6" s="66" t="n"/>
    </row>
    <row r="7">
      <c r="A7" s="96" t="inlineStr">
        <is>
          <t>Notifications_05</t>
        </is>
      </c>
      <c r="B7" s="97" t="inlineStr">
        <is>
          <t>Verify we are able to land on opportunity's learn app upon clicking on the opportunity invite notification</t>
        </is>
      </c>
      <c r="C7" s="97" t="inlineStr">
        <is>
          <t>Continue to above TC
- Click on the opportunity invite notification</t>
        </is>
      </c>
      <c r="D7" s="97" t="inlineStr">
        <is>
          <t>- User should be able to land on the opportunity's learn app</t>
        </is>
      </c>
      <c r="E7" s="66" t="n"/>
      <c r="F7" s="66" t="n"/>
      <c r="G7" s="66" t="n"/>
      <c r="H7" s="66" t="n"/>
    </row>
    <row r="8">
      <c r="A8" s="96" t="inlineStr">
        <is>
          <t>Notifications_06</t>
        </is>
      </c>
      <c r="B8" s="97" t="inlineStr">
        <is>
          <t>Verify prompts to resume work are shown in notifications history page</t>
        </is>
      </c>
      <c r="C8" s="97" t="inlineStr">
        <is>
          <t>1. Install latest test apk
2. Sign up for personal ID
3. Invite an opportunity, submit learn and delivery apps
4. Don't submit delivery visits for one day
5. User should get delivery resume prompt</t>
        </is>
      </c>
      <c r="D8" s="97" t="inlineStr">
        <is>
          <t xml:space="preserve">
- User should be able to see the resume prompt notification in the notification history page
- User should be able to receive push notifcation</t>
        </is>
      </c>
      <c r="E8" s="66" t="n"/>
      <c r="F8" s="66" t="n"/>
      <c r="G8" s="66" t="n"/>
      <c r="H8" s="66" t="n"/>
    </row>
    <row r="9">
      <c r="A9" s="96" t="inlineStr">
        <is>
          <t>Notifications_07</t>
        </is>
      </c>
      <c r="B9" s="97" t="inlineStr">
        <is>
          <t>Verify user is able to land on deliver progress screen upon clicking on the resume prompt notification</t>
        </is>
      </c>
      <c r="C9" s="97" t="inlineStr">
        <is>
          <t>Continue to above TC
- Click on the opportunity resume prompt notification</t>
        </is>
      </c>
      <c r="D9" s="97" t="inlineStr">
        <is>
          <t xml:space="preserve">- User should be able to land on the delivery progress screen </t>
        </is>
      </c>
      <c r="E9" s="66" t="n"/>
      <c r="F9" s="66" t="n"/>
      <c r="G9" s="66" t="n"/>
      <c r="H9" s="66" t="n"/>
    </row>
    <row r="10">
      <c r="A10" s="96" t="inlineStr">
        <is>
          <t>Notifications_08</t>
        </is>
      </c>
      <c r="B10" s="97" t="inlineStr">
        <is>
          <t>Verify Payment notifications are shown in notifications history page</t>
        </is>
      </c>
      <c r="C10" s="97" t="inlineStr">
        <is>
          <t xml:space="preserve">1. Install latest test apk
2. Sign up for personal ID
3. Invite an opportunity, submit learn and delivery apps
4. Make a payment from web for earned amount
</t>
        </is>
      </c>
      <c r="D10" s="97" t="inlineStr">
        <is>
          <t xml:space="preserve">
- User should be able to see the payment transaction notification in the notification histroy page
- User should be able to receive push notifcation</t>
        </is>
      </c>
      <c r="E10" s="66" t="n"/>
      <c r="F10" s="66" t="n"/>
      <c r="G10" s="66" t="n"/>
      <c r="H10" s="66" t="n"/>
    </row>
    <row r="11">
      <c r="A11" s="96" t="inlineStr">
        <is>
          <t>Notifications_09</t>
        </is>
      </c>
      <c r="B11" s="97" t="inlineStr">
        <is>
          <t>Verify user is able to land on the payment screen upon clicking on the payment notification</t>
        </is>
      </c>
      <c r="C11" s="97" t="inlineStr">
        <is>
          <t>Continue to above TC
- Click on the payment notification</t>
        </is>
      </c>
      <c r="D11" s="97" t="inlineStr">
        <is>
          <t>- User should be able to land on the payment screen</t>
        </is>
      </c>
      <c r="E11" s="66" t="n"/>
      <c r="F11" s="66" t="n"/>
      <c r="G11" s="66" t="n"/>
      <c r="H11" s="66" t="n"/>
    </row>
    <row r="12">
      <c r="A12" s="96" t="inlineStr">
        <is>
          <t>Notifications_10</t>
        </is>
      </c>
      <c r="B12" s="97" t="inlineStr">
        <is>
          <t>Verify Send message notifications are shown in the notification history page</t>
        </is>
      </c>
      <c r="C12" s="97" t="inlineStr">
        <is>
          <t>1. Login to CCC web Ui
2. Go to opp dahsboard
3.Click on hamburger option &gt;&gt; send message
4. Select the users you want to send message
5. Enter the message &gt;&gt; Click confirm
6. Verify user recieved notfication in the notifications history page</t>
        </is>
      </c>
      <c r="D12" s="97" t="inlineStr">
        <is>
          <t>- User should be abe to receive push notification of a message sent
- User should be able to see the message sent in the notification history page</t>
        </is>
      </c>
      <c r="E12" s="66" t="n"/>
      <c r="F12" s="66" t="n"/>
      <c r="G12" s="66" t="n"/>
      <c r="H12" s="66" t="n"/>
    </row>
    <row r="13">
      <c r="A13" s="96" t="inlineStr">
        <is>
          <t>Notifications_11</t>
        </is>
      </c>
      <c r="B13" s="97" t="inlineStr">
        <is>
          <t>Verify red dot is displayed when notification received</t>
        </is>
      </c>
      <c r="C13" s="97" t="n"/>
      <c r="D13" s="97" t="inlineStr">
        <is>
          <t>- Red dot should be visible on the notification icon when we receive new notification</t>
        </is>
      </c>
      <c r="E13" s="66" t="n"/>
      <c r="F13" s="66" t="n"/>
      <c r="G13" s="66" t="n"/>
      <c r="H13" s="66" t="n"/>
    </row>
    <row r="14">
      <c r="A14" s="96" t="inlineStr">
        <is>
          <t>Notifications_12</t>
        </is>
      </c>
      <c r="B14" s="97" t="inlineStr">
        <is>
          <t>Verfiy user recieved notification for payment rollback</t>
        </is>
      </c>
      <c r="C14" s="97" t="inlineStr">
        <is>
          <t>1. Login to CCC web UI
2. Go to opp dahsboard &gt;&gt; view invoices
3. On invoice page, roll back the payment</t>
        </is>
      </c>
      <c r="D14" s="97" t="inlineStr">
        <is>
          <t>- User should be able to recive the push notification when payment rollback is done
- Notification says "Payment updated"</t>
        </is>
      </c>
      <c r="E14" s="66" t="n"/>
      <c r="F14" s="66" t="n"/>
      <c r="G14" s="66" t="n"/>
      <c r="H14" s="66" t="n"/>
    </row>
    <row r="15">
      <c r="A15" s="96" t="inlineStr">
        <is>
          <t>Notifications_13</t>
        </is>
      </c>
      <c r="B15" s="97" t="inlineStr">
        <is>
          <t>Verfiy user recieved notification for Assessment score</t>
        </is>
      </c>
      <c r="C15" s="97" t="inlineStr">
        <is>
          <t>1. Install CCC app
2. Login with PID
3. Invite user for an Opp &gt;&gt; submit learn app forms
4. Submit assessment score</t>
        </is>
      </c>
      <c r="D15" s="97" t="inlineStr">
        <is>
          <t>- User should be able to recive the push notification when assessment score is submitted
- Notification says "Update on your assessment score"
- Notification is shown on the notification history page
- Upon clicking on the notification user should land on the learn progress screen</t>
        </is>
      </c>
      <c r="E15" s="66" t="n"/>
      <c r="F15" s="66" t="n"/>
      <c r="G15" s="66" t="n"/>
      <c r="H15" s="66" t="n"/>
    </row>
    <row r="16">
      <c r="A16" s="96" t="inlineStr">
        <is>
          <t>Notifications_14</t>
        </is>
      </c>
      <c r="B16" s="97" t="inlineStr">
        <is>
          <t>Verify user is able to receive relearn task assigned notification</t>
        </is>
      </c>
      <c r="C16" s="97" t="inlineStr">
        <is>
          <t xml:space="preserve">1. Install CCC app
2. Login with PID
3. Assign relearn task for user in web
</t>
        </is>
      </c>
      <c r="D16" s="97" t="inlineStr">
        <is>
          <t>- User should receive a push notification for relearn task
- USer should land on the delivery app upon clicking on the notification
- Notification is shown on notification history page
- User lands on the connect app home page if app is not installed
- User should see the below message when relarn task is assigned
"Complete assigned tasks to continue delivering services"</t>
        </is>
      </c>
      <c r="E16" s="66" t="n"/>
      <c r="F16" s="66" t="n"/>
      <c r="G16" s="66" t="n"/>
      <c r="H16" s="66" t="n"/>
    </row>
    <row r="17">
      <c r="A17" s="96" t="inlineStr">
        <is>
          <t>Notifications_15</t>
        </is>
      </c>
      <c r="B17" s="97" t="inlineStr">
        <is>
          <t>Verify re assigning for same task will receive the notification</t>
        </is>
      </c>
      <c r="C17" s="97" t="inlineStr">
        <is>
          <t>cont to above TC
- Assign relarn task again</t>
        </is>
      </c>
      <c r="D17" s="97" t="inlineStr">
        <is>
          <t>- User should receive push notification when same task is assigned again</t>
        </is>
      </c>
      <c r="E17" s="98" t="n"/>
      <c r="F17" s="99" t="n"/>
      <c r="G17" s="99" t="n"/>
      <c r="H17" s="66" t="n"/>
    </row>
    <row r="18">
      <c r="A18" s="96" t="inlineStr">
        <is>
          <t>Notifications_16</t>
        </is>
      </c>
      <c r="B18" s="97" t="inlineStr">
        <is>
          <t>Verify user is able to receive work area assigned notification</t>
        </is>
      </c>
      <c r="C18" s="97" t="inlineStr">
        <is>
          <t xml:space="preserve">1. Install CCC app
2. Login with PID
3. Assign work area for user in web
</t>
        </is>
      </c>
      <c r="D18" s="97" t="inlineStr">
        <is>
          <t xml:space="preserve">- User should receive a push notification for new work area assignment
- USer should land on the delivery app upon clicking on the notification
- Notification is shown on notification history page
- User lands on the connect app home page if app is not installed
</t>
        </is>
      </c>
      <c r="E18" s="66" t="n"/>
      <c r="F18" s="66" t="n"/>
      <c r="G18" s="66" t="n"/>
      <c r="H18" s="66" t="n"/>
    </row>
    <row r="19">
      <c r="A19" s="96" t="inlineStr">
        <is>
          <t>Notifications_17</t>
        </is>
      </c>
      <c r="B19" s="97" t="inlineStr">
        <is>
          <t xml:space="preserve">Verify user is able to receive single notifications for assiging multiple work areas </t>
        </is>
      </c>
      <c r="C19" s="97" t="inlineStr">
        <is>
          <t xml:space="preserve">1. Install CCC app
2. Login with PID
3. Assign multiple work areas for user in single action
</t>
        </is>
      </c>
      <c r="D19" s="97" t="inlineStr">
        <is>
          <t>- Single notification is received for assigning multiple work areas</t>
        </is>
      </c>
      <c r="E19" s="66" t="n"/>
      <c r="F19" s="66" t="n"/>
      <c r="G19" s="66" t="n"/>
      <c r="H19" s="66" t="n"/>
    </row>
    <row r="20">
      <c r="A20" s="96" t="inlineStr">
        <is>
          <t>Notifications_18</t>
        </is>
      </c>
      <c r="B20" s="66" t="inlineStr">
        <is>
          <t>Verify when user clicks on the push notification in the middle of form submission  exit form dialogue box appears</t>
        </is>
      </c>
      <c r="C20" s="66" t="inlineStr">
        <is>
          <t>1. Install CCC app
2. Login with PID 
3. Install delivery app &gt;&gt; enter the form details
4. In the middle of form submission, Click on the notification</t>
        </is>
      </c>
      <c r="D20" s="66" t="inlineStr">
        <is>
          <t>- Exit dialogue box appears with following options:
Stay in form
Exit without saving
Save incomplete</t>
        </is>
      </c>
      <c r="E20" s="96" t="n"/>
      <c r="F20" s="66" t="n"/>
      <c r="G20" s="66" t="n"/>
      <c r="H20" s="66" t="n"/>
    </row>
  </sheetData>
  <mergeCells count="1">
    <mergeCell ref="A2:G2"/>
  </mergeCells>
  <dataValidations count="2">
    <dataValidation sqref="E3:E16 E18:E20" showDropDown="0" showInputMessage="0" showErrorMessage="1" allowBlank="1" type="list">
      <formula1>"Pass,Fail,N/A,Blocking"</formula1>
    </dataValidation>
    <dataValidation sqref="E17" showDropDown="0" showInputMessage="0" showErrorMessage="1" allowBlank="1" type="list">
      <formula1>"Pass,Fail,N/A,Blocking"</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H4"/>
  <sheetViews>
    <sheetView workbookViewId="0">
      <selection activeCell="A1" sqref="A1"/>
    </sheetView>
  </sheetViews>
  <sheetFormatPr baseColWidth="8" defaultColWidth="12.63" defaultRowHeight="15.75" customHeight="1"/>
  <cols>
    <col width="19" customWidth="1" style="145" min="1" max="1"/>
    <col width="37.75" customWidth="1" style="145" min="2" max="2"/>
    <col width="44.63" customWidth="1" style="145" min="3" max="3"/>
    <col width="39.88" customWidth="1" style="145" min="4" max="4"/>
  </cols>
  <sheetData>
    <row r="1">
      <c r="A1" s="72" t="inlineStr">
        <is>
          <t>Test Case ID</t>
        </is>
      </c>
      <c r="B1" s="72" t="inlineStr">
        <is>
          <t>Description</t>
        </is>
      </c>
      <c r="C1" s="72" t="inlineStr">
        <is>
          <t xml:space="preserve">Steps </t>
        </is>
      </c>
      <c r="D1" s="72" t="inlineStr">
        <is>
          <t>Expected Outcome</t>
        </is>
      </c>
      <c r="E1" s="72" t="inlineStr">
        <is>
          <t>Status (Pass/Fail)</t>
        </is>
      </c>
      <c r="F1" s="72" t="inlineStr">
        <is>
          <t>Ticket/ Bug ID</t>
        </is>
      </c>
      <c r="G1" s="72" t="inlineStr">
        <is>
          <t>Comments</t>
        </is>
      </c>
      <c r="H1" s="72" t="n"/>
    </row>
    <row r="2">
      <c r="A2" s="96" t="inlineStr">
        <is>
          <t>Worker_History 1</t>
        </is>
      </c>
      <c r="B2" s="97" t="inlineStr">
        <is>
          <t>Verify we are able create manage creditals on CCC web UI</t>
        </is>
      </c>
      <c r="C2" s="97" t="inlineStr">
        <is>
          <t>1. Login CCC web UI
2. Navigte to opportunity dashboard
3. Click on hamburger option
4. Select edit opportunity
5. Verify manage credentials section is visible
6.Click on Learn Level field, the following options contains in the dropdown:
    - None
    - Learning passed 
7. Click on Delivery level field, the dropdown contains following options:
    - None
    - 25 deliveries
    - 50 deliveries
    - 100 deliveries
    - 200 deliveries
    - 500 deliveries
    - 1000 deliveries
8. Select any option [except none - it is for disable] from learn level and  delivery level fields 
9. Click submit</t>
        </is>
      </c>
      <c r="D2" s="97" t="inlineStr">
        <is>
          <t>- User should be able to add credentials succesfully</t>
        </is>
      </c>
      <c r="E2" s="100" t="n"/>
      <c r="F2" s="66" t="n"/>
      <c r="G2" s="66" t="n"/>
      <c r="H2" s="66" t="n"/>
    </row>
    <row r="3">
      <c r="A3" s="96" t="inlineStr">
        <is>
          <t>Worker_History 2</t>
        </is>
      </c>
      <c r="B3" s="97" t="inlineStr">
        <is>
          <t xml:space="preserve">Verify earned credentials are visible in worker history section </t>
        </is>
      </c>
      <c r="C3" s="97" t="inlineStr">
        <is>
          <t>1. Sign up for personal ID [Mobile]
2. Login to learn/delivery app
3. Submit forms till reaches the credentials requirements
4. Expand left hand menu &gt;&gt; select worker history page</t>
        </is>
      </c>
      <c r="D3" s="97" t="inlineStr">
        <is>
          <t>- When user reaches the credentials requirement, they should earn the credential badges
- Earned badges should be displayed on worker history page</t>
        </is>
      </c>
      <c r="E3" s="66" t="n"/>
      <c r="F3" s="66" t="n"/>
      <c r="G3" s="66" t="n"/>
      <c r="H3" s="66" t="n"/>
    </row>
    <row r="4">
      <c r="A4" s="96" t="inlineStr">
        <is>
          <t>Worker_History 3</t>
        </is>
      </c>
      <c r="B4" s="97" t="inlineStr">
        <is>
          <t>Verify previously earned credentials are still visible on mobile when disabled on web UI</t>
        </is>
      </c>
      <c r="C4" s="97" t="inlineStr">
        <is>
          <t>1.Disable the credentials in web UI
2. Navigate to worker history page in mobile
3. Verify the previoulsy earned badges are still remain</t>
        </is>
      </c>
      <c r="D4" s="97" t="inlineStr">
        <is>
          <t>-User should see the previously earned badges should be visible even after disabling the credentials on web UI</t>
        </is>
      </c>
      <c r="E4" s="66" t="n"/>
      <c r="F4" s="66" t="n"/>
      <c r="G4" s="66" t="n"/>
      <c r="H4" s="66" t="n"/>
    </row>
  </sheetData>
  <dataValidations count="2">
    <dataValidation sqref="E2" showDropDown="0" showInputMessage="0" showErrorMessage="1" allowBlank="1" type="list">
      <formula1>"Pass,Fail,N/A,Blocking"</formula1>
    </dataValidation>
    <dataValidation sqref="E3:E4" showDropDown="0" showInputMessage="0" showErrorMessage="1" allowBlank="1" type="list">
      <formula1>"Pass,Fail,N/A,Blocking"</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13"/>
  <sheetViews>
    <sheetView workbookViewId="0">
      <selection activeCell="A1" sqref="A1"/>
    </sheetView>
  </sheetViews>
  <sheetFormatPr baseColWidth="8" defaultColWidth="12.63" defaultRowHeight="15.75" customHeight="1"/>
  <cols>
    <col width="19.63" customWidth="1" style="145" min="1" max="1"/>
    <col width="36" customWidth="1" style="145" min="2" max="2"/>
    <col width="47.38" customWidth="1" style="145" min="3" max="3"/>
    <col width="46.38" customWidth="1" style="145" min="4" max="4"/>
  </cols>
  <sheetData>
    <row r="1">
      <c r="A1" s="72" t="inlineStr">
        <is>
          <t>Test Case ID</t>
        </is>
      </c>
      <c r="B1" s="72" t="inlineStr">
        <is>
          <t>Description</t>
        </is>
      </c>
      <c r="C1" s="72" t="inlineStr">
        <is>
          <t xml:space="preserve">Steps </t>
        </is>
      </c>
      <c r="D1" s="72" t="inlineStr">
        <is>
          <t>Expected Outcome</t>
        </is>
      </c>
      <c r="E1" s="72" t="inlineStr">
        <is>
          <t>Status (Pass/Fail)</t>
        </is>
      </c>
      <c r="F1" s="72" t="inlineStr">
        <is>
          <t>Ticket/ Bug ID</t>
        </is>
      </c>
      <c r="G1" s="72" t="inlineStr">
        <is>
          <t>Comments</t>
        </is>
      </c>
      <c r="H1" s="101" t="inlineStr">
        <is>
          <t>Notes</t>
        </is>
      </c>
    </row>
    <row r="2">
      <c r="A2" s="162" t="inlineStr">
        <is>
          <t>Case List Map</t>
        </is>
      </c>
      <c r="B2" s="150" t="n"/>
      <c r="C2" s="150" t="n"/>
      <c r="D2" s="150" t="n"/>
      <c r="E2" s="150" t="n"/>
      <c r="F2" s="150" t="n"/>
      <c r="G2" s="151" t="n"/>
      <c r="H2" s="66" t="n"/>
    </row>
    <row r="3">
      <c r="A3" s="96" t="inlineStr">
        <is>
          <t>Map_01</t>
        </is>
      </c>
      <c r="B3" s="97" t="inlineStr">
        <is>
          <t>Verify user is able to configure geo options</t>
        </is>
      </c>
      <c r="C3" s="97" t="inlineStr">
        <is>
          <t>1. Login to CC HQ
2. Navigate to applications 
3. select any case list application
4. Navigate to case list settings 
5. Go to case list tab
6. Under display properties configure the geo boundary and geo points'
Note: Geo boundary and geo points options are visible only when address property is configured</t>
        </is>
      </c>
      <c r="D3" s="97" t="inlineStr">
        <is>
          <t>- Geo boundary and geopoints options are available only when address display property is added
- Geo boundary colour is available when geo boundary options is configured
- Geo points colour is available when geo points option is configured
- When "Address" property is deleted , Geo boundary and geo points options are automatically removed and  "requires column with format: Address" message is dispalyed
 - When geo boundary is deleted, geo boundary colour is automatically removed and message is displayed
- When geo point is deleted, geo point colour is automatically removed and message is displayed</t>
        </is>
      </c>
      <c r="E3" s="66" t="n"/>
      <c r="F3" s="66" t="n"/>
      <c r="G3" s="66" t="n"/>
      <c r="H3" s="103" t="inlineStr">
        <is>
          <t>Refer these tests to configure case list map properties - https://docs.google.com/spreadsheets/d/1ENauf0cWqR0c9Seu29xarLucB78j3bNJzuQ7ut0T7Fs/edit?gid=2#gid=2&amp;range=18:23</t>
        </is>
      </c>
    </row>
    <row r="4">
      <c r="A4" s="96" t="inlineStr">
        <is>
          <t>Map_02</t>
        </is>
      </c>
      <c r="B4" s="104" t="inlineStr">
        <is>
          <t>Verify removal of required Geo options</t>
        </is>
      </c>
      <c r="C4" s="97" t="inlineStr">
        <is>
          <t>Continue to above TC:
 - Remove address property, check informational message is displayed
 Repeated the above step with geo boundary and geo points</t>
        </is>
      </c>
      <c r="D4" s="97" t="inlineStr">
        <is>
          <t>- When "Address" property is deleted , Geo boundary and geo points options are automatically removed and  "requires column with format: Address" message is dispalyed
 - When geo boundary is deleted, geo boundary colour is automatically removed and message is displayed
- When geo point is deleted, geo point colour is automatically removed and message is displayed</t>
        </is>
      </c>
      <c r="E4" s="66" t="n"/>
      <c r="F4" s="66" t="n"/>
      <c r="G4" s="66" t="n"/>
      <c r="H4" s="66" t="n"/>
    </row>
    <row r="5">
      <c r="A5" s="96" t="inlineStr">
        <is>
          <t>Map_03</t>
        </is>
      </c>
      <c r="B5" s="97" t="inlineStr">
        <is>
          <t>Verify polygons and points are displayed on the case list map</t>
        </is>
      </c>
      <c r="C5" s="97" t="inlineStr">
        <is>
          <t>1. Install CCC app
2. Install the app used in map_01
3. Login to the app
4. Submit few forms with boundary box and points data and colours in hex code
5. Navigate to case list follow up form
6. Click on three dots menu
7. Click on view map</t>
        </is>
      </c>
      <c r="D5" s="97" t="inlineStr">
        <is>
          <t xml:space="preserve">- Polygons as per submitted data and colors should get highligted on the map
</t>
        </is>
      </c>
      <c r="E5" s="66" t="n"/>
      <c r="F5" s="66" t="n"/>
      <c r="G5" s="66" t="n"/>
      <c r="H5" s="66" t="n"/>
    </row>
    <row r="6">
      <c r="A6" s="96" t="inlineStr">
        <is>
          <t>Map_04</t>
        </is>
      </c>
      <c r="B6" s="104" t="inlineStr">
        <is>
          <t>Verify multiple locations display correctly</t>
        </is>
      </c>
      <c r="C6" s="97" t="inlineStr">
        <is>
          <t>1. Submit multiple forms with different locations
2. Navigate to case list
3. Click on 3 dots menu &gt;&gt; view on map</t>
        </is>
      </c>
      <c r="D6" s="97" t="inlineStr">
        <is>
          <t>- Multiple polygonas and points are visible clearly on the map with their resspective submitted colors</t>
        </is>
      </c>
      <c r="E6" s="66" t="n"/>
      <c r="F6" s="66" t="n"/>
      <c r="G6" s="66" t="n"/>
      <c r="H6" s="66" t="n"/>
    </row>
    <row r="7">
      <c r="A7" s="96" t="inlineStr">
        <is>
          <t>Map_05</t>
        </is>
      </c>
      <c r="B7" s="104" t="inlineStr">
        <is>
          <t>Verify overlapping polygons for same coordinates</t>
        </is>
      </c>
      <c r="C7" s="97" t="inlineStr">
        <is>
          <t>1. Submit the 2 or 3 forms with same boundary and points details
2.  Navigate to case list
3. Click on 3 dots menu &gt;&gt; view on map</t>
        </is>
      </c>
      <c r="D7" s="97" t="inlineStr">
        <is>
          <t xml:space="preserve">- Cases with same location get overlap on each other and only one case is highlighted </t>
        </is>
      </c>
      <c r="E7" s="66" t="n"/>
      <c r="F7" s="66" t="n"/>
      <c r="G7" s="66" t="n"/>
      <c r="H7" s="66" t="n"/>
    </row>
    <row r="8">
      <c r="A8" s="96" t="inlineStr">
        <is>
          <t>Map_06</t>
        </is>
      </c>
      <c r="B8" s="104" t="inlineStr">
        <is>
          <t>Verify case name popup appears on clicking a polygon</t>
        </is>
      </c>
      <c r="C8" s="105" t="inlineStr">
        <is>
          <t xml:space="preserve">
Click on a polygon on the map.</t>
        </is>
      </c>
      <c r="D8" s="97" t="inlineStr">
        <is>
          <t>- Case name appears upon clicking on the polygon</t>
        </is>
      </c>
      <c r="E8" s="66" t="n"/>
      <c r="F8" s="66" t="n"/>
      <c r="G8" s="66" t="n"/>
      <c r="H8" s="66" t="n"/>
    </row>
    <row r="9">
      <c r="A9" s="96" t="inlineStr">
        <is>
          <t>Map_07</t>
        </is>
      </c>
      <c r="B9" s="104" t="inlineStr">
        <is>
          <t>Verify user can open the Case Follow-Up form by clicking on case name</t>
        </is>
      </c>
      <c r="C9" s="97" t="inlineStr">
        <is>
          <t>Click on the case name on the map</t>
        </is>
      </c>
      <c r="D9" s="97" t="inlineStr">
        <is>
          <t xml:space="preserve"> - User redirects to the case follow up form</t>
        </is>
      </c>
      <c r="E9" s="66" t="n"/>
      <c r="F9" s="66" t="n"/>
      <c r="G9" s="66" t="n"/>
      <c r="H9" s="66" t="n"/>
    </row>
    <row r="10">
      <c r="A10" s="96" t="inlineStr">
        <is>
          <t>Map_08</t>
        </is>
      </c>
      <c r="B10" s="104" t="inlineStr">
        <is>
          <t>Verify warning message on the mobile map for wrong configuration</t>
        </is>
      </c>
      <c r="C10" s="97" t="inlineStr">
        <is>
          <t xml:space="preserve">1. Submit few forms with geo boundary and point details
2. Few forms with out complete or incorrect details
3. Navigate to case list form &gt;&gt; view on map
</t>
        </is>
      </c>
      <c r="D10" s="97" t="inlineStr">
        <is>
          <t>- User should see a below message at the bottom of screen 
"There was an error in app configuration due to which not all markers on the map are loaded correctly.”</t>
        </is>
      </c>
      <c r="E10" s="66" t="n"/>
      <c r="F10" s="66" t="n"/>
      <c r="G10" s="66" t="n"/>
      <c r="H10" s="66" t="n"/>
    </row>
    <row r="11">
      <c r="A11" s="96" t="inlineStr">
        <is>
          <t>Map_09</t>
        </is>
      </c>
      <c r="B11" s="104" t="inlineStr">
        <is>
          <t>Verify visibility of individual toggles based on entity count</t>
        </is>
      </c>
      <c r="C11" s="97" t="inlineStr">
        <is>
          <t>1. Submit only one form with one entity either boundary box or points
2. Navigate to case list map</t>
        </is>
      </c>
      <c r="D11" s="97" t="inlineStr">
        <is>
          <t>- Toggle buttons are not visible and by default they are in "ON"
-  toggle panel is hidden if less than two toggles are needed
- Location should get highlighted as per your form submission</t>
        </is>
      </c>
      <c r="E11" s="66" t="n"/>
      <c r="F11" s="66" t="n"/>
      <c r="G11" s="66" t="n"/>
      <c r="H11" s="66" t="n"/>
    </row>
    <row r="12">
      <c r="A12" s="96" t="inlineStr">
        <is>
          <t>Map_10</t>
        </is>
      </c>
      <c r="B12" s="104" t="inlineStr">
        <is>
          <t>Verify toggles are shown when multiple entities exist</t>
        </is>
      </c>
      <c r="C12" s="97" t="inlineStr">
        <is>
          <t>1. Submit multiple forms with multiple entities
2. Navigate to case list map</t>
        </is>
      </c>
      <c r="D12" s="97" t="inlineStr">
        <is>
          <t>- Toggle buttons are visible
- Entire toggle panel is shown if at least two toggles are needed</t>
        </is>
      </c>
      <c r="E12" s="66" t="n"/>
      <c r="F12" s="66" t="n"/>
      <c r="G12" s="66" t="n"/>
      <c r="H12" s="66" t="n"/>
    </row>
    <row r="13">
      <c r="A13" s="96" t="inlineStr">
        <is>
          <t>Map_11</t>
        </is>
      </c>
      <c r="B13" s="104" t="inlineStr">
        <is>
          <t>Verify user can toggle polygons and points ON/OFF</t>
        </is>
      </c>
      <c r="C13" s="97" t="inlineStr">
        <is>
          <t>continue to above TC:
 - Toggle off the polygons button, ON the geo points
 - Toggle off the geopoints button, On the polygons button
 - Off both at a time</t>
        </is>
      </c>
      <c r="D13" s="97" t="inlineStr">
        <is>
          <t>- By default polygons and geo points are ON
- When user off the polyongs, boundary colour is not shown and only point is shown on map
- When user off the geopoints, boundary is shown and point is not shown
- When turn off both , neither points nor boundary are visible</t>
        </is>
      </c>
      <c r="E13" s="66" t="n"/>
      <c r="F13" s="66" t="n"/>
      <c r="G13" s="66" t="n"/>
      <c r="H13" s="66" t="n"/>
    </row>
  </sheetData>
  <mergeCells count="1">
    <mergeCell ref="A2:G2"/>
  </mergeCells>
  <dataValidations count="1">
    <dataValidation sqref="E3:E13" showDropDown="0" showInputMessage="0" showErrorMessage="1" allowBlank="1" type="list">
      <formula1>"Pass,Fail,N/A,Blocking"</formula1>
    </dataValidation>
  </dataValidations>
  <hyperlinks>
    <hyperlink xmlns:r="http://schemas.openxmlformats.org/officeDocument/2006/relationships" ref="H3" location="gid=2&amp;range=18:23" r:id="rId1"/>
  </hyperlink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F593"/>
  <sheetViews>
    <sheetView workbookViewId="0">
      <selection activeCell="A1" sqref="A1"/>
    </sheetView>
  </sheetViews>
  <sheetFormatPr baseColWidth="8" defaultColWidth="12.63" defaultRowHeight="15.75" customHeight="1"/>
  <cols>
    <col width="36.38" customWidth="1" style="145" min="1" max="2"/>
    <col width="22.75" customWidth="1" style="145" min="3" max="3"/>
    <col width="15.63" customWidth="1" style="145" min="4" max="4"/>
    <col width="18.88" customWidth="1" style="145" min="5" max="5"/>
    <col width="25.25" customWidth="1" style="145" min="6" max="6"/>
  </cols>
  <sheetData>
    <row r="1">
      <c r="A1" s="163" t="n"/>
      <c r="B1" s="147" t="inlineStr">
        <is>
          <t>&lt;Feature_Name&gt; 
or
&lt;Ticket Title&gt;</t>
        </is>
      </c>
      <c r="C1" s="149" t="n"/>
      <c r="E1" s="107" t="inlineStr">
        <is>
          <t>Key</t>
        </is>
      </c>
      <c r="F1" s="108" t="n"/>
    </row>
    <row r="2" ht="20.25" customHeight="1" s="145">
      <c r="A2" s="152" t="n"/>
      <c r="B2" s="153" t="n"/>
      <c r="C2" s="155" t="n"/>
      <c r="E2" s="109" t="inlineStr">
        <is>
          <t>Pass</t>
        </is>
      </c>
      <c r="F2" s="118" t="inlineStr">
        <is>
          <t>Passed steps of Test Case</t>
        </is>
      </c>
    </row>
    <row r="3">
      <c r="A3" s="152" t="n"/>
      <c r="B3" s="156" t="inlineStr">
        <is>
          <t>- Feature Description
- Test Domain
- Feature Flag
- (For master test plans) Last executed
- &lt;Anything specific to be added&gt;</t>
        </is>
      </c>
      <c r="C3" s="149" t="n"/>
      <c r="E3" s="111" t="inlineStr">
        <is>
          <t>Fail</t>
        </is>
      </c>
      <c r="F3" s="118" t="inlineStr">
        <is>
          <t>Failed steps of Test Case</t>
        </is>
      </c>
    </row>
    <row r="4">
      <c r="A4" s="152" t="n"/>
      <c r="B4" s="157" t="n"/>
      <c r="C4" s="158" t="n"/>
      <c r="E4" s="112" t="inlineStr">
        <is>
          <t>N/A</t>
        </is>
      </c>
      <c r="F4" s="118" t="inlineStr">
        <is>
          <t>Not applicable to your testing</t>
        </is>
      </c>
    </row>
    <row r="5">
      <c r="A5" s="159" t="n"/>
      <c r="B5" s="153" t="n"/>
      <c r="C5" s="155" t="n"/>
      <c r="E5" s="113" t="inlineStr">
        <is>
          <t>Blocking</t>
        </is>
      </c>
      <c r="F5" s="114" t="inlineStr">
        <is>
          <t>Failed and is a critical feature or cannot proceed with testing</t>
        </is>
      </c>
    </row>
    <row r="6" ht="17.25" customHeight="1" s="145">
      <c r="A6" s="115" t="inlineStr">
        <is>
          <t>Name of Tester</t>
        </is>
      </c>
      <c r="B6" s="116" t="inlineStr">
        <is>
          <t>Start Date</t>
        </is>
      </c>
      <c r="C6" s="116" t="inlineStr">
        <is>
          <t>End Date</t>
        </is>
      </c>
      <c r="E6" s="117" t="inlineStr">
        <is>
          <t>Unanswered</t>
        </is>
      </c>
      <c r="F6" s="118" t="inlineStr">
        <is>
          <t>Unanswered/ blank test cases</t>
        </is>
      </c>
    </row>
    <row r="7">
      <c r="A7" s="141" t="n"/>
      <c r="B7" s="120" t="n"/>
      <c r="C7" s="121" t="n"/>
      <c r="E7" s="122" t="n"/>
      <c r="F7" s="123" t="n"/>
    </row>
    <row r="8">
      <c r="A8" s="124" t="n"/>
      <c r="B8" s="124" t="n"/>
      <c r="C8" s="123" t="n"/>
      <c r="D8" s="123" t="n"/>
    </row>
    <row r="9">
      <c r="A9" s="125" t="inlineStr">
        <is>
          <t>Tab</t>
        </is>
      </c>
      <c r="B9" s="125">
        <f>sheetName(2)</f>
        <v/>
      </c>
      <c r="C9" s="125">
        <f>sheetName(3)</f>
        <v/>
      </c>
      <c r="D9" s="125">
        <f>sheetName(4)</f>
        <v/>
      </c>
      <c r="E9" s="125">
        <f>sheetName(5)</f>
        <v/>
      </c>
      <c r="F9" s="125">
        <f>sheetName(6)</f>
        <v/>
      </c>
    </row>
    <row r="10">
      <c r="A10" s="125" t="inlineStr">
        <is>
          <t>&lt;optional&gt; Documentation Status</t>
        </is>
      </c>
      <c r="B10" s="126" t="n"/>
      <c r="C10" s="126" t="n"/>
      <c r="D10" s="126" t="n"/>
      <c r="E10" s="126" t="n"/>
      <c r="F10" s="126" t="n"/>
    </row>
    <row r="11">
      <c r="A11" s="125" t="inlineStr">
        <is>
          <t>Execution Status</t>
        </is>
      </c>
      <c r="B11" s="126" t="n"/>
      <c r="C11" s="126" t="n"/>
      <c r="D11" s="126" t="n"/>
      <c r="E11" s="126" t="n"/>
      <c r="F11" s="126" t="n"/>
    </row>
    <row r="12">
      <c r="A12" s="127" t="inlineStr">
        <is>
          <t>Duration</t>
        </is>
      </c>
      <c r="B12" s="121" t="n"/>
      <c r="C12" s="121" t="n"/>
      <c r="D12" s="121" t="n"/>
      <c r="E12" s="121" t="n"/>
      <c r="F12" s="121" t="n"/>
    </row>
    <row r="14">
      <c r="A14" s="164" t="inlineStr">
        <is>
          <t>Case Results
(if none, displays as 0)</t>
        </is>
      </c>
      <c r="B14" s="130">
        <f t="array" ref="B14">countif(INDIRECT("'"&amp;$B$9&amp;"'!"&amp;"D2:D100"), "Pass")</f>
        <v/>
      </c>
      <c r="C14" s="130">
        <f t="array" ref="C14">countif(INDIRECT("'"&amp;$C$9&amp;"'!"&amp;"D2:D100"), "Pass")</f>
        <v/>
      </c>
      <c r="D14" s="130">
        <f t="array" ref="D14">countif(INDIRECT("'"&amp;$D$9&amp;"'!"&amp;"D2:D100"), "Pass")</f>
        <v/>
      </c>
      <c r="E14" s="131">
        <f t="array" ref="E14">countif(INDIRECT("'"&amp;$E$9&amp;"'!"&amp;"D2:D100"), "Pass")</f>
        <v/>
      </c>
      <c r="F14" s="131">
        <f t="array" ref="F14">countif(INDIRECT("'"&amp;$F$9&amp;"'!"&amp;"D2:D100"), "Pass")</f>
        <v/>
      </c>
    </row>
    <row r="15">
      <c r="A15" s="152" t="n"/>
      <c r="B15" s="133">
        <f t="array" ref="B15">countif(INDIRECT("'"&amp;$B$9&amp;"'!"&amp;"D2:D100"), "Fail")</f>
        <v/>
      </c>
      <c r="C15" s="133">
        <f t="array" ref="C15">countif(INDIRECT("'"&amp;$C$9&amp;"'!"&amp;"D2:D100"), "Fail")</f>
        <v/>
      </c>
      <c r="D15" s="133">
        <f t="array" ref="D15">countif(INDIRECT("'"&amp;$D$9&amp;"'!"&amp;"D2:D100"), "Fail")</f>
        <v/>
      </c>
      <c r="E15" s="134">
        <f t="array" ref="E15">countif(INDIRECT("'"&amp;$E$9&amp;"'!"&amp;"D2:D100"), "Fail")</f>
        <v/>
      </c>
      <c r="F15" s="134">
        <f t="array" ref="F15">countif(INDIRECT("'"&amp;$F$9&amp;"'!"&amp;"D2:D100"), "Fail")</f>
        <v/>
      </c>
    </row>
    <row r="16">
      <c r="A16" s="152" t="n"/>
      <c r="B16" s="136">
        <f t="array" ref="B16">countif(INDIRECT("'"&amp;$B$9&amp;"'!"&amp;"D2:D100"), "N/A")</f>
        <v/>
      </c>
      <c r="C16" s="136">
        <f t="array" ref="C16">countif(INDIRECT("'"&amp;$C$9&amp;"'!"&amp;"D2:D100"), "N/A")</f>
        <v/>
      </c>
      <c r="D16" s="136">
        <f t="array" ref="D16">countif(INDIRECT("'"&amp;$D$9&amp;"'!"&amp;"D2:D100"), "N/A")</f>
        <v/>
      </c>
      <c r="E16" s="137">
        <f t="array" ref="E16">countif(INDIRECT("'"&amp;$E$9&amp;"'!"&amp;"D2:D100"), "N/A")</f>
        <v/>
      </c>
      <c r="F16" s="137">
        <f t="array" ref="F16">countif(INDIRECT("'"&amp;$F$9&amp;"'!"&amp;"D2:D100"), "N/A")</f>
        <v/>
      </c>
    </row>
    <row r="17">
      <c r="A17" s="152" t="n"/>
      <c r="B17" s="139">
        <f t="array" ref="B17">countif(INDIRECT("'"&amp;$B$9&amp;"'!"&amp;"D2:D100"), "Blocking")</f>
        <v/>
      </c>
      <c r="C17" s="139">
        <f t="array" ref="C17">countif(INDIRECT("'"&amp;$C$9&amp;"'!"&amp;"D2:D100"), "Blocking")</f>
        <v/>
      </c>
      <c r="D17" s="139">
        <f t="array" ref="D17">countif(INDIRECT("'"&amp;$D$9&amp;"'!"&amp;"D2:D100"), "Blocking")</f>
        <v/>
      </c>
      <c r="E17" s="140">
        <f t="array" ref="E17">countif(INDIRECT("'"&amp;$E$9&amp;"'!"&amp;"D2:D100"), "Blocking")</f>
        <v/>
      </c>
      <c r="F17" s="140">
        <f t="array" ref="F17">countif(INDIRECT("'"&amp;$F$9&amp;"'!"&amp;"D2:D100"), "Blocking")</f>
        <v/>
      </c>
    </row>
    <row r="18">
      <c r="A18" s="159" t="n"/>
      <c r="B18" s="117">
        <f t="array" ref="B18">countif(INDIRECT("'"&amp;$B$9&amp;"'!"&amp;"D2:D100"), "")</f>
        <v/>
      </c>
      <c r="C18" s="117">
        <f t="array" ref="C18">countif(INDIRECT("'"&amp;$C$9&amp;"'!"&amp;"D2:D100"), "")</f>
        <v/>
      </c>
      <c r="D18" s="117">
        <f t="array" ref="D18">countif(INDIRECT("'"&amp;$D$9&amp;"'!"&amp;"D2:D100"), "")</f>
        <v/>
      </c>
      <c r="E18" s="117">
        <f t="array" ref="E18">countif(INDIRECT("'"&amp;$E$9&amp;"'!"&amp;"D2:D100"), "")</f>
        <v/>
      </c>
      <c r="F18" s="117">
        <f t="array" ref="F18">countif(INDIRECT("'"&amp;$F$9&amp;"'!"&amp;"D2:D100"), "")</f>
        <v/>
      </c>
    </row>
    <row r="19">
      <c r="A19" s="125" t="inlineStr">
        <is>
          <t>Total</t>
        </is>
      </c>
      <c r="B19" s="141">
        <f>sum(B14:B18)</f>
        <v/>
      </c>
      <c r="C19" s="141">
        <f>sum(C14:C18)</f>
        <v/>
      </c>
      <c r="D19" s="141">
        <f>sum(D14:D18)</f>
        <v/>
      </c>
      <c r="E19" s="141">
        <f>sum(E14:E18)</f>
        <v/>
      </c>
      <c r="F19" s="141">
        <f>sum(F14:F18)</f>
        <v/>
      </c>
    </row>
    <row r="20">
      <c r="A20" s="142" t="n"/>
      <c r="B20" s="124" t="n"/>
      <c r="C20" s="123" t="n"/>
      <c r="D20" s="123" t="n"/>
      <c r="E20" s="5" t="n"/>
      <c r="F20" s="143" t="n"/>
    </row>
    <row r="21">
      <c r="A21" s="164" t="inlineStr">
        <is>
          <t>Ticket Summaries
(if none, displays as #N/A)</t>
        </is>
      </c>
      <c r="B21" s="141">
        <f>IFERROR(__xludf.DUMMYFUNCTION("UNIQUE( FILTER( INDIRECT(""'""&amp;$B$9&amp;""'!""&amp;""E2:E100"") , NOT(ISBLANK(INDIRECT(""'""&amp;$B$9&amp;""'!""&amp;""E2:E100""))) ) )"),"#N/A")</f>
        <v/>
      </c>
      <c r="C21" s="141">
        <f>IFERROR(__xludf.DUMMYFUNCTION("UNIQUE( FILTER( INDIRECT(""'""&amp;$C$9&amp;""'!""&amp;""E2:E100"") , NOT(ISBLANK(INDIRECT(""'""&amp;$C$9&amp;""'!""&amp;""E2:E100""))) ) )"),"#N/A")</f>
        <v/>
      </c>
      <c r="D21" s="141">
        <f>IFERROR(__xludf.DUMMYFUNCTION("UNIQUE( FILTER(INDIRECT(""'""&amp;$D$9&amp;""'!""&amp;""E2:E100"") , NOT(ISBLANK(INDIRECT(""'""&amp;$D$9&amp;""'!""&amp;""E2:E100""))) ) )"),"#N/A")</f>
        <v/>
      </c>
      <c r="E21" s="141">
        <f>IFERROR(__xludf.DUMMYFUNCTION("UNIQUE( FILTER(INDIRECT(""'""&amp;$E$9&amp;""'!""&amp;""E2:E100"") , NOT(ISBLANK(INDIRECT(""'""&amp;$E$9&amp;""'!""&amp;""E2:E100""))) ) )"),"Status (Pass/Fail)")</f>
        <v/>
      </c>
      <c r="F21" s="141">
        <f>IFERROR(__xludf.DUMMYFUNCTION("UNIQUE( FILTER(INDIRECT(""'""&amp;$E$9&amp;""'!""&amp;""E2:E100"") , NOT(ISBLANK(INDIRECT(""'""&amp;$E$9&amp;""'!""&amp;""E2:E100""))) ) )"),"Status (Pass/Fail)")</f>
        <v/>
      </c>
    </row>
    <row r="22">
      <c r="A22" s="152" t="n"/>
      <c r="B22" s="141" t="n"/>
      <c r="C22" s="141" t="n"/>
      <c r="D22" s="141" t="n"/>
      <c r="E22" s="141" t="n"/>
      <c r="F22" s="141" t="n"/>
    </row>
    <row r="23">
      <c r="A23" s="152" t="n"/>
      <c r="B23" s="141" t="n"/>
      <c r="C23" s="141" t="n"/>
      <c r="D23" s="141" t="n"/>
      <c r="E23" s="141" t="n"/>
      <c r="F23" s="141" t="n"/>
    </row>
    <row r="24">
      <c r="A24" s="152" t="n"/>
      <c r="B24" s="141" t="n"/>
      <c r="C24" s="141" t="n"/>
      <c r="D24" s="141" t="n"/>
      <c r="E24" s="141" t="n"/>
      <c r="F24" s="141" t="n"/>
    </row>
    <row r="25">
      <c r="A25" s="152" t="n"/>
      <c r="B25" s="141" t="n"/>
      <c r="C25" s="141" t="n"/>
      <c r="D25" s="141" t="n"/>
      <c r="E25" s="141" t="n"/>
      <c r="F25" s="141" t="n"/>
    </row>
    <row r="26">
      <c r="A26" s="152" t="n"/>
      <c r="B26" s="141" t="n"/>
      <c r="C26" s="141" t="n"/>
      <c r="D26" s="141" t="n"/>
      <c r="E26" s="141" t="n"/>
      <c r="F26" s="141" t="n"/>
    </row>
    <row r="27">
      <c r="A27" s="152" t="n"/>
      <c r="B27" s="141" t="n"/>
      <c r="C27" s="141" t="n"/>
      <c r="D27" s="141" t="n"/>
      <c r="E27" s="141" t="n"/>
      <c r="F27" s="141" t="n"/>
    </row>
    <row r="28">
      <c r="A28" s="159" t="n"/>
      <c r="B28" s="141" t="n"/>
      <c r="C28" s="141" t="n"/>
      <c r="D28" s="141" t="n"/>
      <c r="E28" s="141" t="n"/>
      <c r="F28" s="141" t="n"/>
    </row>
    <row r="29">
      <c r="A29" s="144" t="n"/>
      <c r="B29" s="123" t="n"/>
      <c r="C29" s="123" t="n"/>
      <c r="D29" s="123" t="n"/>
      <c r="E29" s="123" t="n"/>
      <c r="F29" s="123" t="n"/>
    </row>
    <row r="30">
      <c r="A30" s="144" t="n"/>
      <c r="B30" s="123" t="n"/>
      <c r="C30" s="123" t="n"/>
      <c r="D30" s="123" t="n"/>
      <c r="E30" s="123" t="n"/>
      <c r="F30" s="123" t="n"/>
    </row>
    <row r="31">
      <c r="A31" s="144" t="n"/>
      <c r="B31" s="123" t="n"/>
      <c r="C31" s="123" t="n"/>
      <c r="D31" s="123" t="n"/>
      <c r="E31" s="123" t="n"/>
      <c r="F31" s="123" t="n"/>
    </row>
    <row r="32">
      <c r="A32" s="144" t="n"/>
      <c r="B32" s="123" t="n"/>
      <c r="C32" s="123" t="n"/>
      <c r="D32" s="123" t="n"/>
      <c r="E32" s="123" t="n"/>
      <c r="F32" s="123" t="n"/>
    </row>
    <row r="33">
      <c r="A33" s="144" t="n"/>
      <c r="B33" s="123" t="n"/>
      <c r="C33" s="123" t="n"/>
      <c r="D33" s="123" t="n"/>
      <c r="E33" s="123" t="n"/>
      <c r="F33" s="123" t="n"/>
    </row>
    <row r="34">
      <c r="A34" s="144" t="n"/>
      <c r="B34" s="123" t="n"/>
      <c r="C34" s="123" t="n"/>
      <c r="D34" s="123" t="n"/>
      <c r="E34" s="123" t="n"/>
      <c r="F34" s="123" t="n"/>
    </row>
    <row r="35">
      <c r="A35" s="144" t="n"/>
      <c r="B35" s="123" t="n"/>
      <c r="C35" s="123" t="n"/>
      <c r="D35" s="123" t="n"/>
      <c r="E35" s="123" t="n"/>
      <c r="F35" s="123" t="n"/>
    </row>
    <row r="36">
      <c r="A36" s="144" t="n"/>
      <c r="B36" s="123" t="n"/>
      <c r="C36" s="123" t="n"/>
      <c r="D36" s="123" t="n"/>
      <c r="E36" s="123" t="n"/>
      <c r="F36" s="123" t="n"/>
    </row>
    <row r="37">
      <c r="A37" s="144" t="n"/>
      <c r="B37" s="123" t="n"/>
      <c r="C37" s="123" t="n"/>
      <c r="D37" s="123" t="n"/>
      <c r="E37" s="123" t="n"/>
      <c r="F37" s="123" t="n"/>
    </row>
    <row r="38">
      <c r="A38" s="144" t="n"/>
      <c r="B38" s="123" t="n"/>
      <c r="C38" s="123" t="n"/>
      <c r="D38" s="123" t="n"/>
      <c r="E38" s="123" t="n"/>
      <c r="F38" s="123" t="n"/>
    </row>
    <row r="39">
      <c r="A39" s="144" t="n"/>
      <c r="B39" s="123" t="n"/>
      <c r="C39" s="123" t="n"/>
      <c r="D39" s="123" t="n"/>
      <c r="E39" s="123" t="n"/>
      <c r="F39" s="123" t="n"/>
    </row>
    <row r="40">
      <c r="A40" s="144" t="n"/>
      <c r="B40" s="123" t="n"/>
      <c r="C40" s="123" t="n"/>
      <c r="D40" s="123" t="n"/>
      <c r="E40" s="123" t="n"/>
      <c r="F40" s="123" t="n"/>
    </row>
    <row r="41">
      <c r="A41" s="144" t="n"/>
      <c r="B41" s="123" t="n"/>
      <c r="C41" s="123" t="n"/>
      <c r="D41" s="123" t="n"/>
      <c r="E41" s="123" t="n"/>
      <c r="F41" s="123" t="n"/>
    </row>
    <row r="42">
      <c r="A42" s="144" t="n"/>
      <c r="B42" s="123" t="n"/>
      <c r="C42" s="123" t="n"/>
      <c r="D42" s="123" t="n"/>
      <c r="E42" s="123" t="n"/>
      <c r="F42" s="123" t="n"/>
    </row>
    <row r="43">
      <c r="A43" s="144" t="n"/>
      <c r="B43" s="123" t="n"/>
      <c r="C43" s="123" t="n"/>
      <c r="D43" s="123" t="n"/>
      <c r="E43" s="123" t="n"/>
      <c r="F43" s="123" t="n"/>
    </row>
    <row r="44">
      <c r="A44" s="144" t="n"/>
      <c r="B44" s="123" t="n"/>
      <c r="C44" s="123" t="n"/>
      <c r="D44" s="123" t="n"/>
      <c r="E44" s="123" t="n"/>
      <c r="F44" s="123" t="n"/>
    </row>
    <row r="45">
      <c r="A45" s="144" t="n"/>
      <c r="B45" s="123" t="n"/>
      <c r="C45" s="123" t="n"/>
      <c r="D45" s="123" t="n"/>
      <c r="E45" s="123" t="n"/>
      <c r="F45" s="123" t="n"/>
    </row>
    <row r="46">
      <c r="A46" s="144" t="n"/>
      <c r="B46" s="123" t="n"/>
      <c r="C46" s="123" t="n"/>
      <c r="D46" s="123" t="n"/>
      <c r="E46" s="123" t="n"/>
      <c r="F46" s="123" t="n"/>
    </row>
    <row r="47">
      <c r="A47" s="144" t="n"/>
      <c r="B47" s="123" t="n"/>
      <c r="C47" s="123" t="n"/>
      <c r="D47" s="123" t="n"/>
      <c r="E47" s="123" t="n"/>
      <c r="F47" s="123" t="n"/>
    </row>
    <row r="48">
      <c r="A48" s="144" t="n"/>
      <c r="B48" s="123" t="n"/>
      <c r="C48" s="123" t="n"/>
      <c r="D48" s="123" t="n"/>
      <c r="E48" s="123" t="n"/>
      <c r="F48" s="123" t="n"/>
    </row>
    <row r="49">
      <c r="A49" s="144" t="n"/>
      <c r="B49" s="123" t="n"/>
      <c r="C49" s="123" t="n"/>
      <c r="D49" s="123" t="n"/>
      <c r="E49" s="123" t="n"/>
      <c r="F49" s="123" t="n"/>
    </row>
    <row r="50">
      <c r="A50" s="144" t="n"/>
      <c r="B50" s="123" t="n"/>
      <c r="C50" s="123" t="n"/>
      <c r="D50" s="123" t="n"/>
      <c r="E50" s="123" t="n"/>
      <c r="F50" s="123" t="n"/>
    </row>
    <row r="51">
      <c r="A51" s="144" t="n"/>
      <c r="B51" s="123" t="n"/>
      <c r="C51" s="123" t="n"/>
      <c r="D51" s="123" t="n"/>
      <c r="E51" s="123" t="n"/>
      <c r="F51" s="123" t="n"/>
    </row>
    <row r="52">
      <c r="A52" s="144" t="n"/>
      <c r="B52" s="123" t="n"/>
      <c r="C52" s="123" t="n"/>
      <c r="D52" s="123" t="n"/>
      <c r="E52" s="123" t="n"/>
      <c r="F52" s="123" t="n"/>
    </row>
    <row r="53">
      <c r="A53" s="144" t="n"/>
      <c r="B53" s="123" t="n"/>
      <c r="C53" s="123" t="n"/>
      <c r="D53" s="123" t="n"/>
      <c r="E53" s="123" t="n"/>
      <c r="F53" s="123" t="n"/>
    </row>
    <row r="54">
      <c r="A54" s="144" t="n"/>
      <c r="B54" s="123" t="n"/>
      <c r="C54" s="123" t="n"/>
      <c r="D54" s="123" t="n"/>
      <c r="E54" s="123" t="n"/>
      <c r="F54" s="123" t="n"/>
    </row>
    <row r="55">
      <c r="A55" s="144" t="n"/>
      <c r="B55" s="123" t="n"/>
      <c r="C55" s="123" t="n"/>
      <c r="D55" s="123" t="n"/>
      <c r="E55" s="123" t="n"/>
      <c r="F55" s="123" t="n"/>
    </row>
    <row r="56">
      <c r="A56" s="144" t="n"/>
      <c r="B56" s="123" t="n"/>
      <c r="C56" s="123" t="n"/>
      <c r="D56" s="123" t="n"/>
      <c r="E56" s="123" t="n"/>
      <c r="F56" s="123" t="n"/>
    </row>
    <row r="57">
      <c r="A57" s="144" t="n"/>
      <c r="B57" s="123" t="n"/>
      <c r="C57" s="123" t="n"/>
      <c r="D57" s="123" t="n"/>
      <c r="E57" s="123" t="n"/>
      <c r="F57" s="123" t="n"/>
    </row>
    <row r="58">
      <c r="A58" s="144" t="n"/>
      <c r="B58" s="123" t="n"/>
      <c r="C58" s="123" t="n"/>
      <c r="D58" s="123" t="n"/>
      <c r="E58" s="123" t="n"/>
      <c r="F58" s="123" t="n"/>
    </row>
    <row r="59">
      <c r="A59" s="144" t="n"/>
      <c r="B59" s="123" t="n"/>
      <c r="C59" s="123" t="n"/>
      <c r="D59" s="123" t="n"/>
      <c r="E59" s="123" t="n"/>
      <c r="F59" s="123" t="n"/>
    </row>
    <row r="60">
      <c r="A60" s="144" t="n"/>
      <c r="B60" s="123" t="n"/>
      <c r="C60" s="123" t="n"/>
      <c r="D60" s="123" t="n"/>
      <c r="E60" s="123" t="n"/>
      <c r="F60" s="123" t="n"/>
    </row>
    <row r="61">
      <c r="A61" s="144" t="n"/>
      <c r="B61" s="123" t="n"/>
      <c r="C61" s="123" t="n"/>
      <c r="D61" s="123" t="n"/>
      <c r="E61" s="123" t="n"/>
      <c r="F61" s="123" t="n"/>
    </row>
    <row r="62">
      <c r="A62" s="144" t="n"/>
      <c r="B62" s="123" t="n"/>
      <c r="C62" s="123" t="n"/>
      <c r="D62" s="123" t="n"/>
      <c r="E62" s="123" t="n"/>
      <c r="F62" s="123" t="n"/>
    </row>
    <row r="63">
      <c r="A63" s="144" t="n"/>
      <c r="B63" s="123" t="n"/>
      <c r="C63" s="123" t="n"/>
      <c r="D63" s="123" t="n"/>
      <c r="E63" s="123" t="n"/>
      <c r="F63" s="123" t="n"/>
    </row>
    <row r="64">
      <c r="A64" s="144" t="n"/>
      <c r="B64" s="123" t="n"/>
      <c r="C64" s="123" t="n"/>
      <c r="D64" s="123" t="n"/>
      <c r="E64" s="123" t="n"/>
      <c r="F64" s="123" t="n"/>
    </row>
    <row r="65">
      <c r="A65" s="144" t="n"/>
      <c r="B65" s="123" t="n"/>
      <c r="C65" s="123" t="n"/>
      <c r="D65" s="123" t="n"/>
      <c r="E65" s="123" t="n"/>
      <c r="F65" s="123" t="n"/>
    </row>
    <row r="66">
      <c r="A66" s="144" t="n"/>
      <c r="B66" s="123" t="n"/>
      <c r="C66" s="123" t="n"/>
      <c r="D66" s="123" t="n"/>
      <c r="E66" s="123" t="n"/>
      <c r="F66" s="123" t="n"/>
    </row>
    <row r="67">
      <c r="A67" s="144" t="n"/>
      <c r="B67" s="123" t="n"/>
      <c r="C67" s="123" t="n"/>
      <c r="D67" s="123" t="n"/>
      <c r="E67" s="123" t="n"/>
      <c r="F67" s="123" t="n"/>
    </row>
    <row r="68">
      <c r="A68" s="144" t="n"/>
      <c r="B68" s="123" t="n"/>
      <c r="C68" s="123" t="n"/>
      <c r="D68" s="123" t="n"/>
      <c r="E68" s="123" t="n"/>
      <c r="F68" s="123" t="n"/>
    </row>
    <row r="69">
      <c r="A69" s="144" t="n"/>
      <c r="B69" s="123" t="n"/>
      <c r="C69" s="123" t="n"/>
      <c r="D69" s="123" t="n"/>
      <c r="E69" s="123" t="n"/>
      <c r="F69" s="123" t="n"/>
    </row>
    <row r="70">
      <c r="A70" s="144" t="n"/>
      <c r="B70" s="123" t="n"/>
      <c r="C70" s="123" t="n"/>
      <c r="D70" s="123" t="n"/>
      <c r="E70" s="123" t="n"/>
      <c r="F70" s="123" t="n"/>
    </row>
    <row r="71">
      <c r="A71" s="144" t="n"/>
      <c r="B71" s="123" t="n"/>
      <c r="C71" s="123" t="n"/>
      <c r="D71" s="123" t="n"/>
      <c r="E71" s="123" t="n"/>
      <c r="F71" s="123" t="n"/>
    </row>
    <row r="72">
      <c r="A72" s="144" t="n"/>
      <c r="B72" s="123" t="n"/>
      <c r="C72" s="123" t="n"/>
      <c r="D72" s="123" t="n"/>
      <c r="E72" s="123" t="n"/>
      <c r="F72" s="123" t="n"/>
    </row>
    <row r="73">
      <c r="A73" s="144" t="n"/>
      <c r="B73" s="123" t="n"/>
      <c r="C73" s="123" t="n"/>
      <c r="D73" s="123" t="n"/>
      <c r="E73" s="123" t="n"/>
      <c r="F73" s="123" t="n"/>
    </row>
    <row r="74">
      <c r="A74" s="144" t="n"/>
      <c r="B74" s="123" t="n"/>
      <c r="C74" s="123" t="n"/>
      <c r="D74" s="123" t="n"/>
      <c r="E74" s="123" t="n"/>
      <c r="F74" s="123" t="n"/>
    </row>
    <row r="75">
      <c r="A75" s="144" t="n"/>
      <c r="B75" s="123" t="n"/>
      <c r="C75" s="123" t="n"/>
      <c r="D75" s="123" t="n"/>
      <c r="E75" s="123" t="n"/>
      <c r="F75" s="123" t="n"/>
    </row>
    <row r="76">
      <c r="A76" s="144" t="n"/>
      <c r="B76" s="123" t="n"/>
      <c r="C76" s="123" t="n"/>
      <c r="D76" s="123" t="n"/>
      <c r="E76" s="123" t="n"/>
      <c r="F76" s="123" t="n"/>
    </row>
    <row r="77">
      <c r="A77" s="144" t="n"/>
      <c r="B77" s="123" t="n"/>
      <c r="C77" s="123" t="n"/>
      <c r="D77" s="123" t="n"/>
      <c r="E77" s="123" t="n"/>
      <c r="F77" s="123" t="n"/>
    </row>
    <row r="78">
      <c r="A78" s="144" t="n"/>
      <c r="B78" s="123" t="n"/>
      <c r="C78" s="123" t="n"/>
      <c r="D78" s="123" t="n"/>
      <c r="E78" s="123" t="n"/>
      <c r="F78" s="123" t="n"/>
    </row>
    <row r="79">
      <c r="A79" s="144" t="n"/>
      <c r="B79" s="123" t="n"/>
      <c r="C79" s="123" t="n"/>
      <c r="D79" s="123" t="n"/>
      <c r="E79" s="123" t="n"/>
      <c r="F79" s="123" t="n"/>
    </row>
    <row r="80">
      <c r="A80" s="144" t="n"/>
      <c r="B80" s="123" t="n"/>
      <c r="C80" s="123" t="n"/>
      <c r="D80" s="123" t="n"/>
      <c r="E80" s="123" t="n"/>
      <c r="F80" s="123" t="n"/>
    </row>
    <row r="81">
      <c r="A81" s="144" t="n"/>
      <c r="B81" s="123" t="n"/>
      <c r="C81" s="123" t="n"/>
      <c r="D81" s="123" t="n"/>
      <c r="E81" s="123" t="n"/>
      <c r="F81" s="123" t="n"/>
    </row>
    <row r="82">
      <c r="A82" s="144" t="n"/>
      <c r="B82" s="123" t="n"/>
      <c r="C82" s="123" t="n"/>
      <c r="D82" s="123" t="n"/>
      <c r="E82" s="123" t="n"/>
      <c r="F82" s="123" t="n"/>
    </row>
    <row r="83">
      <c r="A83" s="144" t="n"/>
      <c r="B83" s="123" t="n"/>
      <c r="C83" s="123" t="n"/>
      <c r="D83" s="123" t="n"/>
      <c r="E83" s="123" t="n"/>
      <c r="F83" s="123" t="n"/>
    </row>
    <row r="84">
      <c r="A84" s="144" t="n"/>
      <c r="B84" s="123" t="n"/>
      <c r="C84" s="123" t="n"/>
      <c r="D84" s="123" t="n"/>
      <c r="E84" s="123" t="n"/>
      <c r="F84" s="123" t="n"/>
    </row>
    <row r="85">
      <c r="A85" s="144" t="n"/>
      <c r="B85" s="123" t="n"/>
      <c r="C85" s="123" t="n"/>
      <c r="D85" s="123" t="n"/>
      <c r="E85" s="123" t="n"/>
      <c r="F85" s="123" t="n"/>
    </row>
    <row r="86">
      <c r="A86" s="144" t="n"/>
      <c r="B86" s="123" t="n"/>
      <c r="C86" s="123" t="n"/>
      <c r="D86" s="123" t="n"/>
      <c r="E86" s="123" t="n"/>
      <c r="F86" s="123" t="n"/>
    </row>
    <row r="87">
      <c r="A87" s="144" t="n"/>
      <c r="B87" s="123" t="n"/>
      <c r="C87" s="123" t="n"/>
      <c r="D87" s="123" t="n"/>
      <c r="E87" s="123" t="n"/>
      <c r="F87" s="123" t="n"/>
    </row>
    <row r="88">
      <c r="A88" s="144" t="n"/>
      <c r="B88" s="123" t="n"/>
      <c r="C88" s="123" t="n"/>
      <c r="D88" s="123" t="n"/>
      <c r="E88" s="123" t="n"/>
      <c r="F88" s="123" t="n"/>
    </row>
    <row r="89">
      <c r="A89" s="144" t="n"/>
      <c r="B89" s="123" t="n"/>
      <c r="C89" s="123" t="n"/>
      <c r="D89" s="123" t="n"/>
      <c r="E89" s="123" t="n"/>
      <c r="F89" s="123" t="n"/>
    </row>
    <row r="90">
      <c r="A90" s="144" t="n"/>
      <c r="B90" s="123" t="n"/>
      <c r="C90" s="123" t="n"/>
      <c r="D90" s="123" t="n"/>
      <c r="E90" s="123" t="n"/>
      <c r="F90" s="123" t="n"/>
    </row>
    <row r="91">
      <c r="A91" s="144" t="n"/>
      <c r="B91" s="123" t="n"/>
      <c r="C91" s="123" t="n"/>
      <c r="D91" s="123" t="n"/>
      <c r="E91" s="123" t="n"/>
      <c r="F91" s="123" t="n"/>
    </row>
    <row r="92">
      <c r="A92" s="144" t="n"/>
      <c r="B92" s="123" t="n"/>
      <c r="C92" s="123" t="n"/>
      <c r="D92" s="123" t="n"/>
      <c r="E92" s="123" t="n"/>
      <c r="F92" s="123" t="n"/>
    </row>
    <row r="93">
      <c r="A93" s="144" t="n"/>
      <c r="B93" s="123" t="n"/>
      <c r="C93" s="123" t="n"/>
      <c r="D93" s="123" t="n"/>
      <c r="E93" s="123" t="n"/>
      <c r="F93" s="123" t="n"/>
    </row>
    <row r="94">
      <c r="A94" s="144" t="n"/>
      <c r="B94" s="123" t="n"/>
      <c r="C94" s="123" t="n"/>
      <c r="D94" s="123" t="n"/>
      <c r="E94" s="123" t="n"/>
      <c r="F94" s="123" t="n"/>
    </row>
    <row r="95">
      <c r="A95" s="144" t="n"/>
      <c r="B95" s="123" t="n"/>
      <c r="C95" s="123" t="n"/>
      <c r="D95" s="123" t="n"/>
      <c r="E95" s="123" t="n"/>
      <c r="F95" s="123" t="n"/>
    </row>
    <row r="96">
      <c r="A96" s="144" t="n"/>
      <c r="B96" s="123" t="n"/>
      <c r="C96" s="123" t="n"/>
      <c r="D96" s="123" t="n"/>
      <c r="E96" s="123" t="n"/>
      <c r="F96" s="123" t="n"/>
    </row>
    <row r="97">
      <c r="A97" s="144" t="n"/>
      <c r="B97" s="123" t="n"/>
      <c r="C97" s="123" t="n"/>
      <c r="D97" s="123" t="n"/>
      <c r="E97" s="123" t="n"/>
      <c r="F97" s="123" t="n"/>
    </row>
    <row r="98">
      <c r="A98" s="144" t="n"/>
      <c r="B98" s="123" t="n"/>
      <c r="C98" s="123" t="n"/>
      <c r="D98" s="123" t="n"/>
      <c r="E98" s="123" t="n"/>
      <c r="F98" s="123" t="n"/>
    </row>
    <row r="99">
      <c r="A99" s="144" t="n"/>
      <c r="B99" s="123" t="n"/>
      <c r="C99" s="123" t="n"/>
      <c r="D99" s="123" t="n"/>
      <c r="E99" s="123" t="n"/>
      <c r="F99" s="123" t="n"/>
    </row>
    <row r="100">
      <c r="A100" s="144" t="n"/>
      <c r="B100" s="123" t="n"/>
      <c r="C100" s="123" t="n"/>
      <c r="D100" s="123" t="n"/>
      <c r="E100" s="123" t="n"/>
      <c r="F100" s="123" t="n"/>
    </row>
    <row r="101">
      <c r="A101" s="144" t="n"/>
      <c r="B101" s="123" t="n"/>
      <c r="C101" s="123" t="n"/>
      <c r="D101" s="123" t="n"/>
      <c r="E101" s="123" t="n"/>
      <c r="F101" s="123" t="n"/>
    </row>
    <row r="102">
      <c r="A102" s="144" t="n"/>
      <c r="B102" s="123" t="n"/>
      <c r="C102" s="123" t="n"/>
      <c r="D102" s="123" t="n"/>
      <c r="E102" s="123" t="n"/>
      <c r="F102" s="123" t="n"/>
    </row>
    <row r="103">
      <c r="A103" s="144" t="n"/>
      <c r="B103" s="123" t="n"/>
      <c r="C103" s="123" t="n"/>
      <c r="D103" s="123" t="n"/>
      <c r="E103" s="123" t="n"/>
      <c r="F103" s="123" t="n"/>
    </row>
    <row r="104">
      <c r="A104" s="144" t="n"/>
      <c r="B104" s="123" t="n"/>
      <c r="C104" s="123" t="n"/>
      <c r="D104" s="123" t="n"/>
      <c r="E104" s="123" t="n"/>
      <c r="F104" s="123" t="n"/>
    </row>
    <row r="105">
      <c r="A105" s="144" t="n"/>
      <c r="B105" s="123" t="n"/>
      <c r="C105" s="123" t="n"/>
      <c r="D105" s="123" t="n"/>
      <c r="E105" s="123" t="n"/>
      <c r="F105" s="123" t="n"/>
    </row>
    <row r="106">
      <c r="A106" s="144" t="n"/>
      <c r="B106" s="123" t="n"/>
      <c r="C106" s="123" t="n"/>
      <c r="D106" s="123" t="n"/>
      <c r="E106" s="123" t="n"/>
      <c r="F106" s="123" t="n"/>
    </row>
    <row r="107">
      <c r="A107" s="144" t="n"/>
      <c r="B107" s="123" t="n"/>
      <c r="C107" s="123" t="n"/>
      <c r="D107" s="123" t="n"/>
      <c r="E107" s="123" t="n"/>
      <c r="F107" s="123" t="n"/>
    </row>
    <row r="108">
      <c r="A108" s="144" t="n"/>
      <c r="B108" s="123" t="n"/>
      <c r="C108" s="123" t="n"/>
      <c r="D108" s="123" t="n"/>
      <c r="E108" s="123" t="n"/>
      <c r="F108" s="123" t="n"/>
    </row>
    <row r="109">
      <c r="A109" s="144" t="n"/>
      <c r="B109" s="123" t="n"/>
      <c r="C109" s="123" t="n"/>
      <c r="D109" s="123" t="n"/>
      <c r="E109" s="123" t="n"/>
      <c r="F109" s="123" t="n"/>
    </row>
    <row r="110">
      <c r="A110" s="144" t="n"/>
      <c r="B110" s="123" t="n"/>
      <c r="C110" s="123" t="n"/>
      <c r="D110" s="123" t="n"/>
      <c r="E110" s="123" t="n"/>
      <c r="F110" s="123" t="n"/>
    </row>
    <row r="111">
      <c r="A111" s="144" t="n"/>
      <c r="B111" s="123" t="n"/>
      <c r="C111" s="123" t="n"/>
      <c r="D111" s="123" t="n"/>
      <c r="E111" s="123" t="n"/>
      <c r="F111" s="123" t="n"/>
    </row>
    <row r="112">
      <c r="A112" s="144" t="n"/>
      <c r="B112" s="123" t="n"/>
      <c r="C112" s="123" t="n"/>
      <c r="D112" s="123" t="n"/>
      <c r="E112" s="123" t="n"/>
      <c r="F112" s="123" t="n"/>
    </row>
    <row r="113">
      <c r="A113" s="144" t="n"/>
      <c r="B113" s="123" t="n"/>
      <c r="C113" s="123" t="n"/>
      <c r="D113" s="123" t="n"/>
      <c r="E113" s="123" t="n"/>
      <c r="F113" s="123" t="n"/>
    </row>
    <row r="114">
      <c r="A114" s="144" t="n"/>
      <c r="B114" s="123" t="n"/>
      <c r="C114" s="123" t="n"/>
      <c r="D114" s="123" t="n"/>
      <c r="E114" s="123" t="n"/>
      <c r="F114" s="123" t="n"/>
    </row>
    <row r="115">
      <c r="A115" s="144" t="n"/>
      <c r="B115" s="123" t="n"/>
      <c r="C115" s="123" t="n"/>
      <c r="D115" s="123" t="n"/>
      <c r="E115" s="123" t="n"/>
      <c r="F115" s="123" t="n"/>
    </row>
    <row r="116">
      <c r="A116" s="144" t="n"/>
      <c r="B116" s="123" t="n"/>
      <c r="C116" s="123" t="n"/>
      <c r="D116" s="123" t="n"/>
      <c r="E116" s="123" t="n"/>
      <c r="F116" s="123" t="n"/>
    </row>
    <row r="117">
      <c r="A117" s="144" t="n"/>
      <c r="B117" s="123" t="n"/>
      <c r="C117" s="123" t="n"/>
      <c r="D117" s="123" t="n"/>
      <c r="E117" s="123" t="n"/>
      <c r="F117" s="123" t="n"/>
    </row>
    <row r="118">
      <c r="A118" s="144" t="n"/>
      <c r="B118" s="123" t="n"/>
      <c r="C118" s="123" t="n"/>
      <c r="D118" s="123" t="n"/>
      <c r="E118" s="123" t="n"/>
      <c r="F118" s="123" t="n"/>
    </row>
    <row r="119">
      <c r="A119" s="144" t="n"/>
      <c r="B119" s="123" t="n"/>
      <c r="C119" s="123" t="n"/>
      <c r="D119" s="123" t="n"/>
      <c r="E119" s="123" t="n"/>
      <c r="F119" s="123" t="n"/>
    </row>
    <row r="120">
      <c r="A120" s="144" t="n"/>
      <c r="B120" s="123" t="n"/>
      <c r="C120" s="123" t="n"/>
      <c r="D120" s="123" t="n"/>
      <c r="E120" s="123" t="n"/>
      <c r="F120" s="123" t="n"/>
    </row>
    <row r="121">
      <c r="A121" s="144" t="n"/>
      <c r="B121" s="123" t="n"/>
      <c r="C121" s="123" t="n"/>
      <c r="D121" s="123" t="n"/>
      <c r="E121" s="123" t="n"/>
      <c r="F121" s="123" t="n"/>
    </row>
    <row r="122">
      <c r="A122" s="144" t="n"/>
      <c r="B122" s="123" t="n"/>
      <c r="C122" s="123" t="n"/>
      <c r="D122" s="123" t="n"/>
      <c r="E122" s="123" t="n"/>
      <c r="F122" s="123" t="n"/>
    </row>
    <row r="123">
      <c r="A123" s="144" t="n"/>
      <c r="B123" s="123" t="n"/>
      <c r="C123" s="123" t="n"/>
      <c r="D123" s="123" t="n"/>
      <c r="E123" s="123" t="n"/>
      <c r="F123" s="123" t="n"/>
    </row>
    <row r="124">
      <c r="A124" s="144" t="n"/>
      <c r="B124" s="123" t="n"/>
      <c r="C124" s="123" t="n"/>
      <c r="D124" s="123" t="n"/>
      <c r="E124" s="123" t="n"/>
      <c r="F124" s="123" t="n"/>
    </row>
    <row r="125">
      <c r="A125" s="144" t="n"/>
      <c r="B125" s="123" t="n"/>
      <c r="C125" s="123" t="n"/>
      <c r="D125" s="123" t="n"/>
      <c r="E125" s="123" t="n"/>
      <c r="F125" s="123" t="n"/>
    </row>
    <row r="126">
      <c r="A126" s="144" t="n"/>
      <c r="B126" s="123" t="n"/>
      <c r="C126" s="123" t="n"/>
      <c r="D126" s="123" t="n"/>
      <c r="E126" s="123" t="n"/>
      <c r="F126" s="123" t="n"/>
    </row>
    <row r="127">
      <c r="A127" s="144" t="n"/>
      <c r="B127" s="123" t="n"/>
      <c r="C127" s="123" t="n"/>
      <c r="D127" s="123" t="n"/>
      <c r="E127" s="123" t="n"/>
      <c r="F127" s="123" t="n"/>
    </row>
    <row r="128">
      <c r="A128" s="144" t="n"/>
      <c r="B128" s="123" t="n"/>
      <c r="C128" s="123" t="n"/>
      <c r="D128" s="123" t="n"/>
      <c r="E128" s="123" t="n"/>
      <c r="F128" s="123" t="n"/>
    </row>
    <row r="129">
      <c r="A129" s="144" t="n"/>
      <c r="B129" s="123" t="n"/>
      <c r="C129" s="123" t="n"/>
      <c r="D129" s="123" t="n"/>
      <c r="E129" s="123" t="n"/>
      <c r="F129" s="123" t="n"/>
    </row>
    <row r="130">
      <c r="A130" s="144" t="n"/>
      <c r="B130" s="123" t="n"/>
      <c r="C130" s="123" t="n"/>
      <c r="D130" s="123" t="n"/>
      <c r="E130" s="123" t="n"/>
      <c r="F130" s="123" t="n"/>
    </row>
    <row r="131">
      <c r="A131" s="144" t="n"/>
      <c r="B131" s="123" t="n"/>
      <c r="C131" s="123" t="n"/>
      <c r="D131" s="123" t="n"/>
      <c r="E131" s="123" t="n"/>
      <c r="F131" s="123" t="n"/>
    </row>
    <row r="132">
      <c r="A132" s="144" t="n"/>
      <c r="B132" s="123" t="n"/>
      <c r="C132" s="123" t="n"/>
      <c r="D132" s="123" t="n"/>
      <c r="E132" s="123" t="n"/>
      <c r="F132" s="123" t="n"/>
    </row>
    <row r="133">
      <c r="A133" s="144" t="n"/>
      <c r="B133" s="123" t="n"/>
      <c r="C133" s="123" t="n"/>
      <c r="D133" s="123" t="n"/>
      <c r="E133" s="123" t="n"/>
      <c r="F133" s="123" t="n"/>
    </row>
    <row r="134">
      <c r="A134" s="144" t="n"/>
      <c r="B134" s="123" t="n"/>
      <c r="C134" s="123" t="n"/>
      <c r="D134" s="123" t="n"/>
      <c r="E134" s="123" t="n"/>
      <c r="F134" s="123" t="n"/>
    </row>
    <row r="135">
      <c r="A135" s="144" t="n"/>
      <c r="B135" s="123" t="n"/>
      <c r="C135" s="123" t="n"/>
      <c r="D135" s="123" t="n"/>
      <c r="E135" s="123" t="n"/>
      <c r="F135" s="123" t="n"/>
    </row>
    <row r="136">
      <c r="A136" s="144" t="n"/>
      <c r="B136" s="123" t="n"/>
      <c r="C136" s="123" t="n"/>
      <c r="D136" s="123" t="n"/>
      <c r="E136" s="123" t="n"/>
      <c r="F136" s="123" t="n"/>
    </row>
    <row r="137">
      <c r="A137" s="144" t="n"/>
      <c r="B137" s="123" t="n"/>
      <c r="C137" s="123" t="n"/>
      <c r="D137" s="123" t="n"/>
      <c r="E137" s="123" t="n"/>
      <c r="F137" s="123" t="n"/>
    </row>
    <row r="138">
      <c r="A138" s="144" t="n"/>
      <c r="B138" s="123" t="n"/>
      <c r="C138" s="123" t="n"/>
      <c r="D138" s="123" t="n"/>
      <c r="E138" s="123" t="n"/>
      <c r="F138" s="123" t="n"/>
    </row>
    <row r="139">
      <c r="A139" s="144" t="n"/>
      <c r="B139" s="123" t="n"/>
      <c r="C139" s="123" t="n"/>
      <c r="D139" s="123" t="n"/>
      <c r="E139" s="123" t="n"/>
      <c r="F139" s="123" t="n"/>
    </row>
    <row r="140">
      <c r="A140" s="144" t="n"/>
      <c r="B140" s="123" t="n"/>
      <c r="C140" s="123" t="n"/>
      <c r="D140" s="123" t="n"/>
      <c r="E140" s="123" t="n"/>
      <c r="F140" s="123" t="n"/>
    </row>
    <row r="141">
      <c r="A141" s="144" t="n"/>
      <c r="B141" s="123" t="n"/>
      <c r="C141" s="123" t="n"/>
      <c r="D141" s="123" t="n"/>
      <c r="E141" s="123" t="n"/>
      <c r="F141" s="123" t="n"/>
    </row>
    <row r="142">
      <c r="A142" s="144" t="n"/>
      <c r="B142" s="123" t="n"/>
      <c r="C142" s="123" t="n"/>
      <c r="D142" s="123" t="n"/>
      <c r="E142" s="123" t="n"/>
      <c r="F142" s="123" t="n"/>
    </row>
    <row r="143">
      <c r="A143" s="144" t="n"/>
      <c r="B143" s="123" t="n"/>
      <c r="C143" s="123" t="n"/>
      <c r="D143" s="123" t="n"/>
      <c r="E143" s="123" t="n"/>
      <c r="F143" s="123" t="n"/>
    </row>
    <row r="144">
      <c r="A144" s="144" t="n"/>
      <c r="B144" s="123" t="n"/>
      <c r="C144" s="123" t="n"/>
      <c r="D144" s="123" t="n"/>
      <c r="E144" s="123" t="n"/>
      <c r="F144" s="123" t="n"/>
    </row>
    <row r="145">
      <c r="A145" s="144" t="n"/>
      <c r="B145" s="123" t="n"/>
      <c r="C145" s="123" t="n"/>
      <c r="D145" s="123" t="n"/>
      <c r="E145" s="123" t="n"/>
      <c r="F145" s="123" t="n"/>
    </row>
    <row r="146">
      <c r="A146" s="144" t="n"/>
      <c r="B146" s="123" t="n"/>
      <c r="C146" s="123" t="n"/>
      <c r="D146" s="123" t="n"/>
      <c r="E146" s="123" t="n"/>
      <c r="F146" s="123" t="n"/>
    </row>
    <row r="147">
      <c r="A147" s="144" t="n"/>
      <c r="B147" s="123" t="n"/>
      <c r="C147" s="123" t="n"/>
      <c r="D147" s="123" t="n"/>
      <c r="E147" s="123" t="n"/>
      <c r="F147" s="123" t="n"/>
    </row>
    <row r="148">
      <c r="A148" s="144" t="n"/>
      <c r="B148" s="123" t="n"/>
      <c r="C148" s="123" t="n"/>
      <c r="D148" s="123" t="n"/>
      <c r="E148" s="123" t="n"/>
      <c r="F148" s="123" t="n"/>
    </row>
    <row r="149">
      <c r="A149" s="144" t="n"/>
      <c r="B149" s="123" t="n"/>
      <c r="C149" s="123" t="n"/>
      <c r="D149" s="123" t="n"/>
      <c r="E149" s="123" t="n"/>
      <c r="F149" s="123" t="n"/>
    </row>
    <row r="150">
      <c r="A150" s="144" t="n"/>
      <c r="B150" s="123" t="n"/>
      <c r="C150" s="123" t="n"/>
      <c r="D150" s="123" t="n"/>
      <c r="E150" s="123" t="n"/>
      <c r="F150" s="123" t="n"/>
    </row>
    <row r="151">
      <c r="A151" s="144" t="n"/>
      <c r="B151" s="123" t="n"/>
      <c r="C151" s="123" t="n"/>
      <c r="D151" s="123" t="n"/>
      <c r="E151" s="123" t="n"/>
      <c r="F151" s="123" t="n"/>
    </row>
    <row r="152">
      <c r="A152" s="144" t="n"/>
      <c r="B152" s="123" t="n"/>
      <c r="C152" s="123" t="n"/>
      <c r="D152" s="123" t="n"/>
      <c r="E152" s="123" t="n"/>
      <c r="F152" s="123" t="n"/>
    </row>
    <row r="153">
      <c r="A153" s="144" t="n"/>
      <c r="B153" s="123" t="n"/>
      <c r="C153" s="123" t="n"/>
      <c r="D153" s="123" t="n"/>
      <c r="E153" s="123" t="n"/>
      <c r="F153" s="123" t="n"/>
    </row>
    <row r="154">
      <c r="A154" s="144" t="n"/>
      <c r="B154" s="123" t="n"/>
      <c r="C154" s="123" t="n"/>
      <c r="D154" s="123" t="n"/>
      <c r="E154" s="123" t="n"/>
      <c r="F154" s="123" t="n"/>
    </row>
    <row r="155">
      <c r="A155" s="144" t="n"/>
      <c r="B155" s="123" t="n"/>
      <c r="C155" s="123" t="n"/>
      <c r="D155" s="123" t="n"/>
      <c r="E155" s="123" t="n"/>
      <c r="F155" s="123" t="n"/>
    </row>
    <row r="156">
      <c r="A156" s="144" t="n"/>
      <c r="B156" s="123" t="n"/>
      <c r="C156" s="123" t="n"/>
      <c r="D156" s="123" t="n"/>
      <c r="E156" s="123" t="n"/>
      <c r="F156" s="123" t="n"/>
    </row>
    <row r="157">
      <c r="A157" s="144" t="n"/>
      <c r="B157" s="123" t="n"/>
      <c r="C157" s="123" t="n"/>
      <c r="D157" s="123" t="n"/>
      <c r="E157" s="123" t="n"/>
      <c r="F157" s="123" t="n"/>
    </row>
    <row r="158">
      <c r="A158" s="144" t="n"/>
      <c r="B158" s="123" t="n"/>
      <c r="C158" s="123" t="n"/>
      <c r="D158" s="123" t="n"/>
      <c r="E158" s="123" t="n"/>
      <c r="F158" s="123" t="n"/>
    </row>
    <row r="159">
      <c r="A159" s="144" t="n"/>
      <c r="B159" s="123" t="n"/>
      <c r="C159" s="123" t="n"/>
      <c r="D159" s="123" t="n"/>
      <c r="E159" s="123" t="n"/>
      <c r="F159" s="123" t="n"/>
    </row>
    <row r="160">
      <c r="A160" s="144" t="n"/>
      <c r="B160" s="123" t="n"/>
      <c r="C160" s="123" t="n"/>
      <c r="D160" s="123" t="n"/>
      <c r="E160" s="123" t="n"/>
      <c r="F160" s="123" t="n"/>
    </row>
    <row r="161">
      <c r="A161" s="144" t="n"/>
      <c r="B161" s="123" t="n"/>
      <c r="C161" s="123" t="n"/>
      <c r="D161" s="123" t="n"/>
      <c r="E161" s="123" t="n"/>
      <c r="F161" s="123" t="n"/>
    </row>
    <row r="162">
      <c r="A162" s="144" t="n"/>
      <c r="B162" s="123" t="n"/>
      <c r="C162" s="123" t="n"/>
      <c r="D162" s="123" t="n"/>
      <c r="E162" s="123" t="n"/>
      <c r="F162" s="123" t="n"/>
    </row>
    <row r="163">
      <c r="A163" s="144" t="n"/>
      <c r="B163" s="123" t="n"/>
      <c r="C163" s="123" t="n"/>
      <c r="D163" s="123" t="n"/>
      <c r="E163" s="123" t="n"/>
      <c r="F163" s="123" t="n"/>
    </row>
    <row r="164">
      <c r="A164" s="144" t="n"/>
      <c r="B164" s="123" t="n"/>
      <c r="C164" s="123" t="n"/>
      <c r="D164" s="123" t="n"/>
      <c r="E164" s="123" t="n"/>
      <c r="F164" s="123" t="n"/>
    </row>
    <row r="165">
      <c r="A165" s="144" t="n"/>
      <c r="B165" s="123" t="n"/>
      <c r="C165" s="123" t="n"/>
      <c r="D165" s="123" t="n"/>
      <c r="E165" s="123" t="n"/>
      <c r="F165" s="123" t="n"/>
    </row>
    <row r="166">
      <c r="A166" s="144" t="n"/>
      <c r="B166" s="123" t="n"/>
      <c r="C166" s="123" t="n"/>
      <c r="D166" s="123" t="n"/>
      <c r="E166" s="123" t="n"/>
      <c r="F166" s="123" t="n"/>
    </row>
    <row r="167">
      <c r="A167" s="144" t="n"/>
      <c r="B167" s="123" t="n"/>
      <c r="C167" s="123" t="n"/>
      <c r="D167" s="123" t="n"/>
      <c r="E167" s="123" t="n"/>
      <c r="F167" s="123" t="n"/>
    </row>
    <row r="168">
      <c r="A168" s="144" t="n"/>
      <c r="B168" s="123" t="n"/>
      <c r="C168" s="123" t="n"/>
      <c r="D168" s="123" t="n"/>
      <c r="E168" s="123" t="n"/>
      <c r="F168" s="123" t="n"/>
    </row>
    <row r="169">
      <c r="A169" s="144" t="n"/>
      <c r="B169" s="123" t="n"/>
      <c r="C169" s="123" t="n"/>
      <c r="D169" s="123" t="n"/>
      <c r="E169" s="123" t="n"/>
      <c r="F169" s="123" t="n"/>
    </row>
    <row r="170">
      <c r="A170" s="144" t="n"/>
      <c r="B170" s="123" t="n"/>
      <c r="C170" s="123" t="n"/>
      <c r="D170" s="123" t="n"/>
      <c r="E170" s="123" t="n"/>
      <c r="F170" s="123" t="n"/>
    </row>
    <row r="171">
      <c r="A171" s="144" t="n"/>
      <c r="B171" s="123" t="n"/>
      <c r="C171" s="123" t="n"/>
      <c r="D171" s="123" t="n"/>
      <c r="E171" s="123" t="n"/>
      <c r="F171" s="123" t="n"/>
    </row>
    <row r="172">
      <c r="A172" s="144" t="n"/>
      <c r="B172" s="123" t="n"/>
      <c r="C172" s="123" t="n"/>
      <c r="D172" s="123" t="n"/>
      <c r="E172" s="123" t="n"/>
      <c r="F172" s="123" t="n"/>
    </row>
    <row r="173">
      <c r="A173" s="144" t="n"/>
      <c r="B173" s="123" t="n"/>
      <c r="C173" s="123" t="n"/>
      <c r="D173" s="123" t="n"/>
      <c r="E173" s="123" t="n"/>
      <c r="F173" s="123" t="n"/>
    </row>
    <row r="174">
      <c r="A174" s="144" t="n"/>
      <c r="B174" s="123" t="n"/>
      <c r="C174" s="123" t="n"/>
      <c r="D174" s="123" t="n"/>
      <c r="E174" s="123" t="n"/>
      <c r="F174" s="123" t="n"/>
    </row>
    <row r="175">
      <c r="A175" s="144" t="n"/>
      <c r="B175" s="123" t="n"/>
      <c r="C175" s="123" t="n"/>
      <c r="D175" s="123" t="n"/>
      <c r="E175" s="123" t="n"/>
      <c r="F175" s="123" t="n"/>
    </row>
    <row r="176">
      <c r="A176" s="144" t="n"/>
      <c r="B176" s="123" t="n"/>
      <c r="C176" s="123" t="n"/>
      <c r="D176" s="123" t="n"/>
      <c r="E176" s="123" t="n"/>
      <c r="F176" s="123" t="n"/>
    </row>
    <row r="177">
      <c r="A177" s="144" t="n"/>
      <c r="B177" s="123" t="n"/>
      <c r="C177" s="123" t="n"/>
      <c r="D177" s="123" t="n"/>
      <c r="E177" s="123" t="n"/>
      <c r="F177" s="123" t="n"/>
    </row>
    <row r="178">
      <c r="A178" s="144" t="n"/>
      <c r="B178" s="123" t="n"/>
      <c r="C178" s="123" t="n"/>
      <c r="D178" s="123" t="n"/>
      <c r="E178" s="123" t="n"/>
      <c r="F178" s="123" t="n"/>
    </row>
    <row r="179">
      <c r="A179" s="144" t="n"/>
      <c r="B179" s="123" t="n"/>
      <c r="C179" s="123" t="n"/>
      <c r="D179" s="123" t="n"/>
      <c r="E179" s="123" t="n"/>
      <c r="F179" s="123" t="n"/>
    </row>
    <row r="180">
      <c r="A180" s="144" t="n"/>
      <c r="B180" s="123" t="n"/>
      <c r="C180" s="123" t="n"/>
      <c r="D180" s="123" t="n"/>
      <c r="E180" s="123" t="n"/>
      <c r="F180" s="123" t="n"/>
    </row>
    <row r="181">
      <c r="A181" s="144" t="n"/>
      <c r="B181" s="123" t="n"/>
      <c r="C181" s="123" t="n"/>
      <c r="D181" s="123" t="n"/>
      <c r="E181" s="123" t="n"/>
      <c r="F181" s="123" t="n"/>
    </row>
    <row r="182">
      <c r="A182" s="144" t="n"/>
      <c r="B182" s="123" t="n"/>
      <c r="C182" s="123" t="n"/>
      <c r="D182" s="123" t="n"/>
      <c r="E182" s="123" t="n"/>
      <c r="F182" s="123" t="n"/>
    </row>
    <row r="183">
      <c r="A183" s="144" t="n"/>
      <c r="B183" s="123" t="n"/>
      <c r="C183" s="123" t="n"/>
      <c r="D183" s="123" t="n"/>
      <c r="E183" s="123" t="n"/>
      <c r="F183" s="123" t="n"/>
    </row>
    <row r="184">
      <c r="A184" s="144" t="n"/>
      <c r="B184" s="123" t="n"/>
      <c r="C184" s="123" t="n"/>
      <c r="D184" s="123" t="n"/>
      <c r="E184" s="123" t="n"/>
      <c r="F184" s="123" t="n"/>
    </row>
    <row r="185">
      <c r="A185" s="144" t="n"/>
      <c r="B185" s="123" t="n"/>
      <c r="C185" s="123" t="n"/>
      <c r="D185" s="123" t="n"/>
      <c r="E185" s="123" t="n"/>
      <c r="F185" s="123" t="n"/>
    </row>
    <row r="186">
      <c r="A186" s="144" t="n"/>
      <c r="B186" s="123" t="n"/>
      <c r="C186" s="123" t="n"/>
      <c r="D186" s="123" t="n"/>
      <c r="E186" s="123" t="n"/>
      <c r="F186" s="123" t="n"/>
    </row>
    <row r="187">
      <c r="A187" s="144" t="n"/>
      <c r="B187" s="123" t="n"/>
      <c r="C187" s="123" t="n"/>
      <c r="D187" s="123" t="n"/>
      <c r="E187" s="123" t="n"/>
      <c r="F187" s="123" t="n"/>
    </row>
    <row r="188">
      <c r="A188" s="144" t="n"/>
      <c r="B188" s="123" t="n"/>
      <c r="C188" s="123" t="n"/>
      <c r="D188" s="123" t="n"/>
      <c r="E188" s="123" t="n"/>
      <c r="F188" s="123" t="n"/>
    </row>
    <row r="189">
      <c r="A189" s="144" t="n"/>
      <c r="B189" s="123" t="n"/>
      <c r="C189" s="123" t="n"/>
      <c r="D189" s="123" t="n"/>
      <c r="E189" s="123" t="n"/>
      <c r="F189" s="123" t="n"/>
    </row>
    <row r="190">
      <c r="A190" s="144" t="n"/>
      <c r="B190" s="123" t="n"/>
      <c r="C190" s="123" t="n"/>
      <c r="D190" s="123" t="n"/>
      <c r="E190" s="123" t="n"/>
      <c r="F190" s="123" t="n"/>
    </row>
    <row r="191">
      <c r="A191" s="144" t="n"/>
      <c r="B191" s="123" t="n"/>
      <c r="C191" s="123" t="n"/>
      <c r="D191" s="123" t="n"/>
      <c r="E191" s="123" t="n"/>
      <c r="F191" s="123" t="n"/>
    </row>
    <row r="192">
      <c r="A192" s="144" t="n"/>
      <c r="B192" s="123" t="n"/>
      <c r="C192" s="123" t="n"/>
      <c r="D192" s="123" t="n"/>
      <c r="E192" s="123" t="n"/>
      <c r="F192" s="123" t="n"/>
    </row>
    <row r="193">
      <c r="A193" s="144" t="n"/>
      <c r="B193" s="123" t="n"/>
      <c r="C193" s="123" t="n"/>
      <c r="D193" s="123" t="n"/>
      <c r="E193" s="123" t="n"/>
      <c r="F193" s="123" t="n"/>
    </row>
    <row r="194">
      <c r="A194" s="144" t="n"/>
      <c r="B194" s="123" t="n"/>
      <c r="C194" s="123" t="n"/>
      <c r="D194" s="123" t="n"/>
      <c r="E194" s="123" t="n"/>
      <c r="F194" s="123" t="n"/>
    </row>
    <row r="195">
      <c r="A195" s="144" t="n"/>
      <c r="B195" s="123" t="n"/>
      <c r="C195" s="123" t="n"/>
      <c r="D195" s="123" t="n"/>
      <c r="E195" s="123" t="n"/>
      <c r="F195" s="123" t="n"/>
    </row>
    <row r="196">
      <c r="A196" s="144" t="n"/>
      <c r="B196" s="123" t="n"/>
      <c r="C196" s="123" t="n"/>
      <c r="D196" s="123" t="n"/>
      <c r="E196" s="123" t="n"/>
      <c r="F196" s="123" t="n"/>
    </row>
    <row r="197">
      <c r="A197" s="144" t="n"/>
      <c r="B197" s="123" t="n"/>
      <c r="C197" s="123" t="n"/>
      <c r="D197" s="123" t="n"/>
      <c r="E197" s="123" t="n"/>
      <c r="F197" s="123" t="n"/>
    </row>
    <row r="198">
      <c r="A198" s="144" t="n"/>
      <c r="B198" s="123" t="n"/>
      <c r="C198" s="123" t="n"/>
      <c r="D198" s="123" t="n"/>
      <c r="E198" s="123" t="n"/>
      <c r="F198" s="123" t="n"/>
    </row>
    <row r="199">
      <c r="A199" s="144" t="n"/>
      <c r="B199" s="123" t="n"/>
      <c r="C199" s="123" t="n"/>
      <c r="D199" s="123" t="n"/>
      <c r="E199" s="123" t="n"/>
      <c r="F199" s="123" t="n"/>
    </row>
    <row r="200">
      <c r="A200" s="144" t="n"/>
      <c r="B200" s="123" t="n"/>
      <c r="C200" s="123" t="n"/>
      <c r="D200" s="123" t="n"/>
      <c r="E200" s="123" t="n"/>
      <c r="F200" s="123" t="n"/>
    </row>
    <row r="201">
      <c r="A201" s="144" t="n"/>
      <c r="B201" s="123" t="n"/>
      <c r="C201" s="123" t="n"/>
      <c r="D201" s="123" t="n"/>
      <c r="E201" s="123" t="n"/>
      <c r="F201" s="123" t="n"/>
    </row>
    <row r="202">
      <c r="A202" s="144" t="n"/>
      <c r="B202" s="123" t="n"/>
      <c r="C202" s="123" t="n"/>
      <c r="D202" s="123" t="n"/>
      <c r="E202" s="123" t="n"/>
      <c r="F202" s="123" t="n"/>
    </row>
    <row r="203">
      <c r="A203" s="144" t="n"/>
      <c r="B203" s="123" t="n"/>
      <c r="C203" s="123" t="n"/>
      <c r="D203" s="123" t="n"/>
      <c r="E203" s="123" t="n"/>
      <c r="F203" s="123" t="n"/>
    </row>
    <row r="204">
      <c r="A204" s="144" t="n"/>
      <c r="B204" s="123" t="n"/>
      <c r="C204" s="123" t="n"/>
      <c r="D204" s="123" t="n"/>
      <c r="E204" s="123" t="n"/>
      <c r="F204" s="123" t="n"/>
    </row>
    <row r="205">
      <c r="A205" s="144" t="n"/>
      <c r="B205" s="123" t="n"/>
      <c r="C205" s="123" t="n"/>
      <c r="D205" s="123" t="n"/>
      <c r="E205" s="123" t="n"/>
      <c r="F205" s="123" t="n"/>
    </row>
    <row r="206">
      <c r="A206" s="144" t="n"/>
      <c r="B206" s="123" t="n"/>
      <c r="C206" s="123" t="n"/>
      <c r="D206" s="123" t="n"/>
      <c r="E206" s="123" t="n"/>
      <c r="F206" s="123" t="n"/>
    </row>
    <row r="207">
      <c r="A207" s="144" t="n"/>
      <c r="B207" s="123" t="n"/>
      <c r="C207" s="123" t="n"/>
      <c r="D207" s="123" t="n"/>
      <c r="E207" s="123" t="n"/>
      <c r="F207" s="123" t="n"/>
    </row>
    <row r="208">
      <c r="A208" s="144" t="n"/>
      <c r="B208" s="123" t="n"/>
      <c r="C208" s="123" t="n"/>
      <c r="D208" s="123" t="n"/>
      <c r="E208" s="123" t="n"/>
      <c r="F208" s="123" t="n"/>
    </row>
    <row r="209">
      <c r="A209" s="144" t="n"/>
      <c r="B209" s="123" t="n"/>
      <c r="C209" s="123" t="n"/>
      <c r="D209" s="123" t="n"/>
      <c r="E209" s="123" t="n"/>
      <c r="F209" s="123" t="n"/>
    </row>
    <row r="210">
      <c r="A210" s="144" t="n"/>
      <c r="B210" s="123" t="n"/>
      <c r="C210" s="123" t="n"/>
      <c r="D210" s="123" t="n"/>
      <c r="E210" s="123" t="n"/>
      <c r="F210" s="123" t="n"/>
    </row>
    <row r="211">
      <c r="A211" s="144" t="n"/>
      <c r="B211" s="123" t="n"/>
      <c r="C211" s="123" t="n"/>
      <c r="D211" s="123" t="n"/>
      <c r="E211" s="123" t="n"/>
      <c r="F211" s="123" t="n"/>
    </row>
    <row r="212">
      <c r="A212" s="144" t="n"/>
      <c r="B212" s="123" t="n"/>
      <c r="C212" s="123" t="n"/>
      <c r="D212" s="123" t="n"/>
      <c r="E212" s="123" t="n"/>
      <c r="F212" s="123" t="n"/>
    </row>
    <row r="213">
      <c r="A213" s="144" t="n"/>
      <c r="B213" s="123" t="n"/>
      <c r="C213" s="123" t="n"/>
      <c r="D213" s="123" t="n"/>
      <c r="E213" s="123" t="n"/>
      <c r="F213" s="123" t="n"/>
    </row>
    <row r="214">
      <c r="A214" s="144" t="n"/>
      <c r="B214" s="123" t="n"/>
      <c r="C214" s="123" t="n"/>
      <c r="D214" s="123" t="n"/>
      <c r="E214" s="123" t="n"/>
      <c r="F214" s="123" t="n"/>
    </row>
    <row r="215">
      <c r="A215" s="144" t="n"/>
      <c r="B215" s="123" t="n"/>
      <c r="C215" s="123" t="n"/>
      <c r="D215" s="123" t="n"/>
      <c r="E215" s="123" t="n"/>
      <c r="F215" s="123" t="n"/>
    </row>
    <row r="216">
      <c r="A216" s="144" t="n"/>
      <c r="B216" s="123" t="n"/>
      <c r="C216" s="123" t="n"/>
      <c r="D216" s="123" t="n"/>
      <c r="E216" s="123" t="n"/>
      <c r="F216" s="123" t="n"/>
    </row>
    <row r="217">
      <c r="A217" s="144" t="n"/>
      <c r="B217" s="123" t="n"/>
      <c r="C217" s="123" t="n"/>
      <c r="D217" s="123" t="n"/>
      <c r="E217" s="123" t="n"/>
      <c r="F217" s="123" t="n"/>
    </row>
    <row r="218">
      <c r="A218" s="144" t="n"/>
      <c r="B218" s="123" t="n"/>
      <c r="C218" s="123" t="n"/>
      <c r="D218" s="123" t="n"/>
      <c r="E218" s="123" t="n"/>
      <c r="F218" s="123" t="n"/>
    </row>
    <row r="219">
      <c r="A219" s="144" t="n"/>
      <c r="B219" s="123" t="n"/>
      <c r="C219" s="123" t="n"/>
      <c r="D219" s="123" t="n"/>
      <c r="E219" s="123" t="n"/>
      <c r="F219" s="123" t="n"/>
    </row>
    <row r="220">
      <c r="A220" s="144" t="n"/>
      <c r="B220" s="123" t="n"/>
      <c r="C220" s="123" t="n"/>
      <c r="D220" s="123" t="n"/>
      <c r="E220" s="123" t="n"/>
      <c r="F220" s="123" t="n"/>
    </row>
    <row r="221">
      <c r="A221" s="144" t="n"/>
      <c r="B221" s="123" t="n"/>
      <c r="C221" s="123" t="n"/>
      <c r="D221" s="123" t="n"/>
      <c r="E221" s="123" t="n"/>
      <c r="F221" s="123" t="n"/>
    </row>
    <row r="222">
      <c r="A222" s="144" t="n"/>
      <c r="B222" s="123" t="n"/>
      <c r="C222" s="123" t="n"/>
      <c r="D222" s="123" t="n"/>
      <c r="E222" s="123" t="n"/>
      <c r="F222" s="123" t="n"/>
    </row>
    <row r="223">
      <c r="A223" s="144" t="n"/>
      <c r="B223" s="123" t="n"/>
      <c r="C223" s="123" t="n"/>
      <c r="D223" s="123" t="n"/>
      <c r="E223" s="123" t="n"/>
      <c r="F223" s="123" t="n"/>
    </row>
    <row r="224">
      <c r="A224" s="144" t="n"/>
      <c r="B224" s="123" t="n"/>
      <c r="C224" s="123" t="n"/>
      <c r="D224" s="123" t="n"/>
      <c r="E224" s="123" t="n"/>
      <c r="F224" s="123" t="n"/>
    </row>
    <row r="225">
      <c r="A225" s="144" t="n"/>
      <c r="B225" s="123" t="n"/>
      <c r="C225" s="123" t="n"/>
      <c r="D225" s="123" t="n"/>
      <c r="E225" s="123" t="n"/>
      <c r="F225" s="123" t="n"/>
    </row>
    <row r="226">
      <c r="A226" s="144" t="n"/>
      <c r="B226" s="123" t="n"/>
      <c r="C226" s="123" t="n"/>
      <c r="D226" s="123" t="n"/>
      <c r="E226" s="123" t="n"/>
      <c r="F226" s="123" t="n"/>
    </row>
    <row r="227">
      <c r="A227" s="144" t="n"/>
      <c r="B227" s="123" t="n"/>
      <c r="C227" s="123" t="n"/>
      <c r="D227" s="123" t="n"/>
      <c r="E227" s="123" t="n"/>
      <c r="F227" s="123" t="n"/>
    </row>
    <row r="228">
      <c r="A228" s="144" t="n"/>
      <c r="B228" s="123" t="n"/>
      <c r="C228" s="123" t="n"/>
      <c r="D228" s="123" t="n"/>
      <c r="E228" s="123" t="n"/>
      <c r="F228" s="123" t="n"/>
    </row>
    <row r="229">
      <c r="A229" s="144" t="n"/>
      <c r="B229" s="123" t="n"/>
      <c r="C229" s="123" t="n"/>
      <c r="D229" s="123" t="n"/>
      <c r="E229" s="123" t="n"/>
      <c r="F229" s="123" t="n"/>
    </row>
    <row r="230">
      <c r="A230" s="144" t="n"/>
      <c r="B230" s="123" t="n"/>
      <c r="C230" s="123" t="n"/>
      <c r="D230" s="123" t="n"/>
      <c r="E230" s="123" t="n"/>
      <c r="F230" s="123" t="n"/>
    </row>
    <row r="231">
      <c r="A231" s="144" t="n"/>
      <c r="B231" s="123" t="n"/>
      <c r="C231" s="123" t="n"/>
      <c r="D231" s="123" t="n"/>
      <c r="E231" s="123" t="n"/>
      <c r="F231" s="123" t="n"/>
    </row>
    <row r="232">
      <c r="A232" s="144" t="n"/>
      <c r="B232" s="123" t="n"/>
      <c r="C232" s="123" t="n"/>
      <c r="D232" s="123" t="n"/>
      <c r="E232" s="123" t="n"/>
      <c r="F232" s="123" t="n"/>
    </row>
    <row r="233">
      <c r="A233" s="144" t="n"/>
      <c r="B233" s="123" t="n"/>
      <c r="C233" s="123" t="n"/>
      <c r="D233" s="123" t="n"/>
      <c r="E233" s="123" t="n"/>
      <c r="F233" s="123" t="n"/>
    </row>
    <row r="234">
      <c r="A234" s="144" t="n"/>
      <c r="B234" s="123" t="n"/>
      <c r="C234" s="123" t="n"/>
      <c r="D234" s="123" t="n"/>
      <c r="E234" s="123" t="n"/>
      <c r="F234" s="123" t="n"/>
    </row>
    <row r="235">
      <c r="A235" s="144" t="n"/>
      <c r="B235" s="123" t="n"/>
      <c r="C235" s="123" t="n"/>
      <c r="D235" s="123" t="n"/>
      <c r="E235" s="123" t="n"/>
      <c r="F235" s="123" t="n"/>
    </row>
    <row r="236">
      <c r="A236" s="144" t="n"/>
      <c r="B236" s="123" t="n"/>
      <c r="C236" s="123" t="n"/>
      <c r="D236" s="123" t="n"/>
      <c r="E236" s="123" t="n"/>
      <c r="F236" s="123" t="n"/>
    </row>
    <row r="237">
      <c r="A237" s="144" t="n"/>
      <c r="B237" s="123" t="n"/>
      <c r="C237" s="123" t="n"/>
      <c r="D237" s="123" t="n"/>
      <c r="E237" s="123" t="n"/>
      <c r="F237" s="123" t="n"/>
    </row>
    <row r="238">
      <c r="A238" s="144" t="n"/>
      <c r="B238" s="123" t="n"/>
      <c r="C238" s="123" t="n"/>
      <c r="D238" s="123" t="n"/>
      <c r="E238" s="123" t="n"/>
      <c r="F238" s="123" t="n"/>
    </row>
    <row r="239">
      <c r="A239" s="144" t="n"/>
      <c r="B239" s="123" t="n"/>
      <c r="C239" s="123" t="n"/>
      <c r="D239" s="123" t="n"/>
      <c r="E239" s="123" t="n"/>
      <c r="F239" s="123" t="n"/>
    </row>
    <row r="240">
      <c r="A240" s="144" t="n"/>
      <c r="B240" s="123" t="n"/>
      <c r="C240" s="123" t="n"/>
      <c r="D240" s="123" t="n"/>
      <c r="E240" s="123" t="n"/>
      <c r="F240" s="123" t="n"/>
    </row>
    <row r="241">
      <c r="A241" s="144" t="n"/>
      <c r="B241" s="123" t="n"/>
      <c r="C241" s="123" t="n"/>
      <c r="D241" s="123" t="n"/>
      <c r="E241" s="123" t="n"/>
      <c r="F241" s="123" t="n"/>
    </row>
    <row r="242">
      <c r="A242" s="144" t="n"/>
      <c r="B242" s="123" t="n"/>
      <c r="C242" s="123" t="n"/>
      <c r="D242" s="123" t="n"/>
      <c r="E242" s="123" t="n"/>
      <c r="F242" s="123" t="n"/>
    </row>
    <row r="243">
      <c r="A243" s="144" t="n"/>
      <c r="B243" s="123" t="n"/>
      <c r="C243" s="123" t="n"/>
      <c r="D243" s="123" t="n"/>
      <c r="E243" s="123" t="n"/>
      <c r="F243" s="123" t="n"/>
    </row>
    <row r="244">
      <c r="A244" s="144" t="n"/>
      <c r="B244" s="123" t="n"/>
      <c r="C244" s="123" t="n"/>
      <c r="D244" s="123" t="n"/>
      <c r="E244" s="123" t="n"/>
      <c r="F244" s="123" t="n"/>
    </row>
    <row r="245">
      <c r="A245" s="144" t="n"/>
      <c r="B245" s="123" t="n"/>
      <c r="C245" s="123" t="n"/>
      <c r="D245" s="123" t="n"/>
      <c r="E245" s="123" t="n"/>
      <c r="F245" s="123" t="n"/>
    </row>
    <row r="246">
      <c r="A246" s="144" t="n"/>
      <c r="B246" s="123" t="n"/>
      <c r="C246" s="123" t="n"/>
      <c r="D246" s="123" t="n"/>
      <c r="E246" s="123" t="n"/>
      <c r="F246" s="123" t="n"/>
    </row>
    <row r="247">
      <c r="A247" s="144" t="n"/>
      <c r="B247" s="123" t="n"/>
      <c r="C247" s="123" t="n"/>
      <c r="D247" s="123" t="n"/>
      <c r="E247" s="123" t="n"/>
      <c r="F247" s="123" t="n"/>
    </row>
    <row r="248">
      <c r="A248" s="144" t="n"/>
      <c r="B248" s="123" t="n"/>
      <c r="C248" s="123" t="n"/>
      <c r="D248" s="123" t="n"/>
      <c r="E248" s="123" t="n"/>
      <c r="F248" s="123" t="n"/>
    </row>
    <row r="249">
      <c r="A249" s="144" t="n"/>
      <c r="B249" s="123" t="n"/>
      <c r="C249" s="123" t="n"/>
      <c r="D249" s="123" t="n"/>
      <c r="E249" s="123" t="n"/>
      <c r="F249" s="123" t="n"/>
    </row>
    <row r="250">
      <c r="A250" s="144" t="n"/>
      <c r="B250" s="123" t="n"/>
      <c r="C250" s="123" t="n"/>
      <c r="D250" s="123" t="n"/>
      <c r="E250" s="123" t="n"/>
      <c r="F250" s="123" t="n"/>
    </row>
    <row r="251">
      <c r="A251" s="144" t="n"/>
      <c r="B251" s="123" t="n"/>
      <c r="C251" s="123" t="n"/>
      <c r="D251" s="123" t="n"/>
      <c r="E251" s="123" t="n"/>
      <c r="F251" s="123" t="n"/>
    </row>
    <row r="252">
      <c r="A252" s="144" t="n"/>
      <c r="B252" s="123" t="n"/>
      <c r="C252" s="123" t="n"/>
      <c r="D252" s="123" t="n"/>
      <c r="E252" s="123" t="n"/>
      <c r="F252" s="123" t="n"/>
    </row>
    <row r="253">
      <c r="A253" s="144" t="n"/>
      <c r="B253" s="123" t="n"/>
      <c r="C253" s="123" t="n"/>
      <c r="D253" s="123" t="n"/>
      <c r="E253" s="123" t="n"/>
      <c r="F253" s="123" t="n"/>
    </row>
    <row r="254">
      <c r="A254" s="144" t="n"/>
      <c r="B254" s="123" t="n"/>
      <c r="C254" s="123" t="n"/>
      <c r="D254" s="123" t="n"/>
      <c r="E254" s="123" t="n"/>
      <c r="F254" s="123" t="n"/>
    </row>
    <row r="255">
      <c r="A255" s="144" t="n"/>
      <c r="B255" s="123" t="n"/>
      <c r="C255" s="123" t="n"/>
      <c r="D255" s="123" t="n"/>
      <c r="E255" s="123" t="n"/>
      <c r="F255" s="123" t="n"/>
    </row>
    <row r="256">
      <c r="A256" s="144" t="n"/>
      <c r="B256" s="123" t="n"/>
      <c r="C256" s="123" t="n"/>
      <c r="D256" s="123" t="n"/>
      <c r="E256" s="123" t="n"/>
      <c r="F256" s="123" t="n"/>
    </row>
    <row r="257">
      <c r="A257" s="144" t="n"/>
      <c r="B257" s="123" t="n"/>
      <c r="C257" s="123" t="n"/>
      <c r="D257" s="123" t="n"/>
      <c r="E257" s="123" t="n"/>
      <c r="F257" s="123" t="n"/>
    </row>
    <row r="258">
      <c r="A258" s="144" t="n"/>
      <c r="B258" s="123" t="n"/>
      <c r="C258" s="123" t="n"/>
      <c r="D258" s="123" t="n"/>
      <c r="E258" s="123" t="n"/>
      <c r="F258" s="123" t="n"/>
    </row>
    <row r="259">
      <c r="A259" s="144" t="n"/>
      <c r="B259" s="123" t="n"/>
      <c r="C259" s="123" t="n"/>
      <c r="D259" s="123" t="n"/>
      <c r="E259" s="123" t="n"/>
      <c r="F259" s="123" t="n"/>
    </row>
    <row r="260">
      <c r="A260" s="144" t="n"/>
      <c r="B260" s="123" t="n"/>
      <c r="C260" s="123" t="n"/>
      <c r="D260" s="123" t="n"/>
      <c r="E260" s="123" t="n"/>
      <c r="F260" s="123" t="n"/>
    </row>
    <row r="261">
      <c r="A261" s="144" t="n"/>
      <c r="B261" s="123" t="n"/>
      <c r="C261" s="123" t="n"/>
      <c r="D261" s="123" t="n"/>
      <c r="E261" s="123" t="n"/>
      <c r="F261" s="123" t="n"/>
    </row>
    <row r="262">
      <c r="A262" s="144" t="n"/>
      <c r="B262" s="123" t="n"/>
      <c r="C262" s="123" t="n"/>
      <c r="D262" s="123" t="n"/>
      <c r="E262" s="123" t="n"/>
      <c r="F262" s="123" t="n"/>
    </row>
    <row r="263">
      <c r="A263" s="144" t="n"/>
      <c r="B263" s="123" t="n"/>
      <c r="C263" s="123" t="n"/>
      <c r="D263" s="123" t="n"/>
      <c r="E263" s="123" t="n"/>
      <c r="F263" s="123" t="n"/>
    </row>
    <row r="264">
      <c r="A264" s="144" t="n"/>
      <c r="B264" s="123" t="n"/>
      <c r="C264" s="123" t="n"/>
      <c r="D264" s="123" t="n"/>
      <c r="E264" s="123" t="n"/>
      <c r="F264" s="123" t="n"/>
    </row>
    <row r="265">
      <c r="A265" s="144" t="n"/>
      <c r="B265" s="123" t="n"/>
      <c r="C265" s="123" t="n"/>
      <c r="D265" s="123" t="n"/>
      <c r="E265" s="123" t="n"/>
      <c r="F265" s="123" t="n"/>
    </row>
    <row r="266">
      <c r="A266" s="144" t="n"/>
      <c r="B266" s="123" t="n"/>
      <c r="C266" s="123" t="n"/>
      <c r="D266" s="123" t="n"/>
      <c r="E266" s="123" t="n"/>
      <c r="F266" s="123" t="n"/>
    </row>
    <row r="267">
      <c r="A267" s="144" t="n"/>
      <c r="B267" s="123" t="n"/>
      <c r="C267" s="123" t="n"/>
      <c r="D267" s="123" t="n"/>
      <c r="E267" s="123" t="n"/>
      <c r="F267" s="123" t="n"/>
    </row>
    <row r="268">
      <c r="A268" s="144" t="n"/>
      <c r="B268" s="123" t="n"/>
      <c r="C268" s="123" t="n"/>
      <c r="D268" s="123" t="n"/>
      <c r="E268" s="123" t="n"/>
      <c r="F268" s="123" t="n"/>
    </row>
    <row r="269">
      <c r="A269" s="144" t="n"/>
      <c r="B269" s="123" t="n"/>
      <c r="C269" s="123" t="n"/>
      <c r="D269" s="123" t="n"/>
      <c r="E269" s="123" t="n"/>
      <c r="F269" s="123" t="n"/>
    </row>
    <row r="270">
      <c r="A270" s="144" t="n"/>
      <c r="B270" s="123" t="n"/>
      <c r="C270" s="123" t="n"/>
      <c r="D270" s="123" t="n"/>
      <c r="E270" s="123" t="n"/>
      <c r="F270" s="123" t="n"/>
    </row>
    <row r="271">
      <c r="A271" s="144" t="n"/>
      <c r="B271" s="123" t="n"/>
      <c r="C271" s="123" t="n"/>
      <c r="D271" s="123" t="n"/>
      <c r="E271" s="123" t="n"/>
      <c r="F271" s="123" t="n"/>
    </row>
    <row r="272">
      <c r="A272" s="144" t="n"/>
      <c r="B272" s="123" t="n"/>
      <c r="C272" s="123" t="n"/>
      <c r="D272" s="123" t="n"/>
      <c r="E272" s="123" t="n"/>
      <c r="F272" s="123" t="n"/>
    </row>
    <row r="273">
      <c r="A273" s="144" t="n"/>
      <c r="B273" s="123" t="n"/>
      <c r="C273" s="123" t="n"/>
      <c r="D273" s="123" t="n"/>
      <c r="E273" s="123" t="n"/>
      <c r="F273" s="123" t="n"/>
    </row>
    <row r="274">
      <c r="A274" s="144" t="n"/>
      <c r="B274" s="123" t="n"/>
      <c r="C274" s="123" t="n"/>
      <c r="D274" s="123" t="n"/>
      <c r="E274" s="123" t="n"/>
      <c r="F274" s="123" t="n"/>
    </row>
    <row r="275">
      <c r="A275" s="144" t="n"/>
      <c r="B275" s="123" t="n"/>
      <c r="C275" s="123" t="n"/>
      <c r="D275" s="123" t="n"/>
      <c r="E275" s="123" t="n"/>
      <c r="F275" s="123" t="n"/>
    </row>
    <row r="276">
      <c r="A276" s="144" t="n"/>
      <c r="B276" s="123" t="n"/>
      <c r="C276" s="123" t="n"/>
      <c r="D276" s="123" t="n"/>
      <c r="E276" s="123" t="n"/>
      <c r="F276" s="123" t="n"/>
    </row>
    <row r="277">
      <c r="A277" s="144" t="n"/>
      <c r="B277" s="123" t="n"/>
      <c r="C277" s="123" t="n"/>
      <c r="D277" s="123" t="n"/>
      <c r="E277" s="123" t="n"/>
      <c r="F277" s="123" t="n"/>
    </row>
    <row r="278">
      <c r="A278" s="144" t="n"/>
      <c r="B278" s="123" t="n"/>
      <c r="C278" s="123" t="n"/>
      <c r="D278" s="123" t="n"/>
      <c r="E278" s="123" t="n"/>
      <c r="F278" s="123" t="n"/>
    </row>
    <row r="279">
      <c r="A279" s="144" t="n"/>
      <c r="B279" s="123" t="n"/>
      <c r="C279" s="123" t="n"/>
      <c r="D279" s="123" t="n"/>
      <c r="E279" s="123" t="n"/>
      <c r="F279" s="123" t="n"/>
    </row>
    <row r="280">
      <c r="A280" s="144" t="n"/>
      <c r="B280" s="123" t="n"/>
      <c r="C280" s="123" t="n"/>
      <c r="D280" s="123" t="n"/>
      <c r="E280" s="123" t="n"/>
      <c r="F280" s="123" t="n"/>
    </row>
    <row r="281">
      <c r="A281" s="144" t="n"/>
      <c r="B281" s="123" t="n"/>
      <c r="C281" s="123" t="n"/>
      <c r="D281" s="123" t="n"/>
      <c r="E281" s="123" t="n"/>
      <c r="F281" s="123" t="n"/>
    </row>
    <row r="282">
      <c r="A282" s="144" t="n"/>
      <c r="B282" s="123" t="n"/>
      <c r="C282" s="123" t="n"/>
      <c r="D282" s="123" t="n"/>
      <c r="E282" s="123" t="n"/>
      <c r="F282" s="123" t="n"/>
    </row>
    <row r="283">
      <c r="A283" s="144" t="n"/>
      <c r="B283" s="123" t="n"/>
      <c r="C283" s="123" t="n"/>
      <c r="D283" s="123" t="n"/>
      <c r="E283" s="123" t="n"/>
      <c r="F283" s="123" t="n"/>
    </row>
    <row r="284">
      <c r="A284" s="144" t="n"/>
      <c r="B284" s="123" t="n"/>
      <c r="C284" s="123" t="n"/>
      <c r="D284" s="123" t="n"/>
      <c r="E284" s="123" t="n"/>
      <c r="F284" s="123" t="n"/>
    </row>
    <row r="285">
      <c r="A285" s="144" t="n"/>
      <c r="B285" s="123" t="n"/>
      <c r="C285" s="123" t="n"/>
      <c r="D285" s="123" t="n"/>
      <c r="E285" s="123" t="n"/>
      <c r="F285" s="123" t="n"/>
    </row>
    <row r="286">
      <c r="A286" s="144" t="n"/>
      <c r="B286" s="123" t="n"/>
      <c r="C286" s="123" t="n"/>
      <c r="D286" s="123" t="n"/>
      <c r="E286" s="123" t="n"/>
      <c r="F286" s="123" t="n"/>
    </row>
    <row r="287">
      <c r="A287" s="144" t="n"/>
      <c r="B287" s="123" t="n"/>
      <c r="C287" s="123" t="n"/>
      <c r="D287" s="123" t="n"/>
      <c r="E287" s="123" t="n"/>
      <c r="F287" s="123" t="n"/>
    </row>
    <row r="288">
      <c r="A288" s="144" t="n"/>
      <c r="B288" s="123" t="n"/>
      <c r="C288" s="123" t="n"/>
      <c r="D288" s="123" t="n"/>
      <c r="E288" s="123" t="n"/>
      <c r="F288" s="123" t="n"/>
    </row>
    <row r="289">
      <c r="A289" s="144" t="n"/>
      <c r="B289" s="123" t="n"/>
      <c r="C289" s="123" t="n"/>
      <c r="D289" s="123" t="n"/>
      <c r="E289" s="123" t="n"/>
      <c r="F289" s="123" t="n"/>
    </row>
    <row r="290">
      <c r="A290" s="144" t="n"/>
      <c r="B290" s="123" t="n"/>
      <c r="C290" s="123" t="n"/>
      <c r="D290" s="123" t="n"/>
      <c r="E290" s="123" t="n"/>
      <c r="F290" s="123" t="n"/>
    </row>
    <row r="291">
      <c r="A291" s="144" t="n"/>
      <c r="B291" s="123" t="n"/>
      <c r="C291" s="123" t="n"/>
      <c r="D291" s="123" t="n"/>
      <c r="E291" s="123" t="n"/>
      <c r="F291" s="123" t="n"/>
    </row>
    <row r="292">
      <c r="A292" s="144" t="n"/>
      <c r="B292" s="123" t="n"/>
      <c r="C292" s="123" t="n"/>
      <c r="D292" s="123" t="n"/>
      <c r="E292" s="123" t="n"/>
      <c r="F292" s="123" t="n"/>
    </row>
    <row r="293">
      <c r="A293" s="144" t="n"/>
      <c r="B293" s="123" t="n"/>
      <c r="C293" s="123" t="n"/>
      <c r="D293" s="123" t="n"/>
      <c r="E293" s="123" t="n"/>
      <c r="F293" s="123" t="n"/>
    </row>
    <row r="294">
      <c r="A294" s="144" t="n"/>
      <c r="B294" s="123" t="n"/>
      <c r="C294" s="123" t="n"/>
      <c r="D294" s="123" t="n"/>
      <c r="E294" s="123" t="n"/>
      <c r="F294" s="123" t="n"/>
    </row>
    <row r="295">
      <c r="A295" s="144" t="n"/>
      <c r="B295" s="123" t="n"/>
      <c r="C295" s="123" t="n"/>
      <c r="D295" s="123" t="n"/>
      <c r="E295" s="123" t="n"/>
      <c r="F295" s="123" t="n"/>
    </row>
    <row r="296">
      <c r="A296" s="144" t="n"/>
      <c r="B296" s="123" t="n"/>
      <c r="C296" s="123" t="n"/>
      <c r="D296" s="123" t="n"/>
      <c r="E296" s="123" t="n"/>
      <c r="F296" s="123" t="n"/>
    </row>
    <row r="297">
      <c r="A297" s="144" t="n"/>
      <c r="B297" s="123" t="n"/>
      <c r="C297" s="123" t="n"/>
      <c r="D297" s="123" t="n"/>
      <c r="E297" s="123" t="n"/>
      <c r="F297" s="123" t="n"/>
    </row>
    <row r="298">
      <c r="A298" s="144" t="n"/>
      <c r="B298" s="123" t="n"/>
      <c r="C298" s="123" t="n"/>
      <c r="D298" s="123" t="n"/>
      <c r="E298" s="123" t="n"/>
      <c r="F298" s="123" t="n"/>
    </row>
    <row r="299">
      <c r="A299" s="144" t="n"/>
      <c r="B299" s="123" t="n"/>
      <c r="C299" s="123" t="n"/>
      <c r="D299" s="123" t="n"/>
      <c r="E299" s="123" t="n"/>
      <c r="F299" s="123" t="n"/>
    </row>
    <row r="300">
      <c r="A300" s="144" t="n"/>
      <c r="B300" s="123" t="n"/>
      <c r="C300" s="123" t="n"/>
      <c r="D300" s="123" t="n"/>
      <c r="E300" s="123" t="n"/>
      <c r="F300" s="123" t="n"/>
    </row>
    <row r="301">
      <c r="A301" s="144" t="n"/>
      <c r="B301" s="123" t="n"/>
      <c r="C301" s="123" t="n"/>
      <c r="D301" s="123" t="n"/>
      <c r="E301" s="123" t="n"/>
      <c r="F301" s="123" t="n"/>
    </row>
    <row r="302">
      <c r="A302" s="144" t="n"/>
      <c r="B302" s="123" t="n"/>
      <c r="C302" s="123" t="n"/>
      <c r="D302" s="123" t="n"/>
      <c r="E302" s="123" t="n"/>
      <c r="F302" s="123" t="n"/>
    </row>
    <row r="303">
      <c r="A303" s="144" t="n"/>
      <c r="B303" s="123" t="n"/>
      <c r="C303" s="123" t="n"/>
      <c r="D303" s="123" t="n"/>
      <c r="E303" s="123" t="n"/>
      <c r="F303" s="123" t="n"/>
    </row>
    <row r="304">
      <c r="A304" s="144" t="n"/>
      <c r="B304" s="123" t="n"/>
      <c r="C304" s="123" t="n"/>
      <c r="D304" s="123" t="n"/>
      <c r="E304" s="123" t="n"/>
      <c r="F304" s="123" t="n"/>
    </row>
    <row r="305">
      <c r="A305" s="144" t="n"/>
      <c r="B305" s="123" t="n"/>
      <c r="C305" s="123" t="n"/>
      <c r="D305" s="123" t="n"/>
      <c r="E305" s="123" t="n"/>
      <c r="F305" s="123" t="n"/>
    </row>
    <row r="306">
      <c r="A306" s="144" t="n"/>
      <c r="B306" s="123" t="n"/>
      <c r="C306" s="123" t="n"/>
      <c r="D306" s="123" t="n"/>
      <c r="E306" s="123" t="n"/>
      <c r="F306" s="123" t="n"/>
    </row>
    <row r="307">
      <c r="A307" s="144" t="n"/>
      <c r="B307" s="123" t="n"/>
      <c r="C307" s="123" t="n"/>
      <c r="D307" s="123" t="n"/>
      <c r="E307" s="123" t="n"/>
      <c r="F307" s="123" t="n"/>
    </row>
    <row r="308">
      <c r="A308" s="144" t="n"/>
      <c r="B308" s="123" t="n"/>
      <c r="C308" s="123" t="n"/>
      <c r="D308" s="123" t="n"/>
      <c r="E308" s="123" t="n"/>
      <c r="F308" s="123" t="n"/>
    </row>
    <row r="309">
      <c r="A309" s="144" t="n"/>
      <c r="B309" s="123" t="n"/>
      <c r="C309" s="123" t="n"/>
      <c r="D309" s="123" t="n"/>
      <c r="E309" s="123" t="n"/>
      <c r="F309" s="123" t="n"/>
    </row>
    <row r="310">
      <c r="A310" s="144" t="n"/>
      <c r="B310" s="123" t="n"/>
      <c r="C310" s="123" t="n"/>
      <c r="D310" s="123" t="n"/>
      <c r="E310" s="123" t="n"/>
      <c r="F310" s="123" t="n"/>
    </row>
    <row r="311">
      <c r="A311" s="144" t="n"/>
      <c r="B311" s="123" t="n"/>
      <c r="C311" s="123" t="n"/>
      <c r="D311" s="123" t="n"/>
      <c r="E311" s="123" t="n"/>
      <c r="F311" s="123" t="n"/>
    </row>
    <row r="312">
      <c r="A312" s="144" t="n"/>
      <c r="B312" s="123" t="n"/>
      <c r="C312" s="123" t="n"/>
      <c r="D312" s="123" t="n"/>
      <c r="E312" s="123" t="n"/>
      <c r="F312" s="123" t="n"/>
    </row>
    <row r="313">
      <c r="A313" s="144" t="n"/>
      <c r="B313" s="123" t="n"/>
      <c r="C313" s="123" t="n"/>
      <c r="D313" s="123" t="n"/>
      <c r="E313" s="123" t="n"/>
      <c r="F313" s="123" t="n"/>
    </row>
    <row r="314">
      <c r="A314" s="144" t="n"/>
      <c r="B314" s="123" t="n"/>
      <c r="C314" s="123" t="n"/>
      <c r="D314" s="123" t="n"/>
      <c r="E314" s="123" t="n"/>
      <c r="F314" s="123" t="n"/>
    </row>
    <row r="315">
      <c r="A315" s="144" t="n"/>
      <c r="B315" s="123" t="n"/>
      <c r="C315" s="123" t="n"/>
      <c r="D315" s="123" t="n"/>
      <c r="E315" s="123" t="n"/>
      <c r="F315" s="123" t="n"/>
    </row>
    <row r="316">
      <c r="A316" s="144" t="n"/>
      <c r="B316" s="123" t="n"/>
      <c r="C316" s="123" t="n"/>
      <c r="D316" s="123" t="n"/>
      <c r="E316" s="123" t="n"/>
      <c r="F316" s="123" t="n"/>
    </row>
    <row r="317">
      <c r="A317" s="144" t="n"/>
      <c r="B317" s="123" t="n"/>
      <c r="C317" s="123" t="n"/>
      <c r="D317" s="123" t="n"/>
      <c r="E317" s="123" t="n"/>
      <c r="F317" s="123" t="n"/>
    </row>
    <row r="318">
      <c r="A318" s="144" t="n"/>
      <c r="B318" s="123" t="n"/>
      <c r="C318" s="123" t="n"/>
      <c r="D318" s="123" t="n"/>
      <c r="E318" s="123" t="n"/>
      <c r="F318" s="123" t="n"/>
    </row>
    <row r="319">
      <c r="A319" s="144" t="n"/>
      <c r="B319" s="123" t="n"/>
      <c r="C319" s="123" t="n"/>
      <c r="D319" s="123" t="n"/>
      <c r="E319" s="123" t="n"/>
      <c r="F319" s="123" t="n"/>
    </row>
    <row r="320">
      <c r="A320" s="144" t="n"/>
      <c r="B320" s="123" t="n"/>
      <c r="C320" s="123" t="n"/>
      <c r="D320" s="123" t="n"/>
      <c r="E320" s="123" t="n"/>
      <c r="F320" s="123" t="n"/>
    </row>
    <row r="321">
      <c r="A321" s="144" t="n"/>
      <c r="B321" s="123" t="n"/>
      <c r="C321" s="123" t="n"/>
      <c r="D321" s="123" t="n"/>
      <c r="E321" s="123" t="n"/>
      <c r="F321" s="123" t="n"/>
    </row>
    <row r="322">
      <c r="A322" s="144" t="n"/>
      <c r="B322" s="123" t="n"/>
      <c r="C322" s="123" t="n"/>
      <c r="D322" s="123" t="n"/>
      <c r="E322" s="123" t="n"/>
      <c r="F322" s="123" t="n"/>
    </row>
    <row r="323">
      <c r="A323" s="144" t="n"/>
      <c r="B323" s="123" t="n"/>
      <c r="C323" s="123" t="n"/>
      <c r="D323" s="123" t="n"/>
      <c r="E323" s="123" t="n"/>
      <c r="F323" s="123" t="n"/>
    </row>
    <row r="324">
      <c r="A324" s="144" t="n"/>
      <c r="B324" s="123" t="n"/>
      <c r="C324" s="123" t="n"/>
      <c r="D324" s="123" t="n"/>
      <c r="E324" s="123" t="n"/>
      <c r="F324" s="123" t="n"/>
    </row>
    <row r="325">
      <c r="A325" s="144" t="n"/>
      <c r="B325" s="123" t="n"/>
      <c r="C325" s="123" t="n"/>
      <c r="D325" s="123" t="n"/>
      <c r="E325" s="123" t="n"/>
      <c r="F325" s="123" t="n"/>
    </row>
    <row r="326">
      <c r="A326" s="144" t="n"/>
      <c r="B326" s="123" t="n"/>
      <c r="C326" s="123" t="n"/>
      <c r="D326" s="123" t="n"/>
      <c r="E326" s="123" t="n"/>
      <c r="F326" s="123" t="n"/>
    </row>
    <row r="327">
      <c r="A327" s="144" t="n"/>
      <c r="B327" s="123" t="n"/>
      <c r="C327" s="123" t="n"/>
      <c r="D327" s="123" t="n"/>
      <c r="E327" s="123" t="n"/>
      <c r="F327" s="123" t="n"/>
    </row>
    <row r="328">
      <c r="A328" s="144" t="n"/>
      <c r="B328" s="123" t="n"/>
      <c r="C328" s="123" t="n"/>
      <c r="D328" s="123" t="n"/>
      <c r="E328" s="123" t="n"/>
      <c r="F328" s="123" t="n"/>
    </row>
    <row r="329">
      <c r="A329" s="144" t="n"/>
      <c r="B329" s="123" t="n"/>
      <c r="C329" s="123" t="n"/>
      <c r="D329" s="123" t="n"/>
      <c r="E329" s="123" t="n"/>
      <c r="F329" s="123" t="n"/>
    </row>
    <row r="330">
      <c r="A330" s="144" t="n"/>
      <c r="B330" s="123" t="n"/>
      <c r="C330" s="123" t="n"/>
      <c r="D330" s="123" t="n"/>
      <c r="E330" s="123" t="n"/>
      <c r="F330" s="123" t="n"/>
    </row>
    <row r="331">
      <c r="A331" s="144" t="n"/>
      <c r="B331" s="123" t="n"/>
      <c r="C331" s="123" t="n"/>
      <c r="D331" s="123" t="n"/>
      <c r="E331" s="123" t="n"/>
      <c r="F331" s="123" t="n"/>
    </row>
    <row r="332">
      <c r="A332" s="144" t="n"/>
      <c r="B332" s="123" t="n"/>
      <c r="C332" s="123" t="n"/>
      <c r="D332" s="123" t="n"/>
      <c r="E332" s="123" t="n"/>
      <c r="F332" s="123" t="n"/>
    </row>
    <row r="333">
      <c r="A333" s="144" t="n"/>
      <c r="B333" s="123" t="n"/>
      <c r="C333" s="123" t="n"/>
      <c r="D333" s="123" t="n"/>
      <c r="E333" s="123" t="n"/>
      <c r="F333" s="123" t="n"/>
    </row>
    <row r="334">
      <c r="A334" s="144" t="n"/>
      <c r="B334" s="123" t="n"/>
      <c r="C334" s="123" t="n"/>
      <c r="D334" s="123" t="n"/>
      <c r="E334" s="123" t="n"/>
      <c r="F334" s="123" t="n"/>
    </row>
    <row r="335">
      <c r="A335" s="144" t="n"/>
      <c r="B335" s="123" t="n"/>
      <c r="C335" s="123" t="n"/>
      <c r="D335" s="123" t="n"/>
      <c r="E335" s="123" t="n"/>
      <c r="F335" s="123" t="n"/>
    </row>
    <row r="336">
      <c r="A336" s="144" t="n"/>
      <c r="B336" s="123" t="n"/>
      <c r="C336" s="123" t="n"/>
      <c r="D336" s="123" t="n"/>
      <c r="E336" s="123" t="n"/>
      <c r="F336" s="123" t="n"/>
    </row>
    <row r="337">
      <c r="A337" s="144" t="n"/>
      <c r="B337" s="123" t="n"/>
      <c r="C337" s="123" t="n"/>
      <c r="D337" s="123" t="n"/>
      <c r="E337" s="123" t="n"/>
      <c r="F337" s="123" t="n"/>
    </row>
    <row r="338">
      <c r="A338" s="144" t="n"/>
      <c r="B338" s="123" t="n"/>
      <c r="C338" s="123" t="n"/>
      <c r="D338" s="123" t="n"/>
      <c r="E338" s="123" t="n"/>
      <c r="F338" s="123" t="n"/>
    </row>
    <row r="339">
      <c r="A339" s="144" t="n"/>
      <c r="B339" s="123" t="n"/>
      <c r="C339" s="123" t="n"/>
      <c r="D339" s="123" t="n"/>
      <c r="E339" s="123" t="n"/>
      <c r="F339" s="123" t="n"/>
    </row>
    <row r="340">
      <c r="A340" s="144" t="n"/>
      <c r="B340" s="123" t="n"/>
      <c r="C340" s="123" t="n"/>
      <c r="D340" s="123" t="n"/>
      <c r="E340" s="123" t="n"/>
      <c r="F340" s="123" t="n"/>
    </row>
    <row r="341">
      <c r="A341" s="144" t="n"/>
      <c r="B341" s="123" t="n"/>
      <c r="C341" s="123" t="n"/>
      <c r="D341" s="123" t="n"/>
      <c r="E341" s="123" t="n"/>
      <c r="F341" s="123" t="n"/>
    </row>
    <row r="342">
      <c r="A342" s="144" t="n"/>
      <c r="B342" s="123" t="n"/>
      <c r="C342" s="123" t="n"/>
      <c r="D342" s="123" t="n"/>
      <c r="E342" s="123" t="n"/>
      <c r="F342" s="123" t="n"/>
    </row>
    <row r="343">
      <c r="A343" s="144" t="n"/>
      <c r="B343" s="123" t="n"/>
      <c r="C343" s="123" t="n"/>
      <c r="D343" s="123" t="n"/>
      <c r="E343" s="123" t="n"/>
      <c r="F343" s="123" t="n"/>
    </row>
    <row r="344">
      <c r="A344" s="144" t="n"/>
      <c r="B344" s="123" t="n"/>
      <c r="C344" s="123" t="n"/>
      <c r="D344" s="123" t="n"/>
      <c r="E344" s="123" t="n"/>
      <c r="F344" s="123" t="n"/>
    </row>
    <row r="345">
      <c r="A345" s="144" t="n"/>
      <c r="B345" s="123" t="n"/>
      <c r="C345" s="123" t="n"/>
      <c r="D345" s="123" t="n"/>
      <c r="E345" s="123" t="n"/>
      <c r="F345" s="123" t="n"/>
    </row>
    <row r="346">
      <c r="A346" s="144" t="n"/>
      <c r="B346" s="123" t="n"/>
      <c r="C346" s="123" t="n"/>
      <c r="D346" s="123" t="n"/>
      <c r="E346" s="123" t="n"/>
      <c r="F346" s="123" t="n"/>
    </row>
    <row r="347">
      <c r="A347" s="144" t="n"/>
      <c r="B347" s="123" t="n"/>
      <c r="C347" s="123" t="n"/>
      <c r="D347" s="123" t="n"/>
      <c r="E347" s="123" t="n"/>
      <c r="F347" s="123" t="n"/>
    </row>
    <row r="348">
      <c r="A348" s="144" t="n"/>
      <c r="B348" s="123" t="n"/>
      <c r="C348" s="123" t="n"/>
      <c r="D348" s="123" t="n"/>
      <c r="E348" s="123" t="n"/>
      <c r="F348" s="123" t="n"/>
    </row>
    <row r="349">
      <c r="A349" s="144" t="n"/>
      <c r="B349" s="123" t="n"/>
      <c r="C349" s="123" t="n"/>
      <c r="D349" s="123" t="n"/>
      <c r="E349" s="123" t="n"/>
      <c r="F349" s="123" t="n"/>
    </row>
    <row r="350">
      <c r="A350" s="144" t="n"/>
      <c r="B350" s="123" t="n"/>
      <c r="C350" s="123" t="n"/>
      <c r="D350" s="123" t="n"/>
      <c r="E350" s="123" t="n"/>
      <c r="F350" s="123" t="n"/>
    </row>
    <row r="351">
      <c r="A351" s="144" t="n"/>
      <c r="B351" s="123" t="n"/>
      <c r="C351" s="123" t="n"/>
      <c r="D351" s="123" t="n"/>
      <c r="E351" s="123" t="n"/>
      <c r="F351" s="123" t="n"/>
    </row>
    <row r="352">
      <c r="A352" s="144" t="n"/>
      <c r="B352" s="123" t="n"/>
      <c r="C352" s="123" t="n"/>
      <c r="D352" s="123" t="n"/>
      <c r="E352" s="123" t="n"/>
      <c r="F352" s="123" t="n"/>
    </row>
    <row r="353">
      <c r="A353" s="144" t="n"/>
      <c r="B353" s="123" t="n"/>
      <c r="C353" s="123" t="n"/>
      <c r="D353" s="123" t="n"/>
      <c r="E353" s="123" t="n"/>
      <c r="F353" s="123" t="n"/>
    </row>
    <row r="354">
      <c r="A354" s="144" t="n"/>
      <c r="B354" s="123" t="n"/>
      <c r="C354" s="123" t="n"/>
      <c r="D354" s="123" t="n"/>
      <c r="E354" s="123" t="n"/>
      <c r="F354" s="123" t="n"/>
    </row>
    <row r="355">
      <c r="A355" s="144" t="n"/>
      <c r="B355" s="123" t="n"/>
      <c r="C355" s="123" t="n"/>
      <c r="D355" s="123" t="n"/>
      <c r="E355" s="123" t="n"/>
      <c r="F355" s="123" t="n"/>
    </row>
    <row r="356">
      <c r="A356" s="144" t="n"/>
      <c r="B356" s="123" t="n"/>
      <c r="C356" s="123" t="n"/>
      <c r="D356" s="123" t="n"/>
      <c r="E356" s="123" t="n"/>
      <c r="F356" s="123" t="n"/>
    </row>
    <row r="357">
      <c r="A357" s="144" t="n"/>
      <c r="B357" s="123" t="n"/>
      <c r="C357" s="123" t="n"/>
      <c r="D357" s="123" t="n"/>
      <c r="E357" s="123" t="n"/>
      <c r="F357" s="123" t="n"/>
    </row>
    <row r="358">
      <c r="A358" s="144" t="n"/>
      <c r="B358" s="123" t="n"/>
      <c r="C358" s="123" t="n"/>
      <c r="D358" s="123" t="n"/>
      <c r="E358" s="123" t="n"/>
      <c r="F358" s="123" t="n"/>
    </row>
    <row r="359">
      <c r="A359" s="144" t="n"/>
      <c r="B359" s="123" t="n"/>
      <c r="C359" s="123" t="n"/>
      <c r="D359" s="123" t="n"/>
      <c r="E359" s="123" t="n"/>
      <c r="F359" s="123" t="n"/>
    </row>
    <row r="360">
      <c r="A360" s="144" t="n"/>
      <c r="B360" s="123" t="n"/>
      <c r="C360" s="123" t="n"/>
      <c r="D360" s="123" t="n"/>
      <c r="E360" s="123" t="n"/>
      <c r="F360" s="123" t="n"/>
    </row>
    <row r="361">
      <c r="A361" s="144" t="n"/>
      <c r="B361" s="123" t="n"/>
      <c r="C361" s="123" t="n"/>
      <c r="D361" s="123" t="n"/>
      <c r="E361" s="123" t="n"/>
      <c r="F361" s="123" t="n"/>
    </row>
    <row r="362">
      <c r="A362" s="144" t="n"/>
      <c r="B362" s="123" t="n"/>
      <c r="C362" s="123" t="n"/>
      <c r="D362" s="123" t="n"/>
      <c r="E362" s="123" t="n"/>
      <c r="F362" s="123" t="n"/>
    </row>
    <row r="363">
      <c r="A363" s="144" t="n"/>
      <c r="B363" s="123" t="n"/>
      <c r="C363" s="123" t="n"/>
      <c r="D363" s="123" t="n"/>
      <c r="E363" s="123" t="n"/>
      <c r="F363" s="123" t="n"/>
    </row>
    <row r="364">
      <c r="A364" s="144" t="n"/>
      <c r="B364" s="123" t="n"/>
      <c r="C364" s="123" t="n"/>
      <c r="D364" s="123" t="n"/>
      <c r="E364" s="123" t="n"/>
      <c r="F364" s="123" t="n"/>
    </row>
    <row r="365">
      <c r="A365" s="144" t="n"/>
      <c r="B365" s="123" t="n"/>
      <c r="C365" s="123" t="n"/>
      <c r="D365" s="123" t="n"/>
      <c r="E365" s="123" t="n"/>
      <c r="F365" s="123" t="n"/>
    </row>
    <row r="366">
      <c r="A366" s="144" t="n"/>
      <c r="B366" s="123" t="n"/>
      <c r="C366" s="123" t="n"/>
      <c r="D366" s="123" t="n"/>
      <c r="E366" s="123" t="n"/>
      <c r="F366" s="123" t="n"/>
    </row>
    <row r="367">
      <c r="A367" s="144" t="n"/>
      <c r="B367" s="123" t="n"/>
      <c r="C367" s="123" t="n"/>
      <c r="D367" s="123" t="n"/>
      <c r="E367" s="123" t="n"/>
      <c r="F367" s="123" t="n"/>
    </row>
    <row r="368">
      <c r="A368" s="144" t="n"/>
      <c r="B368" s="123" t="n"/>
      <c r="C368" s="123" t="n"/>
      <c r="D368" s="123" t="n"/>
      <c r="E368" s="123" t="n"/>
      <c r="F368" s="123" t="n"/>
    </row>
    <row r="369">
      <c r="A369" s="144" t="n"/>
      <c r="B369" s="123" t="n"/>
      <c r="C369" s="123" t="n"/>
      <c r="D369" s="123" t="n"/>
      <c r="E369" s="123" t="n"/>
      <c r="F369" s="123" t="n"/>
    </row>
    <row r="370">
      <c r="A370" s="144" t="n"/>
      <c r="B370" s="123" t="n"/>
      <c r="C370" s="123" t="n"/>
      <c r="D370" s="123" t="n"/>
      <c r="E370" s="123" t="n"/>
      <c r="F370" s="123" t="n"/>
    </row>
    <row r="371">
      <c r="A371" s="144" t="n"/>
      <c r="B371" s="123" t="n"/>
      <c r="C371" s="123" t="n"/>
      <c r="D371" s="123" t="n"/>
      <c r="E371" s="123" t="n"/>
      <c r="F371" s="123" t="n"/>
    </row>
    <row r="372">
      <c r="A372" s="144" t="n"/>
      <c r="B372" s="123" t="n"/>
      <c r="C372" s="123" t="n"/>
      <c r="D372" s="123" t="n"/>
      <c r="E372" s="123" t="n"/>
      <c r="F372" s="123" t="n"/>
    </row>
    <row r="373">
      <c r="A373" s="144" t="n"/>
      <c r="B373" s="123" t="n"/>
      <c r="C373" s="123" t="n"/>
      <c r="D373" s="123" t="n"/>
      <c r="E373" s="123" t="n"/>
      <c r="F373" s="123" t="n"/>
    </row>
    <row r="374">
      <c r="A374" s="144" t="n"/>
      <c r="B374" s="123" t="n"/>
      <c r="C374" s="123" t="n"/>
      <c r="D374" s="123" t="n"/>
      <c r="E374" s="123" t="n"/>
      <c r="F374" s="123" t="n"/>
    </row>
    <row r="375">
      <c r="A375" s="144" t="n"/>
      <c r="B375" s="123" t="n"/>
      <c r="C375" s="123" t="n"/>
      <c r="D375" s="123" t="n"/>
      <c r="E375" s="123" t="n"/>
      <c r="F375" s="123" t="n"/>
    </row>
    <row r="376">
      <c r="A376" s="144" t="n"/>
      <c r="B376" s="123" t="n"/>
      <c r="C376" s="123" t="n"/>
      <c r="D376" s="123" t="n"/>
      <c r="E376" s="123" t="n"/>
      <c r="F376" s="123" t="n"/>
    </row>
    <row r="377">
      <c r="A377" s="144" t="n"/>
      <c r="B377" s="123" t="n"/>
      <c r="C377" s="123" t="n"/>
      <c r="D377" s="123" t="n"/>
      <c r="E377" s="123" t="n"/>
      <c r="F377" s="123" t="n"/>
    </row>
    <row r="378">
      <c r="A378" s="144" t="n"/>
      <c r="B378" s="123" t="n"/>
      <c r="C378" s="123" t="n"/>
      <c r="D378" s="123" t="n"/>
      <c r="E378" s="123" t="n"/>
      <c r="F378" s="123" t="n"/>
    </row>
    <row r="379">
      <c r="A379" s="144" t="n"/>
      <c r="B379" s="123" t="n"/>
      <c r="C379" s="123" t="n"/>
      <c r="D379" s="123" t="n"/>
      <c r="E379" s="123" t="n"/>
      <c r="F379" s="123" t="n"/>
    </row>
    <row r="380">
      <c r="A380" s="144" t="n"/>
      <c r="B380" s="123" t="n"/>
      <c r="C380" s="123" t="n"/>
      <c r="D380" s="123" t="n"/>
      <c r="E380" s="123" t="n"/>
      <c r="F380" s="123" t="n"/>
    </row>
    <row r="381">
      <c r="A381" s="144" t="n"/>
      <c r="B381" s="123" t="n"/>
      <c r="C381" s="123" t="n"/>
      <c r="D381" s="123" t="n"/>
      <c r="E381" s="123" t="n"/>
      <c r="F381" s="123" t="n"/>
    </row>
    <row r="382">
      <c r="A382" s="144" t="n"/>
      <c r="B382" s="123" t="n"/>
      <c r="C382" s="123" t="n"/>
      <c r="D382" s="123" t="n"/>
      <c r="E382" s="123" t="n"/>
      <c r="F382" s="123" t="n"/>
    </row>
    <row r="383">
      <c r="A383" s="144" t="n"/>
      <c r="B383" s="123" t="n"/>
      <c r="C383" s="123" t="n"/>
      <c r="D383" s="123" t="n"/>
      <c r="E383" s="123" t="n"/>
      <c r="F383" s="123" t="n"/>
    </row>
    <row r="384">
      <c r="A384" s="144" t="n"/>
      <c r="B384" s="123" t="n"/>
      <c r="C384" s="123" t="n"/>
      <c r="D384" s="123" t="n"/>
      <c r="E384" s="123" t="n"/>
      <c r="F384" s="123" t="n"/>
    </row>
    <row r="385">
      <c r="A385" s="144" t="n"/>
      <c r="B385" s="123" t="n"/>
      <c r="C385" s="123" t="n"/>
      <c r="D385" s="123" t="n"/>
      <c r="E385" s="123" t="n"/>
      <c r="F385" s="123" t="n"/>
    </row>
    <row r="386">
      <c r="A386" s="144" t="n"/>
      <c r="B386" s="123" t="n"/>
      <c r="C386" s="123" t="n"/>
      <c r="D386" s="123" t="n"/>
      <c r="E386" s="123" t="n"/>
      <c r="F386" s="123" t="n"/>
    </row>
    <row r="387">
      <c r="A387" s="144" t="n"/>
      <c r="B387" s="123" t="n"/>
      <c r="C387" s="123" t="n"/>
      <c r="D387" s="123" t="n"/>
      <c r="E387" s="123" t="n"/>
      <c r="F387" s="123" t="n"/>
    </row>
    <row r="388">
      <c r="A388" s="144" t="n"/>
      <c r="B388" s="123" t="n"/>
      <c r="C388" s="123" t="n"/>
      <c r="D388" s="123" t="n"/>
      <c r="E388" s="123" t="n"/>
      <c r="F388" s="123" t="n"/>
    </row>
    <row r="389">
      <c r="A389" s="144" t="n"/>
      <c r="B389" s="123" t="n"/>
      <c r="C389" s="123" t="n"/>
      <c r="D389" s="123" t="n"/>
      <c r="E389" s="123" t="n"/>
      <c r="F389" s="123" t="n"/>
    </row>
    <row r="390">
      <c r="A390" s="144" t="n"/>
      <c r="B390" s="123" t="n"/>
      <c r="C390" s="123" t="n"/>
      <c r="D390" s="123" t="n"/>
      <c r="E390" s="123" t="n"/>
      <c r="F390" s="123" t="n"/>
    </row>
    <row r="391">
      <c r="A391" s="144" t="n"/>
      <c r="B391" s="123" t="n"/>
      <c r="C391" s="123" t="n"/>
      <c r="D391" s="123" t="n"/>
      <c r="E391" s="123" t="n"/>
      <c r="F391" s="123" t="n"/>
    </row>
    <row r="392">
      <c r="A392" s="144" t="n"/>
      <c r="B392" s="123" t="n"/>
      <c r="C392" s="123" t="n"/>
      <c r="D392" s="123" t="n"/>
      <c r="E392" s="123" t="n"/>
      <c r="F392" s="123" t="n"/>
    </row>
    <row r="393">
      <c r="A393" s="144" t="n"/>
      <c r="B393" s="123" t="n"/>
      <c r="C393" s="123" t="n"/>
      <c r="D393" s="123" t="n"/>
      <c r="E393" s="123" t="n"/>
      <c r="F393" s="123" t="n"/>
    </row>
    <row r="394">
      <c r="A394" s="144" t="n"/>
      <c r="B394" s="123" t="n"/>
      <c r="C394" s="123" t="n"/>
      <c r="D394" s="123" t="n"/>
      <c r="E394" s="123" t="n"/>
      <c r="F394" s="123" t="n"/>
    </row>
    <row r="395">
      <c r="A395" s="144" t="n"/>
      <c r="B395" s="123" t="n"/>
      <c r="C395" s="123" t="n"/>
      <c r="D395" s="123" t="n"/>
      <c r="E395" s="123" t="n"/>
      <c r="F395" s="123" t="n"/>
    </row>
    <row r="396">
      <c r="A396" s="144" t="n"/>
      <c r="B396" s="123" t="n"/>
      <c r="C396" s="123" t="n"/>
      <c r="D396" s="123" t="n"/>
      <c r="E396" s="123" t="n"/>
      <c r="F396" s="123" t="n"/>
    </row>
    <row r="397">
      <c r="A397" s="144" t="n"/>
      <c r="B397" s="123" t="n"/>
      <c r="C397" s="123" t="n"/>
      <c r="D397" s="123" t="n"/>
      <c r="E397" s="123" t="n"/>
      <c r="F397" s="123" t="n"/>
    </row>
    <row r="398">
      <c r="A398" s="144" t="n"/>
      <c r="B398" s="123" t="n"/>
      <c r="C398" s="123" t="n"/>
      <c r="D398" s="123" t="n"/>
      <c r="E398" s="123" t="n"/>
      <c r="F398" s="123" t="n"/>
    </row>
    <row r="399">
      <c r="A399" s="144" t="n"/>
      <c r="B399" s="123" t="n"/>
      <c r="C399" s="123" t="n"/>
      <c r="D399" s="123" t="n"/>
      <c r="E399" s="123" t="n"/>
      <c r="F399" s="123" t="n"/>
    </row>
    <row r="400">
      <c r="A400" s="144" t="n"/>
      <c r="B400" s="123" t="n"/>
      <c r="C400" s="123" t="n"/>
      <c r="D400" s="123" t="n"/>
      <c r="E400" s="123" t="n"/>
      <c r="F400" s="123" t="n"/>
    </row>
    <row r="401">
      <c r="A401" s="144" t="n"/>
      <c r="B401" s="123" t="n"/>
      <c r="C401" s="123" t="n"/>
      <c r="D401" s="123" t="n"/>
      <c r="E401" s="123" t="n"/>
      <c r="F401" s="123" t="n"/>
    </row>
    <row r="402">
      <c r="A402" s="144" t="n"/>
      <c r="B402" s="123" t="n"/>
      <c r="C402" s="123" t="n"/>
      <c r="D402" s="123" t="n"/>
      <c r="E402" s="123" t="n"/>
      <c r="F402" s="123" t="n"/>
    </row>
    <row r="403">
      <c r="A403" s="144" t="n"/>
      <c r="B403" s="123" t="n"/>
      <c r="C403" s="123" t="n"/>
      <c r="D403" s="123" t="n"/>
      <c r="E403" s="123" t="n"/>
      <c r="F403" s="123" t="n"/>
    </row>
    <row r="404">
      <c r="A404" s="144" t="n"/>
      <c r="B404" s="123" t="n"/>
      <c r="C404" s="123" t="n"/>
      <c r="D404" s="123" t="n"/>
      <c r="E404" s="123" t="n"/>
      <c r="F404" s="123" t="n"/>
    </row>
    <row r="405">
      <c r="A405" s="144" t="n"/>
      <c r="B405" s="123" t="n"/>
      <c r="C405" s="123" t="n"/>
      <c r="D405" s="123" t="n"/>
      <c r="E405" s="123" t="n"/>
      <c r="F405" s="123" t="n"/>
    </row>
    <row r="406">
      <c r="A406" s="144" t="n"/>
      <c r="B406" s="123" t="n"/>
      <c r="C406" s="123" t="n"/>
      <c r="D406" s="123" t="n"/>
      <c r="E406" s="123" t="n"/>
      <c r="F406" s="123" t="n"/>
    </row>
    <row r="407">
      <c r="A407" s="144" t="n"/>
      <c r="B407" s="123" t="n"/>
      <c r="C407" s="123" t="n"/>
      <c r="D407" s="123" t="n"/>
      <c r="E407" s="123" t="n"/>
      <c r="F407" s="123" t="n"/>
    </row>
    <row r="408">
      <c r="A408" s="144" t="n"/>
      <c r="B408" s="123" t="n"/>
      <c r="C408" s="123" t="n"/>
      <c r="D408" s="123" t="n"/>
      <c r="E408" s="123" t="n"/>
      <c r="F408" s="123" t="n"/>
    </row>
    <row r="409">
      <c r="A409" s="144" t="n"/>
      <c r="B409" s="123" t="n"/>
      <c r="C409" s="123" t="n"/>
      <c r="D409" s="123" t="n"/>
      <c r="E409" s="123" t="n"/>
      <c r="F409" s="123" t="n"/>
    </row>
    <row r="410">
      <c r="A410" s="144" t="n"/>
      <c r="B410" s="123" t="n"/>
      <c r="C410" s="123" t="n"/>
      <c r="D410" s="123" t="n"/>
      <c r="E410" s="123" t="n"/>
      <c r="F410" s="123" t="n"/>
    </row>
    <row r="411">
      <c r="A411" s="144" t="n"/>
      <c r="B411" s="123" t="n"/>
      <c r="C411" s="123" t="n"/>
      <c r="D411" s="123" t="n"/>
      <c r="E411" s="123" t="n"/>
      <c r="F411" s="123" t="n"/>
    </row>
    <row r="412">
      <c r="A412" s="144" t="n"/>
      <c r="B412" s="123" t="n"/>
      <c r="C412" s="123" t="n"/>
      <c r="D412" s="123" t="n"/>
      <c r="E412" s="123" t="n"/>
      <c r="F412" s="123" t="n"/>
    </row>
    <row r="413">
      <c r="A413" s="144" t="n"/>
      <c r="B413" s="123" t="n"/>
      <c r="C413" s="123" t="n"/>
      <c r="D413" s="123" t="n"/>
      <c r="E413" s="123" t="n"/>
      <c r="F413" s="123" t="n"/>
    </row>
    <row r="414">
      <c r="A414" s="144" t="n"/>
      <c r="B414" s="123" t="n"/>
      <c r="C414" s="123" t="n"/>
      <c r="D414" s="123" t="n"/>
      <c r="E414" s="123" t="n"/>
      <c r="F414" s="123" t="n"/>
    </row>
    <row r="415">
      <c r="A415" s="144" t="n"/>
      <c r="B415" s="123" t="n"/>
      <c r="C415" s="123" t="n"/>
      <c r="D415" s="123" t="n"/>
      <c r="E415" s="123" t="n"/>
      <c r="F415" s="123" t="n"/>
    </row>
    <row r="416">
      <c r="A416" s="144" t="n"/>
      <c r="B416" s="123" t="n"/>
      <c r="C416" s="123" t="n"/>
      <c r="D416" s="123" t="n"/>
      <c r="E416" s="123" t="n"/>
      <c r="F416" s="123" t="n"/>
    </row>
    <row r="417">
      <c r="A417" s="144" t="n"/>
      <c r="B417" s="123" t="n"/>
      <c r="C417" s="123" t="n"/>
      <c r="D417" s="123" t="n"/>
      <c r="E417" s="123" t="n"/>
      <c r="F417" s="123" t="n"/>
    </row>
    <row r="418">
      <c r="A418" s="144" t="n"/>
      <c r="B418" s="123" t="n"/>
      <c r="C418" s="123" t="n"/>
      <c r="D418" s="123" t="n"/>
      <c r="E418" s="123" t="n"/>
      <c r="F418" s="123" t="n"/>
    </row>
    <row r="419">
      <c r="A419" s="144" t="n"/>
      <c r="B419" s="123" t="n"/>
      <c r="C419" s="123" t="n"/>
      <c r="D419" s="123" t="n"/>
      <c r="E419" s="123" t="n"/>
      <c r="F419" s="123" t="n"/>
    </row>
    <row r="420">
      <c r="A420" s="144" t="n"/>
      <c r="B420" s="123" t="n"/>
      <c r="C420" s="123" t="n"/>
      <c r="D420" s="123" t="n"/>
      <c r="E420" s="123" t="n"/>
      <c r="F420" s="123" t="n"/>
    </row>
    <row r="421">
      <c r="A421" s="144" t="n"/>
      <c r="B421" s="123" t="n"/>
      <c r="C421" s="123" t="n"/>
      <c r="D421" s="123" t="n"/>
      <c r="E421" s="123" t="n"/>
      <c r="F421" s="123" t="n"/>
    </row>
    <row r="422">
      <c r="A422" s="144" t="n"/>
      <c r="B422" s="123" t="n"/>
      <c r="C422" s="123" t="n"/>
      <c r="D422" s="123" t="n"/>
      <c r="E422" s="123" t="n"/>
      <c r="F422" s="123" t="n"/>
    </row>
    <row r="423">
      <c r="A423" s="144" t="n"/>
      <c r="B423" s="123" t="n"/>
      <c r="C423" s="123" t="n"/>
      <c r="D423" s="123" t="n"/>
      <c r="E423" s="123" t="n"/>
      <c r="F423" s="123" t="n"/>
    </row>
    <row r="424">
      <c r="A424" s="144" t="n"/>
      <c r="B424" s="123" t="n"/>
      <c r="C424" s="123" t="n"/>
      <c r="D424" s="123" t="n"/>
      <c r="E424" s="123" t="n"/>
      <c r="F424" s="123" t="n"/>
    </row>
    <row r="425">
      <c r="A425" s="144" t="n"/>
      <c r="B425" s="123" t="n"/>
      <c r="C425" s="123" t="n"/>
      <c r="D425" s="123" t="n"/>
      <c r="E425" s="123" t="n"/>
      <c r="F425" s="123" t="n"/>
    </row>
    <row r="426">
      <c r="A426" s="144" t="n"/>
      <c r="B426" s="123" t="n"/>
      <c r="C426" s="123" t="n"/>
      <c r="D426" s="123" t="n"/>
      <c r="E426" s="123" t="n"/>
      <c r="F426" s="123" t="n"/>
    </row>
    <row r="427">
      <c r="A427" s="144" t="n"/>
      <c r="B427" s="123" t="n"/>
      <c r="C427" s="123" t="n"/>
      <c r="D427" s="123" t="n"/>
      <c r="E427" s="123" t="n"/>
      <c r="F427" s="123" t="n"/>
    </row>
    <row r="428">
      <c r="A428" s="144" t="n"/>
      <c r="B428" s="123" t="n"/>
      <c r="C428" s="123" t="n"/>
      <c r="D428" s="123" t="n"/>
      <c r="E428" s="123" t="n"/>
      <c r="F428" s="123" t="n"/>
    </row>
    <row r="429">
      <c r="A429" s="144" t="n"/>
      <c r="B429" s="123" t="n"/>
      <c r="C429" s="123" t="n"/>
      <c r="D429" s="123" t="n"/>
      <c r="E429" s="123" t="n"/>
      <c r="F429" s="123" t="n"/>
    </row>
    <row r="430">
      <c r="A430" s="144" t="n"/>
      <c r="B430" s="123" t="n"/>
      <c r="C430" s="123" t="n"/>
      <c r="D430" s="123" t="n"/>
      <c r="E430" s="123" t="n"/>
      <c r="F430" s="123" t="n"/>
    </row>
    <row r="431">
      <c r="A431" s="144" t="n"/>
      <c r="B431" s="123" t="n"/>
      <c r="C431" s="123" t="n"/>
      <c r="D431" s="123" t="n"/>
      <c r="E431" s="123" t="n"/>
      <c r="F431" s="123" t="n"/>
    </row>
    <row r="432">
      <c r="A432" s="144" t="n"/>
      <c r="B432" s="123" t="n"/>
      <c r="C432" s="123" t="n"/>
      <c r="D432" s="123" t="n"/>
      <c r="E432" s="123" t="n"/>
      <c r="F432" s="123" t="n"/>
    </row>
    <row r="433">
      <c r="A433" s="144" t="n"/>
      <c r="B433" s="123" t="n"/>
      <c r="C433" s="123" t="n"/>
      <c r="D433" s="123" t="n"/>
      <c r="E433" s="123" t="n"/>
      <c r="F433" s="123" t="n"/>
    </row>
    <row r="434">
      <c r="A434" s="144" t="n"/>
      <c r="B434" s="123" t="n"/>
      <c r="C434" s="123" t="n"/>
      <c r="D434" s="123" t="n"/>
      <c r="E434" s="123" t="n"/>
      <c r="F434" s="123" t="n"/>
    </row>
    <row r="435">
      <c r="A435" s="144" t="n"/>
      <c r="B435" s="123" t="n"/>
      <c r="C435" s="123" t="n"/>
      <c r="D435" s="123" t="n"/>
      <c r="E435" s="123" t="n"/>
      <c r="F435" s="123" t="n"/>
    </row>
    <row r="436">
      <c r="A436" s="144" t="n"/>
      <c r="B436" s="123" t="n"/>
      <c r="C436" s="123" t="n"/>
      <c r="D436" s="123" t="n"/>
      <c r="E436" s="123" t="n"/>
      <c r="F436" s="123" t="n"/>
    </row>
    <row r="437">
      <c r="A437" s="144" t="n"/>
      <c r="B437" s="123" t="n"/>
      <c r="C437" s="123" t="n"/>
      <c r="D437" s="123" t="n"/>
      <c r="E437" s="123" t="n"/>
      <c r="F437" s="123" t="n"/>
    </row>
    <row r="438">
      <c r="A438" s="144" t="n"/>
      <c r="B438" s="123" t="n"/>
      <c r="C438" s="123" t="n"/>
      <c r="D438" s="123" t="n"/>
      <c r="E438" s="123" t="n"/>
      <c r="F438" s="123" t="n"/>
    </row>
    <row r="439">
      <c r="A439" s="144" t="n"/>
      <c r="B439" s="123" t="n"/>
      <c r="C439" s="123" t="n"/>
      <c r="D439" s="123" t="n"/>
      <c r="E439" s="123" t="n"/>
      <c r="F439" s="123" t="n"/>
    </row>
    <row r="440">
      <c r="A440" s="144" t="n"/>
      <c r="B440" s="123" t="n"/>
      <c r="C440" s="123" t="n"/>
      <c r="D440" s="123" t="n"/>
      <c r="E440" s="123" t="n"/>
      <c r="F440" s="123" t="n"/>
    </row>
    <row r="441">
      <c r="A441" s="144" t="n"/>
      <c r="B441" s="123" t="n"/>
      <c r="C441" s="123" t="n"/>
      <c r="D441" s="123" t="n"/>
      <c r="E441" s="123" t="n"/>
      <c r="F441" s="123" t="n"/>
    </row>
    <row r="442">
      <c r="A442" s="144" t="n"/>
      <c r="B442" s="123" t="n"/>
      <c r="C442" s="123" t="n"/>
      <c r="D442" s="123" t="n"/>
      <c r="E442" s="123" t="n"/>
      <c r="F442" s="123" t="n"/>
    </row>
    <row r="443">
      <c r="A443" s="144" t="n"/>
      <c r="B443" s="123" t="n"/>
      <c r="C443" s="123" t="n"/>
      <c r="D443" s="123" t="n"/>
      <c r="E443" s="123" t="n"/>
      <c r="F443" s="123" t="n"/>
    </row>
    <row r="444">
      <c r="A444" s="144" t="n"/>
      <c r="B444" s="123" t="n"/>
      <c r="C444" s="123" t="n"/>
      <c r="D444" s="123" t="n"/>
      <c r="E444" s="123" t="n"/>
      <c r="F444" s="123" t="n"/>
    </row>
    <row r="445">
      <c r="A445" s="144" t="n"/>
      <c r="B445" s="123" t="n"/>
      <c r="C445" s="123" t="n"/>
      <c r="D445" s="123" t="n"/>
      <c r="E445" s="123" t="n"/>
      <c r="F445" s="123" t="n"/>
    </row>
    <row r="446">
      <c r="A446" s="144" t="n"/>
      <c r="B446" s="123" t="n"/>
      <c r="C446" s="123" t="n"/>
      <c r="D446" s="123" t="n"/>
      <c r="E446" s="123" t="n"/>
      <c r="F446" s="123" t="n"/>
    </row>
    <row r="447">
      <c r="A447" s="144" t="n"/>
      <c r="B447" s="123" t="n"/>
      <c r="C447" s="123" t="n"/>
      <c r="D447" s="123" t="n"/>
      <c r="E447" s="123" t="n"/>
      <c r="F447" s="123" t="n"/>
    </row>
    <row r="448">
      <c r="A448" s="144" t="n"/>
      <c r="B448" s="123" t="n"/>
      <c r="C448" s="123" t="n"/>
      <c r="D448" s="123" t="n"/>
      <c r="E448" s="123" t="n"/>
      <c r="F448" s="123" t="n"/>
    </row>
    <row r="449">
      <c r="A449" s="144" t="n"/>
      <c r="B449" s="123" t="n"/>
      <c r="C449" s="123" t="n"/>
      <c r="D449" s="123" t="n"/>
      <c r="E449" s="123" t="n"/>
      <c r="F449" s="123" t="n"/>
    </row>
    <row r="450">
      <c r="A450" s="144" t="n"/>
      <c r="B450" s="123" t="n"/>
      <c r="C450" s="123" t="n"/>
      <c r="D450" s="123" t="n"/>
      <c r="E450" s="123" t="n"/>
      <c r="F450" s="123" t="n"/>
    </row>
    <row r="451">
      <c r="A451" s="144" t="n"/>
      <c r="B451" s="123" t="n"/>
      <c r="C451" s="123" t="n"/>
      <c r="D451" s="123" t="n"/>
      <c r="E451" s="123" t="n"/>
      <c r="F451" s="123" t="n"/>
    </row>
    <row r="452">
      <c r="A452" s="144" t="n"/>
      <c r="B452" s="123" t="n"/>
      <c r="C452" s="123" t="n"/>
      <c r="D452" s="123" t="n"/>
      <c r="E452" s="123" t="n"/>
      <c r="F452" s="123" t="n"/>
    </row>
    <row r="453">
      <c r="A453" s="144" t="n"/>
      <c r="B453" s="123" t="n"/>
      <c r="C453" s="123" t="n"/>
      <c r="D453" s="123" t="n"/>
      <c r="E453" s="123" t="n"/>
      <c r="F453" s="123" t="n"/>
    </row>
    <row r="454">
      <c r="A454" s="144" t="n"/>
      <c r="B454" s="123" t="n"/>
      <c r="C454" s="123" t="n"/>
      <c r="D454" s="123" t="n"/>
      <c r="E454" s="123" t="n"/>
      <c r="F454" s="123" t="n"/>
    </row>
    <row r="455">
      <c r="A455" s="144" t="n"/>
      <c r="B455" s="123" t="n"/>
      <c r="C455" s="123" t="n"/>
      <c r="D455" s="123" t="n"/>
      <c r="E455" s="123" t="n"/>
      <c r="F455" s="123" t="n"/>
    </row>
    <row r="456">
      <c r="A456" s="144" t="n"/>
      <c r="B456" s="123" t="n"/>
      <c r="C456" s="123" t="n"/>
      <c r="D456" s="123" t="n"/>
      <c r="E456" s="123" t="n"/>
      <c r="F456" s="123" t="n"/>
    </row>
    <row r="457">
      <c r="A457" s="144" t="n"/>
      <c r="B457" s="123" t="n"/>
      <c r="C457" s="123" t="n"/>
      <c r="D457" s="123" t="n"/>
      <c r="E457" s="123" t="n"/>
      <c r="F457" s="123" t="n"/>
    </row>
    <row r="458">
      <c r="A458" s="144" t="n"/>
      <c r="B458" s="123" t="n"/>
      <c r="C458" s="123" t="n"/>
      <c r="D458" s="123" t="n"/>
      <c r="E458" s="123" t="n"/>
      <c r="F458" s="123" t="n"/>
    </row>
    <row r="459">
      <c r="A459" s="144" t="n"/>
      <c r="B459" s="123" t="n"/>
      <c r="C459" s="123" t="n"/>
      <c r="D459" s="123" t="n"/>
      <c r="E459" s="123" t="n"/>
      <c r="F459" s="123" t="n"/>
    </row>
    <row r="460">
      <c r="A460" s="144" t="n"/>
      <c r="B460" s="123" t="n"/>
      <c r="C460" s="123" t="n"/>
      <c r="D460" s="123" t="n"/>
      <c r="E460" s="123" t="n"/>
      <c r="F460" s="123" t="n"/>
    </row>
    <row r="461">
      <c r="A461" s="144" t="n"/>
      <c r="B461" s="123" t="n"/>
      <c r="C461" s="123" t="n"/>
      <c r="D461" s="123" t="n"/>
      <c r="E461" s="123" t="n"/>
      <c r="F461" s="123" t="n"/>
    </row>
    <row r="462">
      <c r="A462" s="144" t="n"/>
      <c r="B462" s="123" t="n"/>
      <c r="C462" s="123" t="n"/>
      <c r="D462" s="123" t="n"/>
      <c r="E462" s="123" t="n"/>
      <c r="F462" s="123" t="n"/>
    </row>
    <row r="463">
      <c r="A463" s="144" t="n"/>
      <c r="B463" s="123" t="n"/>
      <c r="C463" s="123" t="n"/>
      <c r="D463" s="123" t="n"/>
      <c r="E463" s="123" t="n"/>
      <c r="F463" s="123" t="n"/>
    </row>
    <row r="464">
      <c r="A464" s="144" t="n"/>
      <c r="B464" s="123" t="n"/>
      <c r="C464" s="123" t="n"/>
      <c r="D464" s="123" t="n"/>
      <c r="E464" s="123" t="n"/>
      <c r="F464" s="123" t="n"/>
    </row>
    <row r="465">
      <c r="A465" s="144" t="n"/>
      <c r="B465" s="123" t="n"/>
      <c r="C465" s="123" t="n"/>
      <c r="D465" s="123" t="n"/>
      <c r="E465" s="123" t="n"/>
      <c r="F465" s="123" t="n"/>
    </row>
    <row r="466">
      <c r="A466" s="144" t="n"/>
      <c r="B466" s="123" t="n"/>
      <c r="C466" s="123" t="n"/>
      <c r="D466" s="123" t="n"/>
      <c r="E466" s="123" t="n"/>
      <c r="F466" s="123" t="n"/>
    </row>
    <row r="467">
      <c r="A467" s="144" t="n"/>
      <c r="B467" s="123" t="n"/>
      <c r="C467" s="123" t="n"/>
      <c r="D467" s="123" t="n"/>
      <c r="E467" s="123" t="n"/>
      <c r="F467" s="123" t="n"/>
    </row>
    <row r="468">
      <c r="A468" s="144" t="n"/>
      <c r="B468" s="123" t="n"/>
      <c r="C468" s="123" t="n"/>
      <c r="D468" s="123" t="n"/>
      <c r="E468" s="123" t="n"/>
      <c r="F468" s="123" t="n"/>
    </row>
    <row r="469">
      <c r="A469" s="144" t="n"/>
      <c r="B469" s="123" t="n"/>
      <c r="C469" s="123" t="n"/>
      <c r="D469" s="123" t="n"/>
      <c r="E469" s="123" t="n"/>
      <c r="F469" s="123" t="n"/>
    </row>
    <row r="470">
      <c r="A470" s="144" t="n"/>
      <c r="B470" s="123" t="n"/>
      <c r="C470" s="123" t="n"/>
      <c r="D470" s="123" t="n"/>
      <c r="E470" s="123" t="n"/>
      <c r="F470" s="123" t="n"/>
    </row>
    <row r="471">
      <c r="A471" s="144" t="n"/>
      <c r="B471" s="123" t="n"/>
      <c r="C471" s="123" t="n"/>
      <c r="D471" s="123" t="n"/>
      <c r="E471" s="123" t="n"/>
      <c r="F471" s="123" t="n"/>
    </row>
    <row r="472">
      <c r="A472" s="144" t="n"/>
      <c r="B472" s="123" t="n"/>
      <c r="C472" s="123" t="n"/>
      <c r="D472" s="123" t="n"/>
      <c r="E472" s="123" t="n"/>
      <c r="F472" s="123" t="n"/>
    </row>
    <row r="473">
      <c r="A473" s="144" t="n"/>
      <c r="B473" s="123" t="n"/>
      <c r="C473" s="123" t="n"/>
      <c r="D473" s="123" t="n"/>
      <c r="E473" s="123" t="n"/>
      <c r="F473" s="123" t="n"/>
    </row>
    <row r="474">
      <c r="A474" s="144" t="n"/>
      <c r="B474" s="123" t="n"/>
      <c r="C474" s="123" t="n"/>
      <c r="D474" s="123" t="n"/>
      <c r="E474" s="123" t="n"/>
      <c r="F474" s="123" t="n"/>
    </row>
    <row r="475">
      <c r="A475" s="144" t="n"/>
      <c r="B475" s="123" t="n"/>
      <c r="C475" s="123" t="n"/>
      <c r="D475" s="123" t="n"/>
      <c r="E475" s="123" t="n"/>
      <c r="F475" s="123" t="n"/>
    </row>
    <row r="476">
      <c r="A476" s="144" t="n"/>
      <c r="B476" s="123" t="n"/>
      <c r="C476" s="123" t="n"/>
      <c r="D476" s="123" t="n"/>
      <c r="E476" s="123" t="n"/>
      <c r="F476" s="123" t="n"/>
    </row>
    <row r="477">
      <c r="A477" s="144" t="n"/>
      <c r="B477" s="123" t="n"/>
      <c r="C477" s="123" t="n"/>
      <c r="D477" s="123" t="n"/>
      <c r="E477" s="123" t="n"/>
      <c r="F477" s="123" t="n"/>
    </row>
    <row r="478">
      <c r="A478" s="144" t="n"/>
      <c r="B478" s="123" t="n"/>
      <c r="C478" s="123" t="n"/>
      <c r="D478" s="123" t="n"/>
      <c r="E478" s="123" t="n"/>
      <c r="F478" s="123" t="n"/>
    </row>
    <row r="479">
      <c r="A479" s="144" t="n"/>
      <c r="B479" s="123" t="n"/>
      <c r="C479" s="123" t="n"/>
      <c r="D479" s="123" t="n"/>
      <c r="E479" s="123" t="n"/>
      <c r="F479" s="123" t="n"/>
    </row>
    <row r="480">
      <c r="A480" s="144" t="n"/>
      <c r="B480" s="123" t="n"/>
      <c r="C480" s="123" t="n"/>
      <c r="D480" s="123" t="n"/>
      <c r="E480" s="123" t="n"/>
      <c r="F480" s="123" t="n"/>
    </row>
    <row r="481">
      <c r="A481" s="144" t="n"/>
      <c r="B481" s="123" t="n"/>
      <c r="C481" s="123" t="n"/>
      <c r="D481" s="123" t="n"/>
      <c r="E481" s="123" t="n"/>
      <c r="F481" s="123" t="n"/>
    </row>
    <row r="482">
      <c r="A482" s="144" t="n"/>
      <c r="B482" s="123" t="n"/>
      <c r="C482" s="123" t="n"/>
      <c r="D482" s="123" t="n"/>
      <c r="E482" s="123" t="n"/>
      <c r="F482" s="123" t="n"/>
    </row>
    <row r="483">
      <c r="A483" s="144" t="n"/>
      <c r="B483" s="123" t="n"/>
      <c r="C483" s="123" t="n"/>
      <c r="D483" s="123" t="n"/>
      <c r="E483" s="123" t="n"/>
      <c r="F483" s="123" t="n"/>
    </row>
    <row r="484">
      <c r="A484" s="144" t="n"/>
      <c r="B484" s="123" t="n"/>
      <c r="C484" s="123" t="n"/>
      <c r="D484" s="123" t="n"/>
      <c r="E484" s="123" t="n"/>
      <c r="F484" s="123" t="n"/>
    </row>
    <row r="485">
      <c r="A485" s="144" t="n"/>
      <c r="B485" s="123" t="n"/>
      <c r="C485" s="123" t="n"/>
      <c r="D485" s="123" t="n"/>
      <c r="E485" s="123" t="n"/>
      <c r="F485" s="123" t="n"/>
    </row>
    <row r="486">
      <c r="A486" s="144" t="n"/>
      <c r="B486" s="123" t="n"/>
      <c r="C486" s="123" t="n"/>
      <c r="D486" s="123" t="n"/>
      <c r="E486" s="123" t="n"/>
      <c r="F486" s="123" t="n"/>
    </row>
    <row r="487">
      <c r="A487" s="144" t="n"/>
      <c r="B487" s="123" t="n"/>
      <c r="C487" s="123" t="n"/>
      <c r="D487" s="123" t="n"/>
      <c r="E487" s="123" t="n"/>
      <c r="F487" s="123" t="n"/>
    </row>
    <row r="488">
      <c r="A488" s="144" t="n"/>
      <c r="B488" s="123" t="n"/>
      <c r="C488" s="123" t="n"/>
      <c r="D488" s="123" t="n"/>
      <c r="E488" s="123" t="n"/>
      <c r="F488" s="123" t="n"/>
    </row>
    <row r="489">
      <c r="A489" s="144" t="n"/>
      <c r="B489" s="123" t="n"/>
      <c r="C489" s="123" t="n"/>
      <c r="D489" s="123" t="n"/>
      <c r="E489" s="123" t="n"/>
      <c r="F489" s="123" t="n"/>
    </row>
    <row r="490">
      <c r="A490" s="144" t="n"/>
      <c r="B490" s="123" t="n"/>
      <c r="C490" s="123" t="n"/>
      <c r="D490" s="123" t="n"/>
      <c r="E490" s="123" t="n"/>
      <c r="F490" s="123" t="n"/>
    </row>
    <row r="491">
      <c r="A491" s="144" t="n"/>
      <c r="B491" s="123" t="n"/>
      <c r="C491" s="123" t="n"/>
      <c r="D491" s="123" t="n"/>
      <c r="E491" s="123" t="n"/>
      <c r="F491" s="123" t="n"/>
    </row>
    <row r="492">
      <c r="A492" s="144" t="n"/>
      <c r="B492" s="123" t="n"/>
      <c r="C492" s="123" t="n"/>
      <c r="D492" s="123" t="n"/>
      <c r="E492" s="123" t="n"/>
      <c r="F492" s="123" t="n"/>
    </row>
    <row r="493">
      <c r="A493" s="144" t="n"/>
      <c r="B493" s="123" t="n"/>
      <c r="C493" s="123" t="n"/>
      <c r="D493" s="123" t="n"/>
      <c r="E493" s="123" t="n"/>
      <c r="F493" s="123" t="n"/>
    </row>
    <row r="494">
      <c r="A494" s="144" t="n"/>
      <c r="B494" s="123" t="n"/>
      <c r="C494" s="123" t="n"/>
      <c r="D494" s="123" t="n"/>
      <c r="E494" s="123" t="n"/>
      <c r="F494" s="123" t="n"/>
    </row>
    <row r="495">
      <c r="A495" s="144" t="n"/>
      <c r="B495" s="123" t="n"/>
      <c r="C495" s="123" t="n"/>
      <c r="D495" s="123" t="n"/>
      <c r="E495" s="123" t="n"/>
      <c r="F495" s="123" t="n"/>
    </row>
    <row r="496">
      <c r="A496" s="144" t="n"/>
      <c r="B496" s="123" t="n"/>
      <c r="C496" s="123" t="n"/>
      <c r="D496" s="123" t="n"/>
      <c r="E496" s="123" t="n"/>
      <c r="F496" s="123" t="n"/>
    </row>
    <row r="497">
      <c r="A497" s="144" t="n"/>
      <c r="B497" s="123" t="n"/>
      <c r="C497" s="123" t="n"/>
      <c r="D497" s="123" t="n"/>
      <c r="E497" s="123" t="n"/>
      <c r="F497" s="123" t="n"/>
    </row>
    <row r="498">
      <c r="A498" s="144" t="n"/>
      <c r="B498" s="123" t="n"/>
      <c r="C498" s="123" t="n"/>
      <c r="D498" s="123" t="n"/>
      <c r="E498" s="123" t="n"/>
      <c r="F498" s="123" t="n"/>
    </row>
    <row r="499">
      <c r="A499" s="144" t="n"/>
      <c r="B499" s="123" t="n"/>
      <c r="C499" s="123" t="n"/>
      <c r="D499" s="123" t="n"/>
      <c r="E499" s="123" t="n"/>
      <c r="F499" s="123" t="n"/>
    </row>
    <row r="500">
      <c r="A500" s="144" t="n"/>
      <c r="B500" s="123" t="n"/>
      <c r="C500" s="123" t="n"/>
      <c r="D500" s="123" t="n"/>
      <c r="E500" s="123" t="n"/>
      <c r="F500" s="123" t="n"/>
    </row>
    <row r="501">
      <c r="A501" s="144" t="n"/>
      <c r="B501" s="123" t="n"/>
      <c r="C501" s="123" t="n"/>
      <c r="D501" s="123" t="n"/>
      <c r="E501" s="123" t="n"/>
      <c r="F501" s="123" t="n"/>
    </row>
    <row r="502">
      <c r="A502" s="144" t="n"/>
      <c r="B502" s="123" t="n"/>
      <c r="C502" s="123" t="n"/>
      <c r="D502" s="123" t="n"/>
      <c r="E502" s="123" t="n"/>
      <c r="F502" s="123" t="n"/>
    </row>
    <row r="503">
      <c r="A503" s="144" t="n"/>
      <c r="B503" s="123" t="n"/>
      <c r="C503" s="123" t="n"/>
      <c r="D503" s="123" t="n"/>
      <c r="E503" s="123" t="n"/>
      <c r="F503" s="123" t="n"/>
    </row>
    <row r="504">
      <c r="A504" s="144" t="n"/>
      <c r="B504" s="123" t="n"/>
      <c r="C504" s="123" t="n"/>
      <c r="D504" s="123" t="n"/>
      <c r="E504" s="123" t="n"/>
      <c r="F504" s="123" t="n"/>
    </row>
    <row r="505">
      <c r="A505" s="144" t="n"/>
      <c r="B505" s="123" t="n"/>
      <c r="C505" s="123" t="n"/>
      <c r="D505" s="123" t="n"/>
      <c r="E505" s="123" t="n"/>
      <c r="F505" s="123" t="n"/>
    </row>
    <row r="506">
      <c r="A506" s="144" t="n"/>
      <c r="B506" s="123" t="n"/>
      <c r="C506" s="123" t="n"/>
      <c r="D506" s="123" t="n"/>
      <c r="E506" s="123" t="n"/>
      <c r="F506" s="123" t="n"/>
    </row>
    <row r="507">
      <c r="A507" s="144" t="n"/>
      <c r="B507" s="123" t="n"/>
      <c r="C507" s="123" t="n"/>
      <c r="D507" s="123" t="n"/>
      <c r="E507" s="123" t="n"/>
      <c r="F507" s="123" t="n"/>
    </row>
    <row r="508">
      <c r="A508" s="144" t="n"/>
      <c r="B508" s="123" t="n"/>
      <c r="C508" s="123" t="n"/>
      <c r="D508" s="123" t="n"/>
      <c r="E508" s="123" t="n"/>
      <c r="F508" s="123" t="n"/>
    </row>
    <row r="509">
      <c r="A509" s="144" t="n"/>
      <c r="B509" s="123" t="n"/>
      <c r="C509" s="123" t="n"/>
      <c r="D509" s="123" t="n"/>
      <c r="E509" s="123" t="n"/>
      <c r="F509" s="123" t="n"/>
    </row>
    <row r="510">
      <c r="A510" s="144" t="n"/>
      <c r="B510" s="123" t="n"/>
      <c r="C510" s="123" t="n"/>
      <c r="D510" s="123" t="n"/>
      <c r="E510" s="123" t="n"/>
      <c r="F510" s="123" t="n"/>
    </row>
    <row r="511">
      <c r="A511" s="144" t="n"/>
      <c r="B511" s="123" t="n"/>
      <c r="C511" s="123" t="n"/>
      <c r="D511" s="123" t="n"/>
      <c r="E511" s="123" t="n"/>
      <c r="F511" s="123" t="n"/>
    </row>
    <row r="512">
      <c r="A512" s="144" t="n"/>
      <c r="B512" s="123" t="n"/>
      <c r="C512" s="123" t="n"/>
      <c r="D512" s="123" t="n"/>
      <c r="E512" s="123" t="n"/>
      <c r="F512" s="123" t="n"/>
    </row>
    <row r="513">
      <c r="A513" s="144" t="n"/>
      <c r="B513" s="123" t="n"/>
      <c r="C513" s="123" t="n"/>
      <c r="D513" s="123" t="n"/>
      <c r="E513" s="123" t="n"/>
      <c r="F513" s="123" t="n"/>
    </row>
    <row r="514">
      <c r="A514" s="144" t="n"/>
      <c r="B514" s="123" t="n"/>
      <c r="C514" s="123" t="n"/>
      <c r="D514" s="123" t="n"/>
      <c r="E514" s="123" t="n"/>
      <c r="F514" s="123" t="n"/>
    </row>
    <row r="515">
      <c r="A515" s="144" t="n"/>
      <c r="B515" s="123" t="n"/>
      <c r="C515" s="123" t="n"/>
      <c r="D515" s="123" t="n"/>
      <c r="E515" s="123" t="n"/>
      <c r="F515" s="123" t="n"/>
    </row>
    <row r="516">
      <c r="A516" s="144" t="n"/>
      <c r="B516" s="123" t="n"/>
      <c r="C516" s="123" t="n"/>
      <c r="D516" s="123" t="n"/>
      <c r="E516" s="123" t="n"/>
      <c r="F516" s="123" t="n"/>
    </row>
    <row r="517">
      <c r="A517" s="144" t="n"/>
      <c r="B517" s="123" t="n"/>
      <c r="C517" s="123" t="n"/>
      <c r="D517" s="123" t="n"/>
      <c r="E517" s="123" t="n"/>
      <c r="F517" s="123" t="n"/>
    </row>
    <row r="518">
      <c r="A518" s="144" t="n"/>
      <c r="B518" s="123" t="n"/>
      <c r="C518" s="123" t="n"/>
      <c r="D518" s="123" t="n"/>
      <c r="E518" s="123" t="n"/>
      <c r="F518" s="123" t="n"/>
    </row>
    <row r="519">
      <c r="A519" s="144" t="n"/>
      <c r="B519" s="123" t="n"/>
      <c r="C519" s="123" t="n"/>
      <c r="D519" s="123" t="n"/>
      <c r="E519" s="123" t="n"/>
      <c r="F519" s="123" t="n"/>
    </row>
    <row r="520">
      <c r="A520" s="144" t="n"/>
      <c r="B520" s="123" t="n"/>
      <c r="C520" s="123" t="n"/>
      <c r="D520" s="123" t="n"/>
      <c r="E520" s="123" t="n"/>
      <c r="F520" s="123" t="n"/>
    </row>
    <row r="521">
      <c r="A521" s="144" t="n"/>
      <c r="B521" s="123" t="n"/>
      <c r="C521" s="123" t="n"/>
      <c r="D521" s="123" t="n"/>
      <c r="E521" s="123" t="n"/>
      <c r="F521" s="123" t="n"/>
    </row>
    <row r="522">
      <c r="A522" s="144" t="n"/>
      <c r="B522" s="123" t="n"/>
      <c r="C522" s="123" t="n"/>
      <c r="D522" s="123" t="n"/>
      <c r="E522" s="123" t="n"/>
      <c r="F522" s="123" t="n"/>
    </row>
    <row r="523">
      <c r="A523" s="144" t="n"/>
      <c r="B523" s="123" t="n"/>
      <c r="C523" s="123" t="n"/>
      <c r="D523" s="123" t="n"/>
      <c r="E523" s="123" t="n"/>
      <c r="F523" s="123" t="n"/>
    </row>
    <row r="524">
      <c r="A524" s="144" t="n"/>
      <c r="B524" s="123" t="n"/>
      <c r="C524" s="123" t="n"/>
      <c r="D524" s="123" t="n"/>
      <c r="E524" s="123" t="n"/>
      <c r="F524" s="123" t="n"/>
    </row>
    <row r="525">
      <c r="A525" s="144" t="n"/>
      <c r="B525" s="123" t="n"/>
      <c r="C525" s="123" t="n"/>
      <c r="D525" s="123" t="n"/>
      <c r="E525" s="123" t="n"/>
      <c r="F525" s="123" t="n"/>
    </row>
    <row r="526">
      <c r="A526" s="144" t="n"/>
      <c r="B526" s="123" t="n"/>
      <c r="C526" s="123" t="n"/>
      <c r="D526" s="123" t="n"/>
      <c r="E526" s="123" t="n"/>
      <c r="F526" s="123" t="n"/>
    </row>
    <row r="527">
      <c r="A527" s="144" t="n"/>
      <c r="B527" s="123" t="n"/>
      <c r="C527" s="123" t="n"/>
      <c r="D527" s="123" t="n"/>
      <c r="E527" s="123" t="n"/>
      <c r="F527" s="123" t="n"/>
    </row>
    <row r="528">
      <c r="A528" s="144" t="n"/>
      <c r="B528" s="123" t="n"/>
      <c r="C528" s="123" t="n"/>
      <c r="D528" s="123" t="n"/>
      <c r="E528" s="123" t="n"/>
      <c r="F528" s="123" t="n"/>
    </row>
    <row r="529">
      <c r="A529" s="144" t="n"/>
      <c r="B529" s="123" t="n"/>
      <c r="C529" s="123" t="n"/>
      <c r="D529" s="123" t="n"/>
      <c r="E529" s="123" t="n"/>
      <c r="F529" s="123" t="n"/>
    </row>
    <row r="530">
      <c r="A530" s="144" t="n"/>
      <c r="B530" s="123" t="n"/>
      <c r="C530" s="123" t="n"/>
      <c r="D530" s="123" t="n"/>
      <c r="E530" s="123" t="n"/>
      <c r="F530" s="123" t="n"/>
    </row>
    <row r="531">
      <c r="A531" s="144" t="n"/>
      <c r="B531" s="123" t="n"/>
      <c r="C531" s="123" t="n"/>
      <c r="D531" s="123" t="n"/>
      <c r="E531" s="123" t="n"/>
      <c r="F531" s="123" t="n"/>
    </row>
    <row r="532">
      <c r="A532" s="144" t="n"/>
      <c r="B532" s="123" t="n"/>
      <c r="C532" s="123" t="n"/>
      <c r="D532" s="123" t="n"/>
      <c r="E532" s="123" t="n"/>
      <c r="F532" s="123" t="n"/>
    </row>
    <row r="533">
      <c r="A533" s="144" t="n"/>
      <c r="B533" s="123" t="n"/>
      <c r="C533" s="123" t="n"/>
      <c r="D533" s="123" t="n"/>
      <c r="E533" s="123" t="n"/>
      <c r="F533" s="123" t="n"/>
    </row>
    <row r="534">
      <c r="A534" s="144" t="n"/>
      <c r="B534" s="123" t="n"/>
      <c r="C534" s="123" t="n"/>
      <c r="D534" s="123" t="n"/>
      <c r="E534" s="123" t="n"/>
      <c r="F534" s="123" t="n"/>
    </row>
    <row r="535">
      <c r="A535" s="144" t="n"/>
      <c r="B535" s="123" t="n"/>
      <c r="C535" s="123" t="n"/>
      <c r="D535" s="123" t="n"/>
      <c r="E535" s="123" t="n"/>
      <c r="F535" s="123" t="n"/>
    </row>
    <row r="536">
      <c r="A536" s="144" t="n"/>
      <c r="B536" s="123" t="n"/>
      <c r="C536" s="123" t="n"/>
      <c r="D536" s="123" t="n"/>
      <c r="E536" s="123" t="n"/>
      <c r="F536" s="123" t="n"/>
    </row>
    <row r="537">
      <c r="A537" s="144" t="n"/>
      <c r="B537" s="123" t="n"/>
      <c r="C537" s="123" t="n"/>
      <c r="D537" s="123" t="n"/>
      <c r="E537" s="123" t="n"/>
      <c r="F537" s="123" t="n"/>
    </row>
    <row r="538">
      <c r="A538" s="144" t="n"/>
      <c r="B538" s="123" t="n"/>
      <c r="C538" s="123" t="n"/>
      <c r="D538" s="123" t="n"/>
      <c r="E538" s="123" t="n"/>
      <c r="F538" s="123" t="n"/>
    </row>
    <row r="539">
      <c r="A539" s="144" t="n"/>
      <c r="B539" s="123" t="n"/>
      <c r="C539" s="123" t="n"/>
      <c r="D539" s="123" t="n"/>
      <c r="E539" s="123" t="n"/>
      <c r="F539" s="123" t="n"/>
    </row>
    <row r="540">
      <c r="A540" s="144" t="n"/>
      <c r="B540" s="123" t="n"/>
      <c r="C540" s="123" t="n"/>
      <c r="D540" s="123" t="n"/>
      <c r="E540" s="123" t="n"/>
      <c r="F540" s="123" t="n"/>
    </row>
    <row r="541">
      <c r="A541" s="144" t="n"/>
      <c r="B541" s="123" t="n"/>
      <c r="C541" s="123" t="n"/>
      <c r="D541" s="123" t="n"/>
      <c r="E541" s="123" t="n"/>
      <c r="F541" s="123" t="n"/>
    </row>
    <row r="542">
      <c r="A542" s="144" t="n"/>
      <c r="B542" s="123" t="n"/>
      <c r="C542" s="123" t="n"/>
      <c r="D542" s="123" t="n"/>
      <c r="E542" s="123" t="n"/>
      <c r="F542" s="123" t="n"/>
    </row>
    <row r="543">
      <c r="A543" s="144" t="n"/>
      <c r="B543" s="123" t="n"/>
      <c r="C543" s="123" t="n"/>
      <c r="D543" s="123" t="n"/>
      <c r="E543" s="123" t="n"/>
      <c r="F543" s="123" t="n"/>
    </row>
    <row r="544">
      <c r="A544" s="144" t="n"/>
      <c r="B544" s="123" t="n"/>
      <c r="C544" s="123" t="n"/>
      <c r="D544" s="123" t="n"/>
      <c r="E544" s="123" t="n"/>
      <c r="F544" s="123" t="n"/>
    </row>
    <row r="545">
      <c r="A545" s="144" t="n"/>
      <c r="B545" s="123" t="n"/>
      <c r="C545" s="123" t="n"/>
      <c r="D545" s="123" t="n"/>
      <c r="E545" s="123" t="n"/>
      <c r="F545" s="123" t="n"/>
    </row>
    <row r="546">
      <c r="A546" s="144" t="n"/>
      <c r="B546" s="123" t="n"/>
      <c r="C546" s="123" t="n"/>
      <c r="D546" s="123" t="n"/>
      <c r="E546" s="123" t="n"/>
      <c r="F546" s="123" t="n"/>
    </row>
    <row r="547">
      <c r="A547" s="144" t="n"/>
      <c r="B547" s="123" t="n"/>
      <c r="C547" s="123" t="n"/>
      <c r="D547" s="123" t="n"/>
      <c r="E547" s="123" t="n"/>
      <c r="F547" s="123" t="n"/>
    </row>
    <row r="548">
      <c r="A548" s="144" t="n"/>
      <c r="B548" s="123" t="n"/>
      <c r="C548" s="123" t="n"/>
      <c r="D548" s="123" t="n"/>
      <c r="E548" s="123" t="n"/>
      <c r="F548" s="123" t="n"/>
    </row>
    <row r="549">
      <c r="A549" s="144" t="n"/>
      <c r="B549" s="123" t="n"/>
      <c r="C549" s="123" t="n"/>
      <c r="D549" s="123" t="n"/>
      <c r="E549" s="123" t="n"/>
      <c r="F549" s="123" t="n"/>
    </row>
    <row r="550">
      <c r="A550" s="144" t="n"/>
      <c r="B550" s="123" t="n"/>
      <c r="C550" s="123" t="n"/>
      <c r="D550" s="123" t="n"/>
      <c r="E550" s="123" t="n"/>
      <c r="F550" s="123" t="n"/>
    </row>
    <row r="551">
      <c r="A551" s="144" t="n"/>
      <c r="B551" s="123" t="n"/>
      <c r="C551" s="123" t="n"/>
      <c r="D551" s="123" t="n"/>
      <c r="E551" s="123" t="n"/>
      <c r="F551" s="123" t="n"/>
    </row>
    <row r="552">
      <c r="A552" s="144" t="n"/>
      <c r="B552" s="123" t="n"/>
      <c r="C552" s="123" t="n"/>
      <c r="D552" s="123" t="n"/>
      <c r="E552" s="123" t="n"/>
      <c r="F552" s="123" t="n"/>
    </row>
    <row r="553">
      <c r="A553" s="144" t="n"/>
      <c r="B553" s="123" t="n"/>
      <c r="C553" s="123" t="n"/>
      <c r="D553" s="123" t="n"/>
      <c r="E553" s="123" t="n"/>
      <c r="F553" s="123" t="n"/>
    </row>
    <row r="554">
      <c r="A554" s="144" t="n"/>
      <c r="B554" s="123" t="n"/>
      <c r="C554" s="123" t="n"/>
      <c r="D554" s="123" t="n"/>
      <c r="E554" s="123" t="n"/>
      <c r="F554" s="123" t="n"/>
    </row>
    <row r="555">
      <c r="A555" s="144" t="n"/>
      <c r="B555" s="123" t="n"/>
      <c r="C555" s="123" t="n"/>
      <c r="D555" s="123" t="n"/>
      <c r="E555" s="123" t="n"/>
      <c r="F555" s="123" t="n"/>
    </row>
    <row r="556">
      <c r="A556" s="144" t="n"/>
      <c r="B556" s="123" t="n"/>
      <c r="C556" s="123" t="n"/>
      <c r="D556" s="123" t="n"/>
      <c r="E556" s="123" t="n"/>
      <c r="F556" s="123" t="n"/>
    </row>
    <row r="557">
      <c r="A557" s="144" t="n"/>
      <c r="B557" s="123" t="n"/>
      <c r="C557" s="123" t="n"/>
      <c r="D557" s="123" t="n"/>
      <c r="E557" s="123" t="n"/>
      <c r="F557" s="123" t="n"/>
    </row>
    <row r="558">
      <c r="A558" s="144" t="n"/>
      <c r="B558" s="123" t="n"/>
      <c r="C558" s="123" t="n"/>
      <c r="D558" s="123" t="n"/>
      <c r="E558" s="123" t="n"/>
      <c r="F558" s="123" t="n"/>
    </row>
    <row r="559">
      <c r="A559" s="144" t="n"/>
      <c r="B559" s="123" t="n"/>
      <c r="C559" s="123" t="n"/>
      <c r="D559" s="123" t="n"/>
      <c r="E559" s="123" t="n"/>
      <c r="F559" s="123" t="n"/>
    </row>
    <row r="560">
      <c r="A560" s="144" t="n"/>
      <c r="B560" s="123" t="n"/>
      <c r="C560" s="123" t="n"/>
      <c r="D560" s="123" t="n"/>
      <c r="E560" s="123" t="n"/>
      <c r="F560" s="123" t="n"/>
    </row>
    <row r="561">
      <c r="A561" s="144" t="n"/>
      <c r="B561" s="123" t="n"/>
      <c r="C561" s="123" t="n"/>
      <c r="D561" s="123" t="n"/>
      <c r="E561" s="123" t="n"/>
      <c r="F561" s="123" t="n"/>
    </row>
    <row r="562">
      <c r="A562" s="144" t="n"/>
      <c r="B562" s="123" t="n"/>
      <c r="C562" s="123" t="n"/>
      <c r="D562" s="123" t="n"/>
      <c r="E562" s="123" t="n"/>
      <c r="F562" s="123" t="n"/>
    </row>
    <row r="563">
      <c r="A563" s="144" t="n"/>
      <c r="B563" s="123" t="n"/>
      <c r="C563" s="123" t="n"/>
      <c r="D563" s="123" t="n"/>
      <c r="E563" s="123" t="n"/>
      <c r="F563" s="123" t="n"/>
    </row>
    <row r="564">
      <c r="A564" s="144" t="n"/>
      <c r="B564" s="123" t="n"/>
      <c r="C564" s="123" t="n"/>
      <c r="D564" s="123" t="n"/>
      <c r="E564" s="123" t="n"/>
      <c r="F564" s="123" t="n"/>
    </row>
    <row r="565">
      <c r="A565" s="144" t="n"/>
      <c r="B565" s="123" t="n"/>
      <c r="C565" s="123" t="n"/>
      <c r="D565" s="123" t="n"/>
      <c r="E565" s="123" t="n"/>
      <c r="F565" s="123" t="n"/>
    </row>
    <row r="566">
      <c r="A566" s="144" t="n"/>
      <c r="B566" s="123" t="n"/>
      <c r="C566" s="123" t="n"/>
      <c r="D566" s="123" t="n"/>
      <c r="E566" s="123" t="n"/>
      <c r="F566" s="123" t="n"/>
    </row>
    <row r="567">
      <c r="A567" s="144" t="n"/>
      <c r="B567" s="123" t="n"/>
      <c r="C567" s="123" t="n"/>
      <c r="D567" s="123" t="n"/>
      <c r="E567" s="123" t="n"/>
      <c r="F567" s="123" t="n"/>
    </row>
    <row r="568">
      <c r="A568" s="144" t="n"/>
      <c r="B568" s="123" t="n"/>
      <c r="C568" s="123" t="n"/>
      <c r="D568" s="123" t="n"/>
      <c r="E568" s="123" t="n"/>
      <c r="F568" s="123" t="n"/>
    </row>
    <row r="569">
      <c r="A569" s="144" t="n"/>
      <c r="B569" s="123" t="n"/>
      <c r="C569" s="123" t="n"/>
      <c r="D569" s="123" t="n"/>
      <c r="E569" s="123" t="n"/>
      <c r="F569" s="123" t="n"/>
    </row>
    <row r="570">
      <c r="A570" s="144" t="n"/>
      <c r="B570" s="123" t="n"/>
      <c r="C570" s="123" t="n"/>
      <c r="D570" s="123" t="n"/>
      <c r="E570" s="123" t="n"/>
      <c r="F570" s="123" t="n"/>
    </row>
    <row r="571">
      <c r="A571" s="144" t="n"/>
      <c r="B571" s="123" t="n"/>
      <c r="C571" s="123" t="n"/>
      <c r="D571" s="123" t="n"/>
      <c r="E571" s="123" t="n"/>
      <c r="F571" s="123" t="n"/>
    </row>
    <row r="572">
      <c r="A572" s="144" t="n"/>
      <c r="B572" s="123" t="n"/>
      <c r="C572" s="123" t="n"/>
      <c r="D572" s="123" t="n"/>
      <c r="E572" s="123" t="n"/>
      <c r="F572" s="123" t="n"/>
    </row>
    <row r="573">
      <c r="A573" s="144" t="n"/>
      <c r="B573" s="123" t="n"/>
      <c r="C573" s="123" t="n"/>
      <c r="D573" s="123" t="n"/>
      <c r="E573" s="123" t="n"/>
      <c r="F573" s="123" t="n"/>
    </row>
    <row r="574">
      <c r="A574" s="144" t="n"/>
      <c r="B574" s="123" t="n"/>
      <c r="C574" s="123" t="n"/>
      <c r="D574" s="123" t="n"/>
      <c r="E574" s="123" t="n"/>
      <c r="F574" s="123" t="n"/>
    </row>
    <row r="575">
      <c r="A575" s="144" t="n"/>
      <c r="B575" s="123" t="n"/>
      <c r="C575" s="123" t="n"/>
      <c r="D575" s="123" t="n"/>
      <c r="E575" s="123" t="n"/>
      <c r="F575" s="123" t="n"/>
    </row>
    <row r="576">
      <c r="A576" s="144" t="n"/>
      <c r="B576" s="123" t="n"/>
      <c r="C576" s="123" t="n"/>
      <c r="D576" s="123" t="n"/>
      <c r="E576" s="123" t="n"/>
      <c r="F576" s="123" t="n"/>
    </row>
    <row r="577">
      <c r="A577" s="144" t="n"/>
      <c r="B577" s="123" t="n"/>
      <c r="C577" s="123" t="n"/>
      <c r="D577" s="123" t="n"/>
      <c r="E577" s="123" t="n"/>
      <c r="F577" s="123" t="n"/>
    </row>
    <row r="578">
      <c r="A578" s="144" t="n"/>
      <c r="B578" s="123" t="n"/>
      <c r="C578" s="123" t="n"/>
      <c r="D578" s="123" t="n"/>
      <c r="E578" s="123" t="n"/>
      <c r="F578" s="123" t="n"/>
    </row>
    <row r="579">
      <c r="A579" s="144" t="n"/>
      <c r="B579" s="123" t="n"/>
      <c r="C579" s="123" t="n"/>
      <c r="D579" s="123" t="n"/>
      <c r="E579" s="123" t="n"/>
      <c r="F579" s="123" t="n"/>
    </row>
    <row r="580">
      <c r="A580" s="144" t="n"/>
      <c r="B580" s="123" t="n"/>
      <c r="C580" s="123" t="n"/>
      <c r="D580" s="123" t="n"/>
      <c r="E580" s="123" t="n"/>
      <c r="F580" s="123" t="n"/>
    </row>
    <row r="581">
      <c r="A581" s="144" t="n"/>
      <c r="B581" s="123" t="n"/>
      <c r="C581" s="123" t="n"/>
      <c r="D581" s="123" t="n"/>
      <c r="E581" s="123" t="n"/>
      <c r="F581" s="123" t="n"/>
    </row>
    <row r="582">
      <c r="A582" s="144" t="n"/>
      <c r="B582" s="123" t="n"/>
      <c r="C582" s="123" t="n"/>
      <c r="D582" s="123" t="n"/>
      <c r="E582" s="123" t="n"/>
      <c r="F582" s="123" t="n"/>
    </row>
    <row r="583">
      <c r="A583" s="144" t="n"/>
      <c r="B583" s="123" t="n"/>
      <c r="C583" s="123" t="n"/>
      <c r="D583" s="123" t="n"/>
      <c r="E583" s="123" t="n"/>
      <c r="F583" s="123" t="n"/>
    </row>
    <row r="584">
      <c r="A584" s="144" t="n"/>
      <c r="B584" s="123" t="n"/>
      <c r="C584" s="123" t="n"/>
      <c r="D584" s="123" t="n"/>
      <c r="E584" s="123" t="n"/>
      <c r="F584" s="123" t="n"/>
    </row>
    <row r="585">
      <c r="A585" s="144" t="n"/>
      <c r="B585" s="123" t="n"/>
      <c r="C585" s="123" t="n"/>
      <c r="D585" s="123" t="n"/>
      <c r="E585" s="123" t="n"/>
      <c r="F585" s="123" t="n"/>
    </row>
    <row r="586">
      <c r="A586" s="144" t="n"/>
      <c r="B586" s="123" t="n"/>
      <c r="C586" s="123" t="n"/>
      <c r="D586" s="123" t="n"/>
      <c r="E586" s="123" t="n"/>
      <c r="F586" s="123" t="n"/>
    </row>
    <row r="587">
      <c r="A587" s="144" t="n"/>
      <c r="B587" s="123" t="n"/>
      <c r="C587" s="123" t="n"/>
      <c r="D587" s="123" t="n"/>
      <c r="E587" s="123" t="n"/>
      <c r="F587" s="123" t="n"/>
    </row>
    <row r="588">
      <c r="A588" s="144" t="n"/>
      <c r="B588" s="123" t="n"/>
      <c r="C588" s="123" t="n"/>
      <c r="D588" s="123" t="n"/>
      <c r="E588" s="123" t="n"/>
      <c r="F588" s="123" t="n"/>
    </row>
    <row r="589">
      <c r="A589" s="144" t="n"/>
      <c r="B589" s="123" t="n"/>
      <c r="C589" s="123" t="n"/>
      <c r="D589" s="123" t="n"/>
      <c r="E589" s="123" t="n"/>
      <c r="F589" s="123" t="n"/>
    </row>
    <row r="590">
      <c r="A590" s="144" t="n"/>
      <c r="B590" s="123" t="n"/>
      <c r="C590" s="123" t="n"/>
      <c r="D590" s="123" t="n"/>
      <c r="E590" s="123" t="n"/>
      <c r="F590" s="123" t="n"/>
    </row>
    <row r="591">
      <c r="A591" s="144" t="n"/>
      <c r="B591" s="123" t="n"/>
      <c r="C591" s="123" t="n"/>
      <c r="D591" s="123" t="n"/>
      <c r="E591" s="123" t="n"/>
      <c r="F591" s="123" t="n"/>
    </row>
    <row r="592">
      <c r="A592" s="144" t="n"/>
      <c r="B592" s="123" t="n"/>
      <c r="C592" s="123" t="n"/>
      <c r="D592" s="123" t="n"/>
      <c r="E592" s="123" t="n"/>
      <c r="F592" s="123" t="n"/>
    </row>
    <row r="593">
      <c r="A593" s="144" t="n"/>
      <c r="B593" s="123" t="n"/>
      <c r="C593" s="123" t="n"/>
      <c r="D593" s="123" t="n"/>
      <c r="E593" s="123" t="n"/>
      <c r="F593" s="123" t="n"/>
    </row>
  </sheetData>
  <mergeCells count="5">
    <mergeCell ref="B1:C2"/>
    <mergeCell ref="A21:A28"/>
    <mergeCell ref="B3:C5"/>
    <mergeCell ref="A14:A18"/>
    <mergeCell ref="A1:A5"/>
  </mergeCells>
  <dataValidations count="1">
    <dataValidation sqref="B10:F11" showDropDown="0" showInputMessage="0" showErrorMessage="0" allowBlank="1" type="list">
      <formula1>"In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2026-07-07T13:07:25Z</dcterms:created>
  <dcterms:modified xsi:type="dcterms:W3CDTF">2026-07-10T07:40:54Z</dcterms:modified>
</cp:coreProperties>
</file>