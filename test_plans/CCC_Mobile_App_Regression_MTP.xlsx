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 Test Tracker" sheetId="1" r:id="rId5"/>
    <sheet state="visible" name="Personal ID Tests" sheetId="2" r:id="rId6"/>
    <sheet state="visible" name="Integration Tests (Connect)" sheetId="3" r:id="rId7"/>
    <sheet state="visible" name="Connect Landing Page" sheetId="4" r:id="rId8"/>
    <sheet state="visible" name="Connect messaging" sheetId="5" r:id="rId9"/>
    <sheet state="visible" name="Connect Notifications" sheetId="6" r:id="rId10"/>
    <sheet state="visible" name="Connect worker History" sheetId="7" r:id="rId11"/>
    <sheet state="visible" name="Case List map " sheetId="8" r:id="rId12"/>
    <sheet state="hidden" name="Test Tracker Horizontal"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tc={9ee0d9c4-f238-417d-b546-90a160721610}</author>
    <author>tc={c942e778-99b9-41cb-95b4-a9e93a4e5691}</author>
  </authors>
  <commentList>
    <comment authorId="0" xr:uid="{9ee0d9c4-f238-417d-b546-90a160721610}" ref="B36">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 authorId="1" xr:uid="{c942e778-99b9-41cb-95b4-a9e93a4e5691}" ref="C1">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tc={ee18a058-e369-465e-acb0-abb79ad1dfdb}</author>
  </authors>
  <commentList>
    <comment authorId="0" xr:uid="{ee18a058-e369-465e-acb0-abb79ad1dfdb}" ref="C3">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sharedStrings.xml><?xml version="1.0" encoding="utf-8"?>
<sst xmlns="http://schemas.openxmlformats.org/spreadsheetml/2006/main" count="742" uniqueCount="637">
  <si>
    <t>CCC: Mobile Regression [Master]</t>
  </si>
  <si>
    <t>Keys</t>
  </si>
  <si>
    <t>Pass</t>
  </si>
  <si>
    <t>Passed steps of Test Case</t>
  </si>
  <si>
    <t>Fail</t>
  </si>
  <si>
    <t>Failed steps of Test Case</t>
  </si>
  <si>
    <t>N/A</t>
  </si>
  <si>
    <t>Not applicable to your testing</t>
  </si>
  <si>
    <t>Blocking</t>
  </si>
  <si>
    <t>Failed and is a critical feature or cannot proceed with testing</t>
  </si>
  <si>
    <t>Name of Tester</t>
  </si>
  <si>
    <t>Start Date</t>
  </si>
  <si>
    <t>End Date</t>
  </si>
  <si>
    <t>Unanswered</t>
  </si>
  <si>
    <t>Unanswered/ blank test cases</t>
  </si>
  <si>
    <t>Tab</t>
  </si>
  <si>
    <t>Execution Status</t>
  </si>
  <si>
    <t>Duration (In Hours)</t>
  </si>
  <si>
    <t>Comments (if any)</t>
  </si>
  <si>
    <t>Case Results
(if none, displays as 0)</t>
  </si>
  <si>
    <t>Total</t>
  </si>
  <si>
    <t>Ticket Summaries (if none, displays as #N/A)</t>
  </si>
  <si>
    <t>Test Case ID</t>
  </si>
  <si>
    <t>Description</t>
  </si>
  <si>
    <t>Steps</t>
  </si>
  <si>
    <t>Outcome</t>
  </si>
  <si>
    <t>Status (Pass/Fail)</t>
  </si>
  <si>
    <t>Ticket/ Bug</t>
  </si>
  <si>
    <t>Comments</t>
  </si>
  <si>
    <t>TC_01</t>
  </si>
  <si>
    <t>Confirm an existing user is able to sign in and is able to continue to work</t>
  </si>
  <si>
    <t>1. Install CCC app
2. Expand left hand menu
3. Click on sign up/ register for personal ID
4. Sign up with personal ID
5. Verify all the opportunities progress is able to resume</t>
  </si>
  <si>
    <t>Exisiting user should be able to sign in and continue to workl</t>
  </si>
  <si>
    <t>TC_02</t>
  </si>
  <si>
    <t>Verify when user updates to the latest beta app, the user remains signed in</t>
  </si>
  <si>
    <t xml:space="preserve">1. Sign up for personal ID
2. Update the app to latest version
</t>
  </si>
  <si>
    <t>- Already signed in user should remain signed in on updating to the latest version
- The user shouldn't lose any information or progress for any of the opportunity</t>
  </si>
  <si>
    <t>TC_03</t>
  </si>
  <si>
    <t>Verify user can logout of Personal ID and re-authenitcate themselves</t>
  </si>
  <si>
    <t xml:space="preserve">1. Sign up for personal ID
2. Submit few delivery forms for an opportunity
3. Click on 3 dots menu &gt;&gt; forget personal ID
4. Again sign up for personal ID
</t>
  </si>
  <si>
    <t xml:space="preserve">User should be able to resume work after sign-ing in again </t>
  </si>
  <si>
    <t>TC_04</t>
  </si>
  <si>
    <t>Verify user sees a new Hamburger menu on the left side top corner</t>
  </si>
  <si>
    <t>1. Install CCC app
2. Expand left hand menu
3. Click on sign up/ register for personal ID
4. Sign up with personal ID</t>
  </si>
  <si>
    <t>User should be able to see the hamburger option
- Upon clicking it hamburger option, new side navigation drawer should get open
- Should see a "sign up/register for personalID", "About" options</t>
  </si>
  <si>
    <t>TC_05</t>
  </si>
  <si>
    <t>Verify on clicking the "Sign up Personal ID" option, user is redirected to the Start Page</t>
  </si>
  <si>
    <t>1. Install CCC app
2. Expand left hand menu
3. Click on sign up for personal ID</t>
  </si>
  <si>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</si>
  <si>
    <t>TC_06</t>
  </si>
  <si>
    <t xml:space="preserve">Verify validations for the phone number field </t>
  </si>
  <si>
    <t xml:space="preserve">Continue from above TC
- enter mobile number
</t>
  </si>
  <si>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</si>
  <si>
    <t>TC_07</t>
  </si>
  <si>
    <t>Confirm on clicking the continue button, user is taken to the Android Device Authentication page</t>
  </si>
  <si>
    <t xml:space="preserve">Continue from above TC
- enter mobile number and continue
</t>
  </si>
  <si>
    <t>- User should be asked to verify themselves by using PIN/Pattern or biometrics that they have configured for their android device</t>
  </si>
  <si>
    <t>TC_08</t>
  </si>
  <si>
    <t xml:space="preserve">Verify that user is taken to device settings, to configure authentication when there's no device authentication configured </t>
  </si>
  <si>
    <r>
      <rPr>
        <rFont val="Arial"/>
        <b/>
        <color theme="1"/>
      </rPr>
      <t>Prerequisite:</t>
    </r>
    <r>
      <rPr>
        <rFont val="Arial"/>
        <color theme="1"/>
      </rPr>
      <t xml:space="preserve"> Mobile device shouldn't be have any lock/finger print configurations
1. Click on Sign up for personal ID
2. Enter mobile number and click continue
3. Click on configure fingerprint
4. User should be taken to device settings to configure fingerprint</t>
    </r>
  </si>
  <si>
    <t>- User should be taken to the settings to configure fingerprints on the device
- User should see the option "Configure Fingerprint"  on the screen when there's no biometrics configured on the device</t>
  </si>
  <si>
    <t>TC_09</t>
  </si>
  <si>
    <t xml:space="preserve">Verify on authenticating the android device successfully, user is taken to the OTP page </t>
  </si>
  <si>
    <t>Continue to above TC
- Click on agree &amp; continue 
- Scan fingerprint/ enter lock pin or pattern
- user lands on the otp page</t>
  </si>
  <si>
    <t xml:space="preserve">- User should be redirected to the OTP screen once they have successfully authenticated the android device </t>
  </si>
  <si>
    <t>TC_10</t>
  </si>
  <si>
    <t>Confirm when user lands on the OTP page, they receive an OTP on the mobile number they entered on the Start page</t>
  </si>
  <si>
    <t xml:space="preserve">- User should recieve an OTP on the mobile number they entered when they land on the OTP page
- Verify and Resend button should remain greyed out </t>
  </si>
  <si>
    <t>TC_11</t>
  </si>
  <si>
    <t>Confirm user is able to resen code after 120 seconds only</t>
  </si>
  <si>
    <t>1.Click on sign up for personal ID
2. Enter mobile number
3. Authenticate with app lock/finger print
4. Otp generates, wait 120 seconds and resend code button is enabled
5. Click on resend button</t>
  </si>
  <si>
    <t>- User should only be able to click on the Resend button after the 120 secs have passed 
- They should receive the same OTP again when they click on the resend code button
- The button should get disabled again after user have pressed it</t>
  </si>
  <si>
    <t>TC_12</t>
  </si>
  <si>
    <t>Confirm that the verify button gets enabled when user enter the OTP code</t>
  </si>
  <si>
    <t>Continue from above TC
- Enter the generated otp in the fields
- Verify button is enabled</t>
  </si>
  <si>
    <t xml:space="preserve">- Verify button should get enabled when user enters a code in the OTP field 
- Button shouold get enabled even if the OTP entered is wrong </t>
  </si>
  <si>
    <t>TC_13</t>
  </si>
  <si>
    <t>Verify user cannot verify the phone by entering the wrong OTP</t>
  </si>
  <si>
    <t>Continue from above TC
- Enter the wrong otp &gt;&gt; click on verify button</t>
  </si>
  <si>
    <t xml:space="preserve">- User should see an error message if they enter the wrong OTP and click on verify button </t>
  </si>
  <si>
    <t>TC_14</t>
  </si>
  <si>
    <t xml:space="preserve">Confirm that user is able to enter and delete any digit in the OTP fields </t>
  </si>
  <si>
    <t xml:space="preserve">- User should be able to enter any digits in the OTP fields without any issue 
- User should also be able to delete any digit in the OTP fields and the cursor should move back to the previous field </t>
  </si>
  <si>
    <t>TC_15</t>
  </si>
  <si>
    <t xml:space="preserve">Verify on successfully verifying the OTP, user is taken to the Name page </t>
  </si>
  <si>
    <t>Cont from above TC
- Enter correct otp &gt;&gt; click on verify button</t>
  </si>
  <si>
    <t>- User should be redirected to the Name page on entering the correct OTP</t>
  </si>
  <si>
    <t>TC_16</t>
  </si>
  <si>
    <t>Confirm user can change the phone number by clicking the 'change' option</t>
  </si>
  <si>
    <t>1.Click on sign up for personal ID
2. Enter mobile number
3. Click on change option on verification code page</t>
  </si>
  <si>
    <t xml:space="preserve">- User should be redirected back to the Start page if they click on the change option 
- User should be able to edit the phone number and restart the sign up process again </t>
  </si>
  <si>
    <t>TC_17</t>
  </si>
  <si>
    <t>Confirm user sees the page title and name field on the Name page</t>
  </si>
  <si>
    <t>1. Click on sign up for personal ID
2. Enter mobile number
3. Agree and continue with fingerprint
4. Enter otp and verify
5. User lands on the name page</t>
  </si>
  <si>
    <t>- User should see the subtitle heading on the page "Please enter your name as it appears on your government-issued identification"
- User should also see a Name field and a continue button on the screen</t>
  </si>
  <si>
    <t>TC_18</t>
  </si>
  <si>
    <t xml:space="preserve">Confirm users name is verified agains the DB for potential duplicate account </t>
  </si>
  <si>
    <t>cont from above TC
- Enter name and click continue</t>
  </si>
  <si>
    <t>- After the user selects “Continue” the system will be validating this name against a fuzzy match of possible names in the DB to suggest possible duplicates. 
- From here the flow will branch depending upon if this is a new or returning user</t>
  </si>
  <si>
    <t>TC_19</t>
  </si>
  <si>
    <t xml:space="preserve">Confirm user lands on the "Backup Code" screen after entering the name </t>
  </si>
  <si>
    <t>cont from above TC
- Click continue on name page 
- User land son the back up code screen</t>
  </si>
  <si>
    <t xml:space="preserve">- User should land on the "Backup Code" page/screen 
- Here, Dimagi logo should've been updated by CommCare logo 
- User should see two fields to setup backup code and continue button </t>
  </si>
  <si>
    <t>TC_20</t>
  </si>
  <si>
    <t xml:space="preserve">Verify user can setup a backup code and conitnue forward </t>
  </si>
  <si>
    <t>cont from above TC
- Enter the back up code field
- Enter the same code in confirm field
- Click on continue</t>
  </si>
  <si>
    <t xml:space="preserve">- User should be able to setup a new bacup code by entering the same code in both the fields 
i) Code 
ii) Confirm Code 
- User should be be navigated to the 'Photo' page on clicking continue </t>
  </si>
  <si>
    <t>TC_21</t>
  </si>
  <si>
    <t>Ensure user can only continue if they enter the same code in the two input boxes</t>
  </si>
  <si>
    <t xml:space="preserve">- User should see an error message, when the code in the two input fields do not match 
- User should not be able to continue to next page </t>
  </si>
  <si>
    <t>TC_22</t>
  </si>
  <si>
    <t>Verify user can see the code they have entered by clicking the eye icon</t>
  </si>
  <si>
    <t xml:space="preserve">- On clicking the eye icon on the two fields, the backup code should get revealed to the user
- They should be able to undo it by clicking the icon again </t>
  </si>
  <si>
    <t>TC_23</t>
  </si>
  <si>
    <t>Confirm user is taken to the "Take Photo" page after they have configured the backup code</t>
  </si>
  <si>
    <t>1. Configure the back up code 
2. Click on continue
3. User lands on capture photo page</t>
  </si>
  <si>
    <r>
      <rPr>
        <rFont val="arial,sans,sans-serif"/>
        <color rgb="FF000000"/>
        <sz val="10.0"/>
      </rPr>
      <t xml:space="preserve">- User should see the commcare logo on the screen instead of Dimagi logo 
- User should see 'Welcome </t>
    </r>
    <r>
      <rPr>
        <rFont val="arial,sans,sans-serif"/>
        <i/>
        <color rgb="FF000000"/>
        <sz val="10.0"/>
      </rPr>
      <t>xyz</t>
    </r>
    <r>
      <rPr>
        <rFont val="arial,sans,sans-serif"/>
        <color rgb="FF000000"/>
        <sz val="10.0"/>
      </rPr>
      <t xml:space="preserve">" and "Please take a photo of yourself to complete your account setup" with a profile icon on the page 
- User should also see two buttons Take Photo (enabled) and Save Photo (disabled) </t>
    </r>
  </si>
  <si>
    <t>TC_24</t>
  </si>
  <si>
    <t>Confirm that user can take a photo by clicking take photo option</t>
  </si>
  <si>
    <t>continue from above TC
- Click on the take photo option</t>
  </si>
  <si>
    <t>- Front camera should open when, user clicks on "Take Photo" option
- User should be able to click a selfie when the camera opens. (It should auto capture as there is no click button)
- User should see the clicked picture on the screen and 'Save button' should get enabled</t>
  </si>
  <si>
    <t>TC_25</t>
  </si>
  <si>
    <t xml:space="preserve">Confrm user can replace the photo they saved </t>
  </si>
  <si>
    <t>cont from above TC:
- Click on take photo option to replace photo</t>
  </si>
  <si>
    <t>- User should be able to replace the photo by taking a new photo
- The picutre should get updated by the new one on the 'Capture Photo' screen</t>
  </si>
  <si>
    <t>TC_26</t>
  </si>
  <si>
    <t xml:space="preserve">Confirm user can save the picture and the account is created </t>
  </si>
  <si>
    <t>cont from above TC
- Click on save photo button</t>
  </si>
  <si>
    <t xml:space="preserve">- On cicking the save photo option, the account should get created 
- User should see a pop-up message, that account created successfully
- User should be taken to the either the CommCare HQ mobile app or Connect homescreen on clicking OK on the pop-up </t>
  </si>
  <si>
    <t>TC_27</t>
  </si>
  <si>
    <t>Verify user sees a pop-up on successful account creation</t>
  </si>
  <si>
    <t>cont from above TC
- Account created successfully message is appeared</t>
  </si>
  <si>
    <r>
      <rPr>
        <rFont val="arial,sans,sans-serif"/>
        <color rgb="FF000000"/>
        <sz val="10.0"/>
      </rPr>
      <t xml:space="preserve">- User should see 'Account Created' pop-up on the screen on saving the photo with the text </t>
    </r>
    <r>
      <rPr>
        <rFont val="arial,sans,sans-serif"/>
        <i/>
        <color rgb="FF000000"/>
        <sz val="10.0"/>
      </rPr>
      <t xml:space="preserve">"Your Personal ID account has been successfully created and is now ready for you to use!"
</t>
    </r>
    <r>
      <rPr>
        <rFont val="arial,sans,sans-serif"/>
        <color rgb="FF000000"/>
        <sz val="10.0"/>
      </rPr>
      <t>- User should be redirected to CommCare HQ mobile app and do not see "Go to Connect Menu" option</t>
    </r>
  </si>
  <si>
    <t>TC_28</t>
  </si>
  <si>
    <t xml:space="preserve">Verify user is able to sign out, by clicking "Forget PersonalID user" </t>
  </si>
  <si>
    <t>cont from above TC
- Click on 3 dot menu
- Click on forget personal ID option</t>
  </si>
  <si>
    <t>- User should be able to sign out of the personal id by clicking the option
- On again clicking the three dot option, use should see "Sign up for PersonalID option</t>
  </si>
  <si>
    <t>TC_29</t>
  </si>
  <si>
    <t>Confirm when user enters an existing phone number, on verifying the number they are taken to the "Enter Backup Code" screen</t>
  </si>
  <si>
    <t xml:space="preserve">1. Click on sign up for personal ID
2. Enter personal ID number
3. Verify with fingerprint
4. Verify with otp
5. Enter name and click continue
6. Enters on backup code screen
</t>
  </si>
  <si>
    <t xml:space="preserve">- When recovering an account, user should be taken to the "Enter Backup Code" screen
- On entering the correct backup code, user should be able to revocer the account 
- They should see a success message that the account is recovered </t>
  </si>
  <si>
    <t>TC_30</t>
  </si>
  <si>
    <t>Verify user see there name and photo associated with the account on the screen</t>
  </si>
  <si>
    <r>
      <rPr>
        <rFont val="arial,sans,sans-serif"/>
        <color rgb="FF000000"/>
        <sz val="10.0"/>
      </rPr>
      <t xml:space="preserve">- User should see there picture on the screen and following text "Welcom back </t>
    </r>
    <r>
      <rPr>
        <rFont val="arial,sans,sans-serif"/>
        <i/>
        <color rgb="FF000000"/>
        <sz val="10.0"/>
      </rPr>
      <t>username</t>
    </r>
    <r>
      <rPr>
        <rFont val="arial,sans,sans-serif"/>
        <color rgb="FF000000"/>
        <sz val="10.0"/>
      </rPr>
      <t xml:space="preserve">"
- They should also see a field to enter the Personal ID Backup Code on the screen
</t>
    </r>
  </si>
  <si>
    <t>"This is not me" option is deprecated</t>
  </si>
  <si>
    <t>TC_31</t>
  </si>
  <si>
    <t>Verify user is unable to recover the account, if they enter a wrong backup code</t>
  </si>
  <si>
    <t>- Enter wrong back up code</t>
  </si>
  <si>
    <t xml:space="preserve">- User shouldn't be able to recover there account on entering the wrong backup code 
- User should see an error pop-up message, that says "Wrong Backup code and informing user that they have only 2 more incorrect attempts left </t>
  </si>
  <si>
    <t>TC_32</t>
  </si>
  <si>
    <t xml:space="preserve">Verify user account is locked when they enter the backup code wrong more than 3 times </t>
  </si>
  <si>
    <t>- Enter wrong back up code more than 3 times</t>
  </si>
  <si>
    <t xml:space="preserve">- On entering the incorrect backup code more that 3 times, user account will be locked </t>
  </si>
  <si>
    <t>TC_35</t>
  </si>
  <si>
    <t>Confirm on devices that don't support fingerprint, user is uanble to sign up for Personal ID</t>
  </si>
  <si>
    <r>
      <rPr>
        <rFont val="Arial"/>
        <b/>
        <color theme="1"/>
      </rPr>
      <t>Prerequisite:</t>
    </r>
    <r>
      <rPr>
        <rFont val="Arial"/>
        <color theme="1"/>
      </rPr>
      <t xml:space="preserve"> Mobile device shouldn't support fingerprint option
1. Click on sign up for personal ID
2. Enter mobile number &gt;&gt; click on continue</t>
    </r>
  </si>
  <si>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</si>
  <si>
    <t>TC_36</t>
  </si>
  <si>
    <t>Verify on logging in on a CC app, user sees a 'Link to Personal ID' pop up</t>
  </si>
  <si>
    <t>1. Sign up for personal ID
2. Install CC app using barcode
3. Login to the CC app</t>
  </si>
  <si>
    <r>
      <rPr>
        <rFont val="arial,sans,sans-serif"/>
        <color rgb="FF000000"/>
        <sz val="10.0"/>
      </rPr>
      <t xml:space="preserve">- User should see a pop-up to  link the MW with the Personal ID, </t>
    </r>
    <r>
      <rPr>
        <rFont val="arial,sans,sans-serif"/>
        <i/>
        <color rgb="FF000000"/>
        <sz val="10.0"/>
      </rPr>
      <t xml:space="preserve">"Do you want to link the login to your PersonalID account? You will not need to type your password in the future."
</t>
    </r>
    <r>
      <rPr>
        <rFont val="arial,sans,sans-serif"/>
        <color rgb="FF000000"/>
        <sz val="10.0"/>
      </rPr>
      <t>- User should see two options 
i) Yes 
ii) No</t>
    </r>
  </si>
  <si>
    <t>TC_38</t>
  </si>
  <si>
    <t>Verify on selecting 'No' user is able to log into the CC app</t>
  </si>
  <si>
    <t>cont from  above TC
- Select No for the "Do you want to link the login to your PersonalID account? You will not need to type your password in the future." pop up</t>
  </si>
  <si>
    <t>- On selecting 'NO', user is able to login into the CC app 
- User is able to submit forms without issue 
- The pop-up does not appears again when user logs out and login again on the app</t>
  </si>
  <si>
    <t>TC_39</t>
  </si>
  <si>
    <t xml:space="preserve">Confirm the MW is now linked with the PersonalID when user clicks on 'Yes' on the pop-up </t>
  </si>
  <si>
    <t>- Select Yes for the "Do you want to link the login to your PersonalID account? You will not need to type your password in the future." pop up</t>
  </si>
  <si>
    <t xml:space="preserve">- MW should be linked to the PersonalID account 
- User should not have to enter password again to login </t>
  </si>
  <si>
    <t>TC_40</t>
  </si>
  <si>
    <t xml:space="preserve">Verify user can also login on the CC app by entering password </t>
  </si>
  <si>
    <t>cont to above TC
- Login to app using password</t>
  </si>
  <si>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</si>
  <si>
    <t>TC_41</t>
  </si>
  <si>
    <t>Verify if user selects 'Yes' on the Unlink PersonalID pop-up, MW unlinks</t>
  </si>
  <si>
    <t>cont to above TC
- Login to app using password
- Click 'yes' to unlink personal ID</t>
  </si>
  <si>
    <t xml:space="preserve">- MW should be unlinked to the Personal ID and user can no longer log into the CC apps using PersonalID 
- User should only be able to login using password </t>
  </si>
  <si>
    <t>TC_42</t>
  </si>
  <si>
    <t>Confirm on selecting 'No'on the unlinl PersonalID option, MW remains linked to the PersonalID</t>
  </si>
  <si>
    <t>cont to above TC
- Login to app using password
- Click 'NO' to not unlink personal ID</t>
  </si>
  <si>
    <t>- User should not be unlinked and should be able to login using the PersonalID</t>
  </si>
  <si>
    <t>TC_43</t>
  </si>
  <si>
    <t>Confirm we see a new column "Personal ID"on mobile workers page on HQ</t>
  </si>
  <si>
    <t xml:space="preserve">- User should see a new column "Personal ID Status" on mobile workers page on HQ
- User should the following two status for the column
i) Not LInked 
ii) Active </t>
  </si>
  <si>
    <t>TC_44</t>
  </si>
  <si>
    <t>Confirm when a MW is linked to Personal ID, 'Unlink PersonalID' button is present for Active column</t>
  </si>
  <si>
    <t>1. Login CC HQ
2. Naviagte to users &gt;&gt; Mobile workers</t>
  </si>
  <si>
    <t xml:space="preserve">- Admin user should see "Unlink PersonalID" button, under Action column with Deactivate button </t>
  </si>
  <si>
    <t>TC_45</t>
  </si>
  <si>
    <t>Verify on clicking on "Unlink PersonalID" button, user can unlink the MW with PersonalID</t>
  </si>
  <si>
    <r>
      <rPr>
        <rFont val="arial,sans,sans-serif"/>
        <color rgb="FF000000"/>
        <sz val="10.0"/>
      </rPr>
      <t xml:space="preserve">- On clicking "Unlink PersonalID" option, we see a pop-up on HQ </t>
    </r>
    <r>
      <rPr>
        <rFont val="arial,sans,sans-serif"/>
        <i/>
        <color rgb="FF000000"/>
        <sz val="10.0"/>
      </rPr>
      <t>"Are you sure you want to unlink the PersonalID account for this mobile worker?</t>
    </r>
    <r>
      <rPr>
        <rFont val="arial,sans,sans-serif"/>
        <color rgb="FF000000"/>
        <sz val="10.0"/>
      </rPr>
      <t xml:space="preserve">" and see the two options 
i) Cancel 
ii) Unlink </t>
    </r>
  </si>
  <si>
    <t>TC_46</t>
  </si>
  <si>
    <t>Confrim on selecting the Unlink option, MW is not linked to the PersonalID anymore</t>
  </si>
  <si>
    <r>
      <rPr>
        <rFont val="arial,sans,sans-serif"/>
        <color rgb="FF000000"/>
        <sz val="10.0"/>
      </rPr>
      <t xml:space="preserve">- MW should get unlinked from PersonalID and PersonalID status should get updated to </t>
    </r>
    <r>
      <rPr>
        <rFont val="arial,sans,sans-serif"/>
        <i/>
        <color rgb="FF000000"/>
        <sz val="10.0"/>
      </rPr>
      <t>Inactive</t>
    </r>
    <r>
      <rPr>
        <rFont val="arial,sans,sans-serif"/>
        <color rgb="FF000000"/>
        <sz val="10.0"/>
      </rPr>
      <t xml:space="preserve"> 
- User should now see a </t>
    </r>
    <r>
      <rPr>
        <rFont val="arial,sans,sans-serif"/>
        <i/>
        <color rgb="FF000000"/>
        <sz val="10.0"/>
      </rPr>
      <t>'Link PersonalID'</t>
    </r>
    <r>
      <rPr>
        <rFont val="arial,sans,sans-serif"/>
        <color rgb="FF000000"/>
        <sz val="10.0"/>
      </rPr>
      <t xml:space="preserve"> option for the MW
- User should not see the option to login via PersonalID on the CC app</t>
    </r>
  </si>
  <si>
    <t>TC_47</t>
  </si>
  <si>
    <t>Confirm user sees "Go to Connect Menu" when they have signed up for PersonalID</t>
  </si>
  <si>
    <t>- User should see "Go to Connect Menu" option for the Beta Release but not for Mainline release app</t>
  </si>
  <si>
    <t xml:space="preserve">Steps </t>
  </si>
  <si>
    <t>Expected Outcome</t>
  </si>
  <si>
    <t>Ticket/ Bug ID</t>
  </si>
  <si>
    <t xml:space="preserve">TC_01 </t>
  </si>
  <si>
    <t>Confirm after signing up with a Personal ID, user sees all the connect options in the side menu</t>
  </si>
  <si>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</si>
  <si>
    <t>User should see the following options in the side menu, after signing up for Personal ID
- Oppoortunities 
- CommCare Apps 
- Messaging 
- Work History 
- Payments</t>
  </si>
  <si>
    <t>Payments pages aren't ready and will be only be available in the later release</t>
  </si>
  <si>
    <t xml:space="preserve">Verify if there are no apps installed on the device, the CommCare apps option is greyed out </t>
  </si>
  <si>
    <t>1. Install commcare mobile app
2. Click on the hamburger option and sign up for personal ID uisng existing number
3. Make sure no commcare apps are not installed
4. Expand the side navigation drawer and observe that commcare apps option is greyed out</t>
  </si>
  <si>
    <t>- The option 'CommCare apps' should be greyed out if there are no app installed on the device
- The option should be enabled again, if there's atleast one app installled on the device</t>
  </si>
  <si>
    <t>Verify on signing up with a new PersonalID user we don't see any options in the side drawer menu</t>
  </si>
  <si>
    <t>1. Open the app and sign up for PersonalID with a completely new user. 
2. On completing the sign up, user should see a new side drawer ootion. 
3. Observe that in the side drawer we don't see any options.</t>
  </si>
  <si>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</si>
  <si>
    <t xml:space="preserve">Confirm we see the messaging channels only when the channel exists </t>
  </si>
  <si>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</si>
  <si>
    <t>- Messaging option for a new PID user should only be visible after the channel creation 
- For old existing users, messaging option should be displayed after sign in</t>
  </si>
  <si>
    <t xml:space="preserve">Verify that the new user sees "Go to Connect" button on clicking the 'Refresh Opportunity" option </t>
  </si>
  <si>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</si>
  <si>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</si>
  <si>
    <t>Verify user sees all the installed apps under CommCare Apps section</t>
  </si>
  <si>
    <t>1. Login with PID
2. Install few learn/deliver apps
3. Go to side navigation drawer
4. All the installed apps are installed under commcare apps section</t>
  </si>
  <si>
    <t>- User should see all the apps installed on the device under CommCare Apps
- Clicking on the apps should take user to the login page for the selected apps</t>
  </si>
  <si>
    <t>Confirm user sees there name and picture on the side nav menu</t>
  </si>
  <si>
    <t>1. Login with PID
2. Verify PID user name and picture are displayed on side navigation menu</t>
  </si>
  <si>
    <t xml:space="preserve">- User should see their name and picture at the top of the left hand menu </t>
  </si>
  <si>
    <t xml:space="preserve">Verify on clicking the opportunities option from the side drawer takes you to the opportunity list page </t>
  </si>
  <si>
    <t>1. Login with PID user
2. Click on the opportunities option from side navigation drawer
3. Verify user is landed on the opportunities list page</t>
  </si>
  <si>
    <t>- User should land on the opportunities list page by clicking on the opportunities option</t>
  </si>
  <si>
    <t xml:space="preserve">Confirm on receiving a message, we see a red dot on the messaging option </t>
  </si>
  <si>
    <t>1. Login with PID user whose channel have been already created 
2. Trigger connect messages from commcare hq
3. Observe that on receiving a triggered message, red dot have been highlighted on messaging option in mobile</t>
  </si>
  <si>
    <t xml:space="preserve">Verify on clicking the messaging option, user is taken channels list page </t>
  </si>
  <si>
    <t>1. Login with PID
2. Click on side navigation menu
3. Select messaging option</t>
  </si>
  <si>
    <t>- User should land on the channels list page</t>
  </si>
  <si>
    <t>Confirm that the hamburger menu is visible on the screen even after user has signed out of PersonalID</t>
  </si>
  <si>
    <t>1. Click on the hamburger option
2. Click on sign up/register for personal ID option from side nav drawer 
3. Login with PID
4. Click on 3 dots menu &gt;&gt; select forget personal ID</t>
  </si>
  <si>
    <t>The hamburger icon and side nav menu should be visible to the user if they forget the PersonalID</t>
  </si>
  <si>
    <t>When a new PersonalID user sign up, they should not see the connect options</t>
  </si>
  <si>
    <t>1. Click on the hamburger option
2. Click on sign up/register for personal ID option from side nav drawer 
3. Register for personal ID using new mobile number
4. Go to side navigation menu
5. Verify no connect options are displayed on the side navigation menu</t>
  </si>
  <si>
    <t>Connect options aren't displayed on the side navigation menu when sign up with new user</t>
  </si>
  <si>
    <t>Verify user sees the connect options on clicking "Referesh Opportuntiy" button</t>
  </si>
  <si>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</si>
  <si>
    <t xml:space="preserve">- On inviting a user after sign up,user should sees the connect options on clicking the refresh opportunity option </t>
  </si>
  <si>
    <t xml:space="preserve">Verify if user is not invited to an opportunity, on clicking the Refresh opportuntiy button, user isn't able to see any connect option </t>
  </si>
  <si>
    <t xml:space="preserve">"1. Register with new Personal ID
2. Go to side navigation drawer, verify opportunities option isn't visible 
3. Click on the 3 dots menu &gt;&gt; select Refresh opportunities button
4. "No opprtunities found" message is displayed
</t>
  </si>
  <si>
    <t>- Connect options are not visible upon clicking on 'refresh opportunities' button when no opportunity is invited</t>
  </si>
  <si>
    <t xml:space="preserve">Verify user sees the connect options visible to them on receiving the push notification for the invite </t>
  </si>
  <si>
    <t>1. Register with new Personal ID
2. Go to side navigation drawer, verify opportunities option isn't visible 
3. Invite an user for an opportunity from CCC web UI
4. Push notification is received upon inviting for any opportunity
5. Connect options are also visible</t>
  </si>
  <si>
    <t xml:space="preserve">- User should see the connect option on receiving the push notification or when user clicks on it
- The "Refresh Opportunity" button should get hidden once the connect functions are visible </t>
  </si>
  <si>
    <t>Confirm for a pre-invited user, connect options are visible on sign up</t>
  </si>
  <si>
    <t>1. Invite an user [who is not registered for personal ID yet] for an opportunity
2. Register with personal ID using the number used in step 1
3. Go to side navigation drawer
4. Verify connect options are visible</t>
  </si>
  <si>
    <t xml:space="preserve">- Connect options should be visible for a pre-invited user 
- User should see the opportunity in the list for which they were invited </t>
  </si>
  <si>
    <t xml:space="preserve">Verify mobile users sess all the opportunities that they are invited to on the opportunity list page </t>
  </si>
  <si>
    <t>1. Login with PID
2. Go to side navigation menu
3. Select opprtunities option
4. User should be landing on opportunities list page 
5. All the opportunities invited for an PID user are listed on the opportunity list page</t>
  </si>
  <si>
    <t xml:space="preserve">- Each Opportunity should show the correct values for all fields in the CCC web UI
- Each Opportunity should show the correct values for all the opportunities user is part of </t>
  </si>
  <si>
    <t xml:space="preserve">Confirm user receivies a text invite message when they are added to the opportunity </t>
  </si>
  <si>
    <t>Cont from above TC
- Verify personal ID mobile number, text message will be received for an opp invite</t>
  </si>
  <si>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</si>
  <si>
    <t>Verify the user status is updated once the user has accepted to share the information with the project by clicking the link in the text message</t>
  </si>
  <si>
    <t xml:space="preserve">Cont from above TC
- Click on the link in opp invite text message </t>
  </si>
  <si>
    <t>- The count for wrokers "Yet to accept invitation" should get updated on the opportunity dashboard 
- The Work Progress Funnel should get updates as well on opportunity dashboard</t>
  </si>
  <si>
    <t>Verify on selecting the view opportunity button, user sees the description and all the opportunity details</t>
  </si>
  <si>
    <t xml:space="preserve">1. Sign up for personal ID
2. Click on Go to connect menu
3. Click on the view opportunity
</t>
  </si>
  <si>
    <t>User should see the following details on selecting an opportunity from the list 
- Description
- Learn modules
- Delivery details
On clicking the "Start" option, learn app should start downloading</t>
  </si>
  <si>
    <t xml:space="preserve">Ensure that after downloading the learn app, the opportunity status gets updated on the mobile </t>
  </si>
  <si>
    <t xml:space="preserve">Cont from above TC
- Click on download learn app </t>
  </si>
  <si>
    <t>The status for the opportunity should get updated to "InProgress" from "New Opportunity"</t>
  </si>
  <si>
    <t xml:space="preserve">Verify user is able to dowload the Learn App from the opportunity </t>
  </si>
  <si>
    <t>- The Learn App should be downloaded without any issues on the app
- User should see the progress on the screen
- User should not be able to go back from the downlaod page until the download is complete. (The back button should be disbaled)</t>
  </si>
  <si>
    <t>Ensure that user is taken to the app home screen after successful download of the Learn App</t>
  </si>
  <si>
    <t xml:space="preserve">1. Sign up for personal ID
2. Click on Go to connect menu
3. Select any opportunity and download learn app
</t>
  </si>
  <si>
    <t>- On successful download of the Learn App, FLW should be autologged into the Learn App
- User should be redirected to the app home screen and can start the learning</t>
  </si>
  <si>
    <t>Verify on submitting the forms, learn app progress is updated in the app</t>
  </si>
  <si>
    <t>cont from  above TC
- Submit learn app forms
- Click on the view status button
- Learn app progress is updated</t>
  </si>
  <si>
    <t>- User should see the completed progress in % on the learn progress screen
- User should see the no. of lessons completed out of total lessons 
- "Finish learning to earn certificate" message should get displayed
- Completed learn progress should get updated on the web UI</t>
  </si>
  <si>
    <t>Confirm on completing all the learn modules, user sees a Training Pending messgae on the Learn Progress screen</t>
  </si>
  <si>
    <t xml:space="preserve">cont from  above TC
- Submit all the learn app forms[except assessment]
- Click on the view status button
</t>
  </si>
  <si>
    <t xml:space="preserve">- User should see a Training Pending message on completing all the learn modules in Learn Progress screen 
</t>
  </si>
  <si>
    <t xml:space="preserve">Confirm user is unable to claim the job, if they don't pass the assessment </t>
  </si>
  <si>
    <t>1. Sign up for personal ID
2. Click on go to connect menu
3. Select and opportunity
4. Submit all learn forms
5. Submit the assessment that doesn't satisfy the pass score</t>
  </si>
  <si>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</si>
  <si>
    <t xml:space="preserve">Verify user can claim the job when they have successfully passed the assessment </t>
  </si>
  <si>
    <t>1. Sign up for personal ID
2. Click on go to connect menu
3. Select and opportunity
4. Submit all learn forms
5. Submit the assessment that satisfy the pass score</t>
  </si>
  <si>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</si>
  <si>
    <t xml:space="preserve">Confirm that user sees the Delivery details on the screen when they click on the "View Opportunity Details" button </t>
  </si>
  <si>
    <t>cont from above TC
- Claim job by clicking on the view opportunity details button</t>
  </si>
  <si>
    <t xml:space="preserve">i) User should see all the delivery details on the screen with 
- Total Max visits 
- Max visits per day
- Total no of days left 
- Max amount user can earn with the visits 
ii) User should also be able to download the delivery app
 </t>
  </si>
  <si>
    <t xml:space="preserve">Verify the number of visits is updated in the app after successfully conducting a visit </t>
  </si>
  <si>
    <t>cont from  above TC
- Submit few visits</t>
  </si>
  <si>
    <t xml:space="preserve">- Should be updated on the app
- The visit should be reflected in the Connect Web 
- There should be a new pending entry in the 'Verification &amp; Payments' tab  </t>
  </si>
  <si>
    <t>Verify on approving a visit on connect web, the status is updated in the app as well</t>
  </si>
  <si>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</si>
  <si>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</si>
  <si>
    <t>Verify that user can see a payment record under payment tab</t>
  </si>
  <si>
    <t>1. Sign up for personal ID
2. Navigate to opportunity list page
3. Select an opportunity with deliver status
4. Click on view status button
5. Select payment tab</t>
  </si>
  <si>
    <t>User should see a payment status, under Payment tab on the Delivery Progress screen
- Earned Amount
- Transferred Amount</t>
  </si>
  <si>
    <t xml:space="preserve">Verify user can only do the max visits allowed to them on a single day </t>
  </si>
  <si>
    <t>1. Sign up for personal ID
2. Navigate to opportunity list page
3. Select an opportunity with deliver status
4. Submit the visits that satisfies the daily limit</t>
  </si>
  <si>
    <r>
      <rPr>
        <rFont val="Arial"/>
        <color theme="1"/>
      </rPr>
      <t xml:space="preserve">- On exceeding the delviery forms limit, user should not see any progress getting updated on the mobile app. 
- User should not see the count of Verification Status getting updated in Verification &amp; Payments tab
- On Web UI, user should see a </t>
    </r>
    <r>
      <rPr>
        <rFont val="Arial"/>
        <i/>
        <color theme="1"/>
      </rPr>
      <t xml:space="preserve">'Over Limit' </t>
    </r>
    <r>
      <rPr>
        <rFont val="Arial"/>
        <color theme="1"/>
      </rPr>
      <t>status for the form submitted on after exceeding the daily limit, under Deliver Forms tab</t>
    </r>
  </si>
  <si>
    <t>TC_33</t>
  </si>
  <si>
    <t xml:space="preserve">Confirm user can continue the delivery progress on a new device by recovering their account </t>
  </si>
  <si>
    <t xml:space="preserve">1. Sign up for personal ID on another device
</t>
  </si>
  <si>
    <t>User should be able to recover the account successfully and no progress should be lost</t>
  </si>
  <si>
    <t>TC_34</t>
  </si>
  <si>
    <t>Check if user uninstalls the Learn/Deliver App, would they be able to re-install the Learn/Deliver Apps by clicking on resume button</t>
  </si>
  <si>
    <t>1. Click on three dots menu in mobile
2. select app manager
3. Uninstall all the learn/deliver apps
4. Go to opp list page
5. Click on resume button</t>
  </si>
  <si>
    <t>The Learn/Delvier apps should be downloaded again on clicking the resume button on opp card</t>
  </si>
  <si>
    <t>Verify the submission of same form doesn't increase the daily visit progress</t>
  </si>
  <si>
    <t>1. Submit visit 1
2.  Submit visit 2 with same details of visit 1</t>
  </si>
  <si>
    <t>The progress screen should not increment the submitted numbers
- On web the 2nd visit should mark as duplicate</t>
  </si>
  <si>
    <t>Clicking on Opportunity invite Push Notification should take user to the Opportunity details page</t>
  </si>
  <si>
    <t xml:space="preserve">User should be redirected to the opportunity details page </t>
  </si>
  <si>
    <t>TC_37</t>
  </si>
  <si>
    <t xml:space="preserve">Verify on completion of the download oflearn app user should be automatically taken to the app, to start learning </t>
  </si>
  <si>
    <t>User is logged in automatically on successful download of the learn app and should be able to start the learning</t>
  </si>
  <si>
    <t>If I have not come back and taken a lesson for the past 3 days, I should receive a push notification nudging me to complete the learning. The push notification should link me directly into the Learn app for that Opportunity</t>
  </si>
  <si>
    <t>If the last date has already been reached, the button on the Review Delivery Details screen should be grayed out and the text above it should read: “The last date for the project is over. You will be notified if the opportunity opens up again’</t>
  </si>
  <si>
    <t>If user do not make a visit for 2 days, they should be sent a push notification nudging me to continue the visits.The push notification should link the user directly into the Deliver app for that Opportunity</t>
  </si>
  <si>
    <t xml:space="preserve">Visits may also be disqualified and not counted if the service was not delivered as seen through a calculated field within the form. Refer to the ‘Payable unit of work’ section in the </t>
  </si>
  <si>
    <r>
      <rPr>
        <rFont val="Arial"/>
        <color theme="1"/>
      </rPr>
      <t xml:space="preserve">On Web UI, user should be able ot reject visits and the same status should be reflected on the mobile app, under Verificaiton &amp; Payments tab for </t>
    </r>
    <r>
      <rPr>
        <rFont val="Arial"/>
        <i/>
        <color theme="1"/>
      </rPr>
      <t xml:space="preserve">'Not Approved' </t>
    </r>
  </si>
  <si>
    <t>User should receive a push notification when a new payment transaction has been uploaded that should link to the payment transaction screen</t>
  </si>
  <si>
    <t>1. Make a payment transaction from web UI
2. User should receive the push notiifcation on the mobile device</t>
  </si>
  <si>
    <t xml:space="preserve">- Confirm user recieved a push notification on receiving a payment
- User should be redirected to the payment tab for hte opportunity on clicking it
- There should be no Yes or No option on the push notification to confirm the payment </t>
  </si>
  <si>
    <t>Verify that total amount paid to the user for the approved visits is displayed correctly under Payments tab</t>
  </si>
  <si>
    <t>- Total amount paid to the user should be refelcted under Payments tab on Web UI
- Same amount should also be reflected under Payment tab when navigating to the "View Job Status" option</t>
  </si>
  <si>
    <t>Verfiy user is able to see the payment transaction card on the payments tab</t>
  </si>
  <si>
    <t xml:space="preserve">1. From web UI make a payment
2. Install CCC app
3. Login with PID
4. Login to deliver app of any opp
5. Navigate to payment tab
</t>
  </si>
  <si>
    <t>- User should see the payment transaction card with ask later and "Yes" buttons</t>
  </si>
  <si>
    <t>Verfiy user is not able to see the payment transaction card after clicking on ask later button</t>
  </si>
  <si>
    <t>1. From web UI make a payment
2. Install CCC app
3. Login with PID
4. Login to deliver app of any opp
5. Navigate to payment tab
6. Click Ask later button</t>
  </si>
  <si>
    <t>- Payment card should not be visible again
- It should be visible after a week summing up all the unconfirmed amount
- It also appear again if user receives another payment and should display the sum of all the payment until then</t>
  </si>
  <si>
    <t>Confirm that when a mobile user is suspended from an opportuntiy, the opportunity home page shows user suspended message</t>
  </si>
  <si>
    <t>1. Login into the app as a CID user and start working on any opportuntiy.
2. Go to you opportunity page on web apps.
3. Under 'User Status' tab, click on View Profile link for your user.
4. Suspend your user. 
5. On your app, sync the user.</t>
  </si>
  <si>
    <t>- When user selects the opportuntiy in the list, user should see the user is suspended messgae on the app home screen</t>
  </si>
  <si>
    <t>Verify when user clicks on the task assigned  notification from notification history page lands on the delivery app home page</t>
  </si>
  <si>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</si>
  <si>
    <t>- When user clicks on the push notification, should land on the delivery app home page and sync should auto triggered.</t>
  </si>
  <si>
    <t>TC_48</t>
  </si>
  <si>
    <t xml:space="preserve">Verify user lands on the connect app home page by clicking on the notification if delivery app is not installed </t>
  </si>
  <si>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</si>
  <si>
    <t>- User should land on the connect home page when no delivery app is installed</t>
  </si>
  <si>
    <t>TC_49</t>
  </si>
  <si>
    <t>Verify user sees the pending tasks message on the opp card</t>
  </si>
  <si>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</si>
  <si>
    <t>- User should see the below message when relarn task is assigned
"Complete assigned tasks to continue delivering services"</t>
  </si>
  <si>
    <t>TC_50</t>
  </si>
  <si>
    <t>Verify user sees the all required tasks are completed message when completes the relearn tasks</t>
  </si>
  <si>
    <t>cont to above TC
- Complete the relearn task 
- Click on sync</t>
  </si>
  <si>
    <t>- User should see the below message when relarn task is completed
"All required tasks have been completed. You may continue with delivery activities"</t>
  </si>
  <si>
    <t>TC_51</t>
  </si>
  <si>
    <t>Verify when user clicks on the work area assigned push notification lands on the delivery app home page</t>
  </si>
  <si>
    <t>Continue to above TC:
- Click on the push notification</t>
  </si>
  <si>
    <t>- User should land on the delivery app home page and auto sync is triggered</t>
  </si>
  <si>
    <t>TC_52</t>
  </si>
  <si>
    <t>Verify when user clicks on the work area assigned  notification from notification history page lands on the delivery app home page</t>
  </si>
  <si>
    <t>1. On web, navigate to opp dashboard &gt;&gt; view progresss map
2. Assign work area for connect worker
3. Verify push notification is received to PID user in mobile
4. Navigate to notification history page
5. Click on the new work area assigned notification</t>
  </si>
  <si>
    <t>TC_53</t>
  </si>
  <si>
    <t xml:space="preserve">1. On web, navigate to opp dashboard &gt;&gt; view progresss map
2. Assign work area for connect worker
3. Verify push notification is received to PID user in mobile
5. Make sure respective delivery app is not installed
6. Click on the notification </t>
  </si>
  <si>
    <t xml:space="preserve">  </t>
  </si>
  <si>
    <t>OLP_01</t>
  </si>
  <si>
    <t>Verify “In Progress” Opportunities Displayed at Top</t>
  </si>
  <si>
    <t>1. Install latest test apk
2. Sign up for personal ID
3. Go to connect menu</t>
  </si>
  <si>
    <t>- "InProgress" section is displayed at the top of opportunities list page</t>
  </si>
  <si>
    <t>OLP_02</t>
  </si>
  <si>
    <t>Verify “New” Opportunities Displayed Below In Progress</t>
  </si>
  <si>
    <t>- "New Opportunities" section is displayed below the inprogress section</t>
  </si>
  <si>
    <t>OLP_03</t>
  </si>
  <si>
    <t>Verify "Completed opportunities" section displayed at bottom</t>
  </si>
  <si>
    <t>- "Completed Opportunities" section is displayed at the bottom of opportunities list page</t>
  </si>
  <si>
    <t>OLP_04</t>
  </si>
  <si>
    <t>Verify User Can View Opportunity Information at Any Time</t>
  </si>
  <si>
    <t xml:space="preserve">1. Install latest test apk
2. Sign up for personal ID
3. Go to connect menu
4.Click on the view info option for an inprogress opp
5. Repeat step 4 for completed opp </t>
  </si>
  <si>
    <t xml:space="preserve">- We show see the Opp information details at any time when user click on view info option </t>
  </si>
  <si>
    <t>OLP_05</t>
  </si>
  <si>
    <t>Verify Opportunity Details Drawer Opens</t>
  </si>
  <si>
    <t>cont to above TC
- When we click on the view info button Opportunity details drawer opens</t>
  </si>
  <si>
    <t>- When user clicks on "view info" option Opp details drawer is opened</t>
  </si>
  <si>
    <t>OLP_06</t>
  </si>
  <si>
    <t>Verify Drawer Displays Complete Opportunity Information</t>
  </si>
  <si>
    <t>1. Install latest test apk
2. Sign up for personal ID
3. Go to connect menu &gt;&gt; Click on view info option for an Opp</t>
  </si>
  <si>
    <t xml:space="preserve">The following details are shown:
- Complete by date
- Work history progress using icons
- Delivery Details
</t>
  </si>
  <si>
    <t>OLP_07</t>
  </si>
  <si>
    <t>Verify Correct Progress Display for Opportunity</t>
  </si>
  <si>
    <t>1. Install latest test apk
2. Sign up for personal ID
3. Go to connect menu 
4. Verify learn progress or delivery progress are shown</t>
  </si>
  <si>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</si>
  <si>
    <t>OLP_08</t>
  </si>
  <si>
    <t>Verify Work History progress is shown on opportunity details</t>
  </si>
  <si>
    <t>1. Install latest test apk
2. Sign up for personal ID
3. Go to connect menu 
4. Click on the "View info" option for an opp
5. Verify worker history progress is shown on the opp details drawer</t>
  </si>
  <si>
    <t>- Work history progress is visible in the opportunity details drawer.
- Icons/status indicators reflect correct progress state</t>
  </si>
  <si>
    <t>OLP_09</t>
  </si>
  <si>
    <t>Verify user is able to see review and view info options  to the completed opportunities</t>
  </si>
  <si>
    <t>Completed opportunities display both Review and View Info options.</t>
  </si>
  <si>
    <t>OLP_10</t>
  </si>
  <si>
    <t>Verify user is able to see the resume and view info options to the InProgress Opportunities</t>
  </si>
  <si>
    <t>In Progress opportunities display Resume and View Info options.</t>
  </si>
  <si>
    <t>OLP_11</t>
  </si>
  <si>
    <t>Verify user is able to see the view opportunity button for New Opportunities</t>
  </si>
  <si>
    <t>1. Install latest test apk
2. Sign up for personal ID
3. Go to connect menu
4. Invite a new opp from web</t>
  </si>
  <si>
    <t>New opportunities display the View opportunity button.</t>
  </si>
  <si>
    <t>OLP_12</t>
  </si>
  <si>
    <t>Verify user is able to start the opportunity upon clicking on view opportunity button</t>
  </si>
  <si>
    <t>1. Install latest test apk
2. Sign up for personal ID
3. Go to connect menu
4. Invite a new Opp from web
5. Click on the view opportunity button
6. On opp details page click on start button</t>
  </si>
  <si>
    <t>- User lands on the opportunity details page
- User sees the start button
- Learn app starts downloading upon clicking on the start button</t>
  </si>
  <si>
    <t>OLP_13</t>
  </si>
  <si>
    <t>Verify Inprogress opportunities section is not visible when no inprogress opportunities are there</t>
  </si>
  <si>
    <t>1. Install latest apk
2. Sign Up for PID 
3. Invite for a new Opp</t>
  </si>
  <si>
    <t>In Progress section is hidden when no opportunities exist in that status.</t>
  </si>
  <si>
    <t>OLP_14</t>
  </si>
  <si>
    <t>Verify new opportunities section is not visible when no new opportunities are there</t>
  </si>
  <si>
    <t>Cont to above TC
- Start the Opp invited in above TC</t>
  </si>
  <si>
    <t>New Opportunities section is hidden when no opportunities are in New status.</t>
  </si>
  <si>
    <t>OLP_15</t>
  </si>
  <si>
    <t>Verify complete opportunities section is not visible when no completed opportunities are there</t>
  </si>
  <si>
    <t xml:space="preserve">Cont to above TC
</t>
  </si>
  <si>
    <t>Completed section is not displayed when no completed opportunities exist</t>
  </si>
  <si>
    <t>OLP_16</t>
  </si>
  <si>
    <t>Verify user is able to land on the learn/delivery app when click on the resume option</t>
  </si>
  <si>
    <t>1. Install latest test apk
2. Sign up for personal ID
3. Go to connect menu 
4. Click on the resume button</t>
  </si>
  <si>
    <t>On clicking Resume, user is redirected to the respective Learn/Delivery app (if installed).</t>
  </si>
  <si>
    <t>OLP_17</t>
  </si>
  <si>
    <t>Verify user is able to download the learn/delivery app when click on the resume option</t>
  </si>
  <si>
    <t>If Learn/Delivery app is not installed, user is redirected to the learn/delivery app download page.</t>
  </si>
  <si>
    <t>OLP_18</t>
  </si>
  <si>
    <t>Verify  user is able to see the new opportunity badge for new opportunities</t>
  </si>
  <si>
    <t>1. Sign up for PID
2. Invite an Opp
3. Verfiy user sees new opportunity badge on the Opp card</t>
  </si>
  <si>
    <t>- User should see new Opp badge</t>
  </si>
  <si>
    <t>OLP_19</t>
  </si>
  <si>
    <t>Verify user is able to see the learn badge with precentage progress when learn app is inprogress</t>
  </si>
  <si>
    <t xml:space="preserve">1. Sign up for PID
2. Invite an Opp and start learn app
3. On Opp list page, verify Learn progress badge is visbile for an Opp </t>
  </si>
  <si>
    <t>- Learn badge is visible for In Progress learning.
- Correct percentage is displayed.
- Badge updates dynamically after progress change.</t>
  </si>
  <si>
    <t>OLP_20</t>
  </si>
  <si>
    <t>Verify user is able to see the assessment completed badge when user is completed the assessment</t>
  </si>
  <si>
    <t>cont to above TC
- Complete the assessment and verify the badge icon on the Opp card</t>
  </si>
  <si>
    <t xml:space="preserve">
- Learn progress badge should get updated to Assessment completed badge</t>
  </si>
  <si>
    <t>OLP_21</t>
  </si>
  <si>
    <t>Verify user is able to see the delivery progress badge along with percentage</t>
  </si>
  <si>
    <t xml:space="preserve">1. Sign up for PID
2. Invite an Opp and complete learn app
3. Start delivery progress
3. On Opp list page, verify Delivery progress badge is visbile for an Opp </t>
  </si>
  <si>
    <t>- Delivery progress badge is displayed once delivery begins.
- Correct percentage is shown.
- Badge updates as delivery milestones are completed.</t>
  </si>
  <si>
    <t>OLP_22</t>
  </si>
  <si>
    <t>Verify user is able to see the learn progress badge with 0% when learn app is not started</t>
  </si>
  <si>
    <t>1. Sign up for PID
2. Invite for an Opp
3. Install learn app and don't start any progress</t>
  </si>
  <si>
    <t>- User should see the progress as 0% along with learn progress badge</t>
  </si>
  <si>
    <t>OLP_23</t>
  </si>
  <si>
    <t>Verify user is able to see the delivery progress badge with 0% when delivery app is not started</t>
  </si>
  <si>
    <t>1. Sign up for PID
2. Invite for an Opp
3. Complete learn apps and download the delivery app (don't start any progress)</t>
  </si>
  <si>
    <t>- User should see the progress as 0% along with delivery progress badge</t>
  </si>
  <si>
    <t>OLP_24</t>
  </si>
  <si>
    <t>Verify completion date is shown in red colour if user have not completed the opportunity before 5 days of expire</t>
  </si>
  <si>
    <t>Completion date appears in red color with info icon when opportunity is within 5 days of expiry and incomplete</t>
  </si>
  <si>
    <t>OLP_25</t>
  </si>
  <si>
    <t>Verify user shouldn't see any date or red color date text for completed opportunities</t>
  </si>
  <si>
    <t>No red color date should be displayed for opps under completed section</t>
  </si>
  <si>
    <t>OLP_26</t>
  </si>
  <si>
    <t>Verify no progress badge is displayed for opps under completed section</t>
  </si>
  <si>
    <t>No Progress icon should be there for opps under completed section</t>
  </si>
  <si>
    <t>OLP_27</t>
  </si>
  <si>
    <t xml:space="preserve">Verfiy green check mark is displayed for opps which completed all visits </t>
  </si>
  <si>
    <t>1. Install latest test apk
2. Sign up for personal ID
3. Go to connect menu 
4. Complete all the visits for an Opp</t>
  </si>
  <si>
    <t>Green check mark should get updated upon completing all visits</t>
  </si>
  <si>
    <t>OLP_28</t>
  </si>
  <si>
    <t>Verify user is able to download learn/delivery app using review option [completed opp]</t>
  </si>
  <si>
    <t>1. Install latest test apk
2. Sign up for personal ID
3. Go to connect menu 
4. Click on the review button</t>
  </si>
  <si>
    <t>- Clicking Review redirects user to Learn/Delivery progress page of app if installed.
- If not installed, user is redirected to the download page.</t>
  </si>
  <si>
    <r>
      <rPr>
        <rFont val="Arial"/>
        <b/>
        <color theme="1"/>
      </rPr>
      <t xml:space="preserve">Prerequsite: </t>
    </r>
    <r>
      <rPr>
        <rFont val="Arial"/>
        <b val="0"/>
        <color theme="1"/>
      </rPr>
      <t>A PID user should get created and login to the learn app, submit few forms.</t>
    </r>
  </si>
  <si>
    <t xml:space="preserve">QA Ticket </t>
  </si>
  <si>
    <t xml:space="preserve">Comments </t>
  </si>
  <si>
    <t>Connect channel 1</t>
  </si>
  <si>
    <t xml:space="preserve">Verify user is able to create connect channel </t>
  </si>
  <si>
    <t xml:space="preserve">1. Login to CC hq
2. Navigate to messaging &gt;&gt; view all
3. Under connect messaging section, Select user conset
4. Click Request messaging consent button
</t>
  </si>
  <si>
    <t>- Channel created for a personal ID message is displayed on hq web
- Channel should get created and displayed in the connect mobile</t>
  </si>
  <si>
    <t>Connect message1</t>
  </si>
  <si>
    <t>Verify user is able to create a broadcast with connect message option</t>
  </si>
  <si>
    <t>1. Login to CC hq 
2. Navigate to Messaging &gt;&gt; Broadcasts
3. Click on "+ Add broadcast" 
4. Select the content type  as 'connect message' 
5. Create a broadcast
6. Verify PID user recive a message on the channel</t>
  </si>
  <si>
    <t>- User should be able to receive the broadcast message in the connect channel</t>
  </si>
  <si>
    <t>Connect message2</t>
  </si>
  <si>
    <t>Verify user is able to create a broadcast with connect survey option</t>
  </si>
  <si>
    <t>1. Login to CC hq 
2. Navigate to Messaging &gt;&gt; Broadcasts
3. Click on "+ Add broadcast" 
4. Select the content type  as 'connect Survey' 
5. Create a broadcast
6 Verify PID user recive a message on the channel</t>
  </si>
  <si>
    <t>- User should be able to receive the broadcast survey in the connect channel
- User should be able to answer the question and get next question in the form
- Form should get submit and able to verify it on the submit histstory</t>
  </si>
  <si>
    <t>Connect message3</t>
  </si>
  <si>
    <t>Verify user is able to create a Conditional alerts with connect message option</t>
  </si>
  <si>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</si>
  <si>
    <t>- User should be able to get a alert message in the connect channel upon submitting the form satisfying the alert condition</t>
  </si>
  <si>
    <t>Connect message4</t>
  </si>
  <si>
    <t>Verify user is able to create a conditional alerts with connect survey option</t>
  </si>
  <si>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</si>
  <si>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</si>
  <si>
    <t>Connect message5</t>
  </si>
  <si>
    <t>Verify user is able to create keyword for connect message</t>
  </si>
  <si>
    <t>1. Login to CC hq web UI
2. Navigate to Messaging &gt;&gt; keyword 
3. Select 'connect message' as content type
4. Create a keyword
5. Login with personal ID [CCC mobile]
5. Trigger keyword from channel 
6. verify user receive a connect message in the channel to the personal ID user</t>
  </si>
  <si>
    <t>- User should get a connect message in the channel upon triggering the keyword</t>
  </si>
  <si>
    <t>Connect message6</t>
  </si>
  <si>
    <t>Verify user is able to create keyword for connect survey</t>
  </si>
  <si>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</si>
  <si>
    <t>- User should be able to get a connect survey from in the connect channel upon triggering the keyword in the channel
- User should be able to answer the question and get next question in the form
- Form should get submit and able to verify it on the submit histstory</t>
  </si>
  <si>
    <t>Connect message7</t>
  </si>
  <si>
    <t>Verify user is able to unsubscribe the channel</t>
  </si>
  <si>
    <t>1. Install CCC app
2. Login with PID 
3. On left hand menu, click on messaging option
4. Open the channel &gt;&gt; click on three dots menu
5. Click on Unsubscribe option
6.On the pop up, select unsubscribe button</t>
  </si>
  <si>
    <t xml:space="preserve">- Channel gets unsubscribed and no messages should be received for the unsubscribed channel
- User should see "You are not subscribed to this messaging channel" </t>
  </si>
  <si>
    <t>Connect message8</t>
  </si>
  <si>
    <t xml:space="preserve">Verify user is able to resubscribe to the channel </t>
  </si>
  <si>
    <t>1. Install CCC app
2. Login with PID 
3. On left hand menu, click on messaging option
4. Open the channel &gt;&gt; click on three dots menu
5. Click on Resubscribe option
6.On the pop up, select resubscribe button</t>
  </si>
  <si>
    <t>- Channel gets resubscribed and messages receiving to the channel should get resumed</t>
  </si>
  <si>
    <t>Connect Notifications</t>
  </si>
  <si>
    <t>Notifications_01</t>
  </si>
  <si>
    <t>Verify Notifications option is visible on left hand menu</t>
  </si>
  <si>
    <t>1. Install latest CCC apk
2. Expand left hand menu
3. Sign up/register with personal ID
4. Expand left hand menu</t>
  </si>
  <si>
    <t xml:space="preserve">
- User should be able to see the notifications option on the left hand menu
- User should land on the notifications history page upon clicking on the notiifcation option</t>
  </si>
  <si>
    <t>Notifications_02</t>
  </si>
  <si>
    <t>Verify notiifcations icon is present on the opportunities list page</t>
  </si>
  <si>
    <t>1. Install latest CCC apk
2. Expand left hand menu
3. Sign up/register with personal ID
4. Click on the go to connect option</t>
  </si>
  <si>
    <t>- User should be able to see the notifications icon on the opportunities page
- User should land on the notifications history page upon clicking on the notiifcation option</t>
  </si>
  <si>
    <t>Notifications_03</t>
  </si>
  <si>
    <t>Verify user is able to see all the notifications history in the notifications page</t>
  </si>
  <si>
    <t xml:space="preserve">1. Install latest CCC apk
2. Expand left hand menu
3. Sign up/register with personal ID
4. Click on the notifications button </t>
  </si>
  <si>
    <t>- User should be able to see all the history of notifications[including payment, opportunity invite, resume prompts]</t>
  </si>
  <si>
    <t>Notifications_04</t>
  </si>
  <si>
    <t>Verify opportunity invite notification is shown on notifications history page</t>
  </si>
  <si>
    <t>1. Install latest test apk
2. Sign up for personal ID
3. Invite an opportunity from web
4. Navigate to notification history page</t>
  </si>
  <si>
    <t>- User should be able to see the opportunity invite in the notification history page
- User should be able to receive push notifcation</t>
  </si>
  <si>
    <t>Notifications_05</t>
  </si>
  <si>
    <t>Verify we are able to land on opportunity's learn app upon clicking on the opportunity invite notification</t>
  </si>
  <si>
    <t>Continue to above TC
- Click on the opportunity invite notification</t>
  </si>
  <si>
    <t>- User should be able to land on the opportunity's learn app</t>
  </si>
  <si>
    <t>Notifications_06</t>
  </si>
  <si>
    <t>Verify prompts to resume work are shown in notifications history page</t>
  </si>
  <si>
    <t>1. Install latest test apk
2. Sign up for personal ID
3. Invite an opportunity, submit learn and delivery apps
4. Don't submit delivery visits for one day
5. User should get delivery resume prompt</t>
  </si>
  <si>
    <t xml:space="preserve">
- User should be able to see the resume prompt notification in the notification history page
- User should be able to receive push notifcation</t>
  </si>
  <si>
    <t>Notifications_07</t>
  </si>
  <si>
    <t>Verify user is able to land on deliver progress screen upon clicking on the resume prompt notification</t>
  </si>
  <si>
    <t>Continue to above TC
- Click on the opportunity resume prompt notification</t>
  </si>
  <si>
    <t xml:space="preserve">- User should be able to land on the delivery progress screen </t>
  </si>
  <si>
    <t>Notifications_08</t>
  </si>
  <si>
    <t>Verify Payment notifications are shown in notifications history page</t>
  </si>
  <si>
    <t xml:space="preserve">1. Install latest test apk
2. Sign up for personal ID
3. Invite an opportunity, submit learn and delivery apps
4. Make a payment from web for earned amount
</t>
  </si>
  <si>
    <t xml:space="preserve">
- User should be able to see the payment transaction notification in the notification histroy page
- User should be able to receive push notifcation</t>
  </si>
  <si>
    <t>Notifications_09</t>
  </si>
  <si>
    <t>Verify user is able to land on the payment screen upon clicking on the payment notification</t>
  </si>
  <si>
    <t>Continue to above TC
- Click on the payment notification</t>
  </si>
  <si>
    <t>- User should be able to land on the payment screen</t>
  </si>
  <si>
    <t>Notifications_10</t>
  </si>
  <si>
    <t>Verify Send message notifications are shown in the notification history page</t>
  </si>
  <si>
    <t>1. Login to CCC web Ui
2. Go to opp dahsboard
3.Click on hamburger option &gt;&gt; send message
4. Select the users you want to send message
5. Enter the message &gt;&gt; Click confirm
6. Verify user recieved notfication in the notifications history page</t>
  </si>
  <si>
    <t>- User should be abe to receive push notification of a message sent
- User should be able to see the message sent in the notification history page</t>
  </si>
  <si>
    <t>Notifications_11</t>
  </si>
  <si>
    <t>Verify red dot is displayed when notification received</t>
  </si>
  <si>
    <t>- Red dot should be visible on the notification icon when we receive new notification</t>
  </si>
  <si>
    <t>Notifications_12</t>
  </si>
  <si>
    <t>Verfiy user recieved notification for payment rollback</t>
  </si>
  <si>
    <t>1. Login to CCC web UI
2. Go to opp dahsboard &gt;&gt; view invoices
3. On invoice page, roll back the payment</t>
  </si>
  <si>
    <t>- User should be able to recive the push notification when payment rollback is done
- Notification says "Payment updated"</t>
  </si>
  <si>
    <t>Notifications_13</t>
  </si>
  <si>
    <t>Verfiy user recieved notification for Assessment score</t>
  </si>
  <si>
    <t>1. Install CCC app
2. Login with PID
3. Invite user for an Opp &gt;&gt; submit learn app forms
4. Submit assessment score</t>
  </si>
  <si>
    <t>- User should be able to recive the push notification when assessment score is submitted
- Notification says "Update on your assessment score"
- Notification is shown on the notification history page
- Upon clicking on the notification user should land on the learn progress screen</t>
  </si>
  <si>
    <t>Notifications_14</t>
  </si>
  <si>
    <t>Verify user is able to receive relearn task assigned notification</t>
  </si>
  <si>
    <t xml:space="preserve">1. Install CCC app
2. Login with PID
3. Assign relearn task for user in web
</t>
  </si>
  <si>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</si>
  <si>
    <t>Notifications_15</t>
  </si>
  <si>
    <t>Verify re assigning for same task will receive the notification</t>
  </si>
  <si>
    <t>cont to above TC
- Assign relarn task again</t>
  </si>
  <si>
    <t>- User should receive push notification when same task is assigned again</t>
  </si>
  <si>
    <t>Notifications_16</t>
  </si>
  <si>
    <t>Verify user is able to receive work area assigned notification</t>
  </si>
  <si>
    <t xml:space="preserve">1. Install CCC app
2. Login with PID
3. Assign work area for user in web
</t>
  </si>
  <si>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</si>
  <si>
    <t>Notifications_17</t>
  </si>
  <si>
    <t xml:space="preserve">Verify user is able to receive single notifications for assiging multiple work areas </t>
  </si>
  <si>
    <t xml:space="preserve">1. Install CCC app
2. Login with PID
3. Assign multiple work areas for user in single action
</t>
  </si>
  <si>
    <t>- Single notification is received for assigning multiple work areas</t>
  </si>
  <si>
    <t>Notifications_18</t>
  </si>
  <si>
    <t>Verify when user clicks on the push notification in the middle of form submission  exit form dialogue box appears</t>
  </si>
  <si>
    <t>1. Install CCC app
2. Login with PID 
3. Install delivery app &gt;&gt; enter the form details
4. In the middle of form submission, Click on the notification</t>
  </si>
  <si>
    <t>- Exit dialogue box appears with following options:
Stay in form
Exit without saving
Save incomplete</t>
  </si>
  <si>
    <t>Worker_History 1</t>
  </si>
  <si>
    <t>Verify we are able create manage creditals on CCC web UI</t>
  </si>
  <si>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</si>
  <si>
    <t>- User should be able to add credentials succesfully</t>
  </si>
  <si>
    <t>Worker_History 2</t>
  </si>
  <si>
    <t xml:space="preserve">Verify earned credentials are visible in worker history section </t>
  </si>
  <si>
    <t>1. Sign up for personal ID [Mobile]
2. Login to learn/delivery app
3. Submit forms till reaches the credentials requirements
4. Expand left hand menu &gt;&gt; select worker history page</t>
  </si>
  <si>
    <t>- When user reaches the credentials requirement, they should earn the credential badges
- Earned badges should be displayed on worker history page</t>
  </si>
  <si>
    <t>Worker_History 3</t>
  </si>
  <si>
    <t>Verify previously earned credentials are still visible on mobile when disabled on web UI</t>
  </si>
  <si>
    <t>1.Disable the credentials in web UI
2. Navigate to worker history page in mobile
3. Verify the previoulsy earned badges are still remain</t>
  </si>
  <si>
    <t>-User should see the previously earned badges should be visible even after disabling the credentials on web UI</t>
  </si>
  <si>
    <t>Notes</t>
  </si>
  <si>
    <t>Case List Map</t>
  </si>
  <si>
    <t>Map_01</t>
  </si>
  <si>
    <t>Verify user is able to configure geo options</t>
  </si>
  <si>
    <r>
      <rPr>
        <rFont val="Arial"/>
        <color theme="1"/>
      </rPr>
      <t xml:space="preserve">1. Login to CC HQ
2. Navigate to applications 
3. select any case list application
4. Navigate to case list settings 
5. Go to case list tab
6. Under display properties configure the geo boundary and geo points'
</t>
    </r>
    <r>
      <rPr>
        <rFont val="Arial"/>
        <b/>
        <color theme="1"/>
      </rPr>
      <t xml:space="preserve"> 
Note: Geo boundary and geo points options are visible only when address property is configured</t>
    </r>
  </si>
  <si>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</si>
  <si>
    <r>
      <rPr>
        <rFont val="Arial"/>
      </rPr>
      <t xml:space="preserve">Refer these tests to configure case list map properties - </t>
    </r>
    <r>
      <rPr>
        <rFont val="Arial"/>
        <color rgb="FF1155CC"/>
        <u/>
      </rPr>
      <t>https://docs.google.com/spreadsheets/d/1ENauf0cWqR0c9Seu29xarLucB78j3bNJzuQ7ut0T7Fs/edit?gid=2#gid=2&amp;range=18:23</t>
    </r>
  </si>
  <si>
    <t>Map_02</t>
  </si>
  <si>
    <t>Verify removal of required Geo options</t>
  </si>
  <si>
    <t>Continue to above TC:
 - Remove address property, check informational message is displayed
 Repeated the above step with geo boundary and geo points</t>
  </si>
  <si>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</si>
  <si>
    <t>Map_03</t>
  </si>
  <si>
    <t>Verify polygons and points are displayed on the case list map</t>
  </si>
  <si>
    <t>1. Install CCC app
2. Install the app used in map_01
3. Login to the app
4. Submit few forms with boundary box and points data and colours in hex code
5. Navigate to case list follow up form
6. Click on three dots menu
7. Click on view map</t>
  </si>
  <si>
    <t xml:space="preserve">- Polygons as per submitted data and colors should get highligted on the map
</t>
  </si>
  <si>
    <t>Map_04</t>
  </si>
  <si>
    <t>Verify multiple locations display correctly</t>
  </si>
  <si>
    <t>1. Submit multiple forms with different locations
2. Navigate to case list
3. Click on 3 dots menu &gt;&gt; view on map</t>
  </si>
  <si>
    <t>- Multiple polygonas and points are visible clearly on the map with their resspective submitted colors</t>
  </si>
  <si>
    <t>Map_05</t>
  </si>
  <si>
    <t>Verify overlapping polygons for same coordinates</t>
  </si>
  <si>
    <t>1. Submit the 2 or 3 forms with same boundary and points details
2.  Navigate to case list
3. Click on 3 dots menu &gt;&gt; view on map</t>
  </si>
  <si>
    <t xml:space="preserve">- Cases with same location get overlap on each other and only one case is highlighted </t>
  </si>
  <si>
    <t>Map_06</t>
  </si>
  <si>
    <t>Verify case name popup appears on clicking a polygon</t>
  </si>
  <si>
    <t xml:space="preserve">
Click on a polygon on the map.</t>
  </si>
  <si>
    <t>- Case name appears upon clicking on the polygon</t>
  </si>
  <si>
    <t>Map_07</t>
  </si>
  <si>
    <t>Verify user can open the Case Follow-Up form by clicking on case name</t>
  </si>
  <si>
    <t>Click on the case name on the map</t>
  </si>
  <si>
    <t xml:space="preserve"> - User redirects to the case follow up form</t>
  </si>
  <si>
    <t>Map_08</t>
  </si>
  <si>
    <t>Verify warning message on the mobile map for wrong configuration</t>
  </si>
  <si>
    <t xml:space="preserve">1. Submit few forms with geo boundary and point details
2. Few forms with out complete or incorrect details
3. Navigate to case list form &gt;&gt; view on map
</t>
  </si>
  <si>
    <t>- User should see a below message at the bottom of screen 
"There was an error in app configuration due to which not all markers on the map are loaded correctly.”</t>
  </si>
  <si>
    <t>Map_09</t>
  </si>
  <si>
    <t>Verify visibility of individual toggles based on entity count</t>
  </si>
  <si>
    <t>1. Submit only one form with one entity either boundary box or points
2. Navigate to case list map</t>
  </si>
  <si>
    <t>- Toggle buttons are not visible and by default they are in "ON"
-  toggle panel is hidden if less than two toggles are needed
- Location should get highlighted as per your form submission</t>
  </si>
  <si>
    <t>Map_10</t>
  </si>
  <si>
    <t>Verify toggles are shown when multiple entities exist</t>
  </si>
  <si>
    <t>1. Submit multiple forms with multiple entities
2. Navigate to case list map</t>
  </si>
  <si>
    <t>- Toggle buttons are visible
- Entire toggle panel is shown if at least two toggles are needed</t>
  </si>
  <si>
    <t>Map_11</t>
  </si>
  <si>
    <t>Verify user can toggle polygons and points ON/OFF</t>
  </si>
  <si>
    <t>continue to above TC:
 - Toggle off the polygons button, ON the geo points
 - Toggle off the geopoints button, On the polygons button
 - Off both at a time</t>
  </si>
  <si>
    <t>- By default polygons and geo points are ON
- When user off the polyongs, boundary colour is not shown and only point is shown on map
- When user off the geopoints, boundary is shown and point is not shown
- When turn off both , neither points nor boundary are visible</t>
  </si>
  <si>
    <t>&lt;Feature_Name&gt; 
or
&lt;Ticket Title&gt;</t>
  </si>
  <si>
    <t>Key</t>
  </si>
  <si>
    <t>- Feature Description
- Test Domain
- Feature Flag
- (For master test plans) Last executed
- &lt;Anything specific to be added&gt;</t>
  </si>
  <si>
    <t>&lt;optional&gt; Documentation Status</t>
  </si>
  <si>
    <t>Duration</t>
  </si>
  <si>
    <t>Case Results
(if none, displays as 0)</t>
  </si>
  <si>
    <t>Ticket Summaries
(if none, displays as #N/A)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</si>
</sst>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23">
    <font>
      <sz val="10.0"/>
      <color rgb="FF000000"/>
      <name val="Arial"/>
      <scheme val="minor"/>
    </font>
    <font>
      <b/>
      <sz val="10.0"/>
      <color theme="1"/>
      <name val="Arial"/>
      <scheme val="minor"/>
    </font>
    <font>
      <b/>
      <color theme="1"/>
      <name val="Arial"/>
    </font>
    <font/>
    <font>
      <color theme="1"/>
      <name val="Arial"/>
      <scheme val="minor"/>
    </font>
    <font>
      <color theme="1"/>
      <name val="Arial"/>
    </font>
    <font>
      <sz val="11.0"/>
      <color theme="1"/>
      <name val="&quot;Nunito Sans&quot;"/>
    </font>
    <font>
      <color rgb="FF000000"/>
      <name val="Arial"/>
      <scheme val="minor"/>
    </font>
    <font>
      <b/>
      <color rgb="FFFFFFFF"/>
      <name val="Arial"/>
    </font>
    <font>
      <sz val="11.0"/>
      <color rgb="FF000000"/>
      <name val="Arial"/>
    </font>
    <font>
      <b/>
      <sz val="11.0"/>
      <color rgb="FFFFFFFF"/>
      <name val="Roboto"/>
    </font>
    <font>
      <sz val="11.0"/>
      <color theme="1"/>
      <name val="Roboto"/>
    </font>
    <font>
      <sz val="11.0"/>
      <color rgb="FFFFFFFF"/>
      <name val="Roboto"/>
    </font>
    <font>
      <b/>
      <sz val="10.0"/>
      <color rgb="FF000000"/>
      <name val="Arial"/>
    </font>
    <font>
      <sz val="10.0"/>
      <color rgb="FF000000"/>
      <name val="Arial"/>
    </font>
    <font>
      <sz val="11.0"/>
      <color theme="1"/>
      <name val="Nunito Sans"/>
    </font>
    <font>
      <u/>
      <color rgb="FF0000FF"/>
      <name val="Arial"/>
    </font>
    <font>
      <sz val="11.0"/>
      <color rgb="FF000000"/>
      <name val="Calibri"/>
    </font>
    <font>
      <b/>
      <sz val="11.0"/>
      <color rgb="FF222222"/>
      <name val="Calibri"/>
    </font>
    <font>
      <b/>
      <color rgb="FF222222"/>
      <name val="Arial"/>
    </font>
    <font>
      <b/>
      <sz val="10.0"/>
      <color rgb="FFFFFFFF"/>
      <name val="Arial"/>
      <scheme val="minor"/>
    </font>
    <font>
      <sz val="10.0"/>
      <color theme="1"/>
      <name val="Arial"/>
      <scheme val="minor"/>
    </font>
    <font>
      <sz val="10.0"/>
      <color theme="1"/>
      <name val="Arial"/>
    </font>
  </fonts>
  <fills count="19">
    <fill>
      <patternFill patternType="none"/>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45">
    <xf borderId="0" fillId="0" fontId="0" numFmtId="0" xfId="0" applyAlignment="1" applyFont="1">
      <alignment readingOrder="0" shrinkToFit="0" vertical="bottom" wrapText="0"/>
    </xf>
    <xf borderId="1" fillId="0" fontId="1" numFmtId="0" xfId="0" applyAlignment="1" applyBorder="1" applyFont="1">
      <alignment horizontal="center" vertical="center"/>
    </xf>
    <xf borderId="2" fillId="0" fontId="2" numFmtId="0" xfId="0" applyAlignment="1" applyBorder="1" applyFont="1">
      <alignment horizontal="center" readingOrder="0" vertical="center"/>
    </xf>
    <xf borderId="3" fillId="0" fontId="3" numFmtId="0" xfId="0" applyBorder="1" applyFont="1"/>
    <xf borderId="4" fillId="0" fontId="3" numFmtId="0" xfId="0" applyBorder="1" applyFont="1"/>
    <xf borderId="0" fillId="0" fontId="4" numFmtId="0" xfId="0" applyAlignment="1" applyFont="1">
      <alignment vertical="center"/>
    </xf>
    <xf borderId="5" fillId="0" fontId="2" numFmtId="0" xfId="0" applyAlignment="1" applyBorder="1" applyFont="1">
      <alignment horizontal="center" readingOrder="0" vertical="center"/>
    </xf>
    <xf borderId="6" fillId="0" fontId="3" numFmtId="0" xfId="0" applyBorder="1" applyFont="1"/>
    <xf borderId="7" fillId="0" fontId="3" numFmtId="0" xfId="0" applyBorder="1" applyFont="1"/>
    <xf borderId="0" fillId="0" fontId="5" numFmtId="0" xfId="0" applyAlignment="1" applyFont="1">
      <alignment horizontal="center" vertical="center"/>
    </xf>
    <xf borderId="8" fillId="0" fontId="3" numFmtId="0" xfId="0" applyBorder="1" applyFont="1"/>
    <xf borderId="9" fillId="0" fontId="3" numFmtId="0" xfId="0" applyBorder="1" applyFont="1"/>
    <xf borderId="10" fillId="0" fontId="3" numFmtId="0" xfId="0" applyBorder="1" applyFont="1"/>
    <xf borderId="11" fillId="0" fontId="3" numFmtId="0" xfId="0" applyBorder="1" applyFont="1"/>
    <xf borderId="2" fillId="0" fontId="6" numFmtId="0" xfId="0" applyAlignment="1" applyBorder="1" applyFont="1">
      <alignment readingOrder="0" vertical="center"/>
    </xf>
    <xf borderId="5" fillId="0" fontId="5" numFmtId="0" xfId="0" applyAlignment="1" applyBorder="1" applyFont="1">
      <alignment horizontal="left" vertical="center"/>
    </xf>
    <xf borderId="0" fillId="0" fontId="5" numFmtId="0" xfId="0" applyAlignment="1" applyFont="1">
      <alignment horizontal="left" vertical="center"/>
    </xf>
    <xf borderId="2" fillId="0" fontId="7" numFmtId="0" xfId="0" applyAlignment="1" applyBorder="1" applyFont="1">
      <alignment horizontal="left" readingOrder="0" shrinkToFit="0" vertical="center" wrapText="1"/>
    </xf>
    <xf borderId="12" fillId="0" fontId="3" numFmtId="0" xfId="0" applyBorder="1" applyFont="1"/>
    <xf borderId="13" fillId="0" fontId="3" numFmtId="0" xfId="0" applyBorder="1" applyFont="1"/>
    <xf borderId="14" fillId="0" fontId="5" numFmtId="0" xfId="0" applyAlignment="1" applyBorder="1" applyFont="1">
      <alignment horizontal="left" vertical="center"/>
    </xf>
    <xf borderId="15" fillId="0" fontId="3" numFmtId="0" xfId="0" applyBorder="1" applyFont="1"/>
    <xf borderId="2" fillId="2" fontId="6" numFmtId="0" xfId="0" applyAlignment="1" applyBorder="1" applyFill="1" applyFont="1">
      <alignment readingOrder="0" vertical="center"/>
    </xf>
    <xf borderId="0" fillId="0" fontId="5" numFmtId="0" xfId="0" applyAlignment="1" applyFont="1">
      <alignment horizontal="left" shrinkToFit="0" vertical="center" wrapText="1"/>
    </xf>
    <xf borderId="14" fillId="3" fontId="8" numFmtId="0" xfId="0" applyAlignment="1" applyBorder="1" applyFill="1" applyFont="1">
      <alignment horizontal="center" vertical="center"/>
    </xf>
    <xf borderId="5" fillId="4" fontId="9" numFmtId="0" xfId="0" applyAlignment="1" applyBorder="1" applyFill="1" applyFont="1">
      <alignment horizontal="center" readingOrder="0" vertical="center"/>
    </xf>
    <xf borderId="0" fillId="0" fontId="5" numFmtId="0" xfId="0" applyAlignment="1" applyFont="1">
      <alignment horizontal="left" readingOrder="0" vertical="center"/>
    </xf>
    <xf borderId="0" fillId="0" fontId="4" numFmtId="0" xfId="0" applyAlignment="1" applyFont="1">
      <alignment horizontal="center" readingOrder="0" vertical="center"/>
    </xf>
    <xf borderId="0" fillId="0" fontId="4" numFmtId="14" xfId="0" applyAlignment="1" applyFont="1" applyNumberFormat="1">
      <alignment horizontal="center" readingOrder="0" vertical="center"/>
    </xf>
    <xf borderId="0" fillId="0" fontId="4" numFmtId="164" xfId="0" applyAlignment="1" applyFont="1" applyNumberFormat="1">
      <alignment horizontal="center" readingOrder="0" vertical="center"/>
    </xf>
    <xf borderId="0" fillId="0" fontId="4" numFmtId="0" xfId="0" applyAlignment="1" applyFont="1">
      <alignment horizontal="center" vertical="center"/>
    </xf>
    <xf borderId="14" fillId="3" fontId="10" numFmtId="0" xfId="0" applyAlignment="1" applyBorder="1" applyFont="1">
      <alignment horizontal="center" shrinkToFit="0" vertical="center" wrapText="1"/>
    </xf>
    <xf borderId="14" fillId="3" fontId="10" numFmtId="0" xfId="0" applyAlignment="1" applyBorder="1" applyFont="1">
      <alignment horizontal="center" readingOrder="0" shrinkToFit="0" vertical="center" wrapText="1"/>
    </xf>
    <xf borderId="14" fillId="3" fontId="10" numFmtId="0" xfId="0" applyAlignment="1" applyBorder="1" applyFont="1">
      <alignment horizontal="center" shrinkToFit="0" vertical="center" wrapText="1"/>
    </xf>
    <xf borderId="13" fillId="0" fontId="5" numFmtId="0" xfId="0" applyAlignment="1" applyBorder="1" applyFont="1">
      <alignment vertical="center"/>
    </xf>
    <xf borderId="10" fillId="3" fontId="10" numFmtId="0" xfId="0" applyAlignment="1" applyBorder="1" applyFont="1">
      <alignment horizontal="center" shrinkToFit="0" vertical="center" wrapText="1"/>
    </xf>
    <xf borderId="11" fillId="3" fontId="10" numFmtId="0" xfId="0" applyAlignment="1" applyBorder="1" applyFont="1">
      <alignment horizontal="center" shrinkToFit="0" vertical="center" wrapText="1"/>
    </xf>
    <xf borderId="15" fillId="3" fontId="10" numFmtId="0" xfId="0" applyAlignment="1" applyBorder="1" applyFont="1">
      <alignment horizontal="center" shrinkToFit="0" vertical="center" wrapText="1"/>
    </xf>
    <xf borderId="11" fillId="0" fontId="5" numFmtId="0" xfId="0" applyAlignment="1" applyBorder="1" applyFont="1">
      <alignment readingOrder="0" vertical="center"/>
    </xf>
    <xf borderId="11" fillId="0" fontId="5" numFmtId="0" xfId="0" applyAlignment="1" applyBorder="1" applyFont="1">
      <alignment vertical="center"/>
    </xf>
    <xf borderId="11" fillId="5" fontId="11" numFmtId="0" xfId="0" applyAlignment="1" applyBorder="1" applyFill="1" applyFont="1">
      <alignment horizontal="center" shrinkToFit="0" vertical="center" wrapText="1"/>
    </xf>
    <xf borderId="11" fillId="6" fontId="11" numFmtId="0" xfId="0" applyAlignment="1" applyBorder="1" applyFill="1" applyFont="1">
      <alignment horizontal="center" shrinkToFit="0" vertical="center" wrapText="1"/>
    </xf>
    <xf borderId="11" fillId="7" fontId="11" numFmtId="0" xfId="0" applyAlignment="1" applyBorder="1" applyFill="1" applyFont="1">
      <alignment horizontal="center" shrinkToFit="0" vertical="center" wrapText="1"/>
    </xf>
    <xf borderId="11" fillId="2" fontId="12" numFmtId="0" xfId="0" applyAlignment="1" applyBorder="1" applyFont="1">
      <alignment horizontal="center" shrinkToFit="0" vertical="center" wrapText="1"/>
    </xf>
    <xf borderId="11" fillId="4" fontId="11" numFmtId="0" xfId="0" applyAlignment="1" applyBorder="1" applyFont="1">
      <alignment horizontal="center" shrinkToFit="0" vertical="center" wrapText="1"/>
    </xf>
    <xf borderId="11" fillId="0" fontId="11" numFmtId="0" xfId="0" applyAlignment="1" applyBorder="1" applyFont="1">
      <alignment horizontal="center" shrinkToFit="0" vertical="center" wrapText="1"/>
    </xf>
    <xf borderId="0" fillId="0" fontId="5" numFmtId="0" xfId="0" applyAlignment="1" applyFont="1">
      <alignment readingOrder="0" vertical="center"/>
    </xf>
    <xf borderId="0" fillId="0" fontId="5" numFmtId="0" xfId="0" applyAlignment="1" applyFont="1">
      <alignment vertical="center"/>
    </xf>
    <xf borderId="0" fillId="0" fontId="11" numFmtId="0" xfId="0" applyAlignment="1" applyFont="1">
      <alignment horizontal="center" shrinkToFit="0" vertical="center" wrapText="1"/>
    </xf>
    <xf borderId="14" fillId="8" fontId="1" numFmtId="0" xfId="0" applyAlignment="1" applyBorder="1" applyFill="1" applyFont="1">
      <alignment horizontal="center" readingOrder="0" shrinkToFit="0" vertical="center" wrapText="1"/>
    </xf>
    <xf borderId="14" fillId="8" fontId="13" numFmtId="0" xfId="0" applyAlignment="1" applyBorder="1" applyFont="1">
      <alignment horizontal="center" readingOrder="0" shrinkToFit="0" vertical="center" wrapText="1"/>
    </xf>
    <xf borderId="14" fillId="0" fontId="14" numFmtId="0" xfId="0" applyAlignment="1" applyBorder="1" applyFont="1">
      <alignment horizontal="center" readingOrder="0" shrinkToFit="0" vertical="center" wrapText="1"/>
    </xf>
    <xf borderId="14" fillId="0" fontId="14" numFmtId="0" xfId="0" applyAlignment="1" applyBorder="1" applyFont="1">
      <alignment horizontal="left" readingOrder="0" shrinkToFit="0" vertical="bottom" wrapText="1"/>
    </xf>
    <xf borderId="14" fillId="0" fontId="5" numFmtId="0" xfId="0" applyAlignment="1" applyBorder="1" applyFont="1">
      <alignment horizontal="left" shrinkToFit="0" vertical="bottom" wrapText="1"/>
    </xf>
    <xf borderId="2" fillId="0" fontId="14" numFmtId="0" xfId="0" applyAlignment="1" applyBorder="1" applyFont="1">
      <alignment horizontal="left" readingOrder="0" shrinkToFit="0" vertical="bottom" wrapText="1"/>
    </xf>
    <xf borderId="2" fillId="0" fontId="6" numFmtId="0" xfId="0" applyAlignment="1" applyBorder="1" applyFont="1">
      <alignment horizontal="center" readingOrder="0" shrinkToFit="0" vertical="center" wrapText="1"/>
    </xf>
    <xf borderId="14" fillId="0" fontId="4" numFmtId="0" xfId="0" applyAlignment="1" applyBorder="1" applyFont="1">
      <alignment horizontal="center" readingOrder="0" shrinkToFit="0" vertical="center" wrapText="1"/>
    </xf>
    <xf borderId="14" fillId="0" fontId="4" numFmtId="0" xfId="0" applyAlignment="1" applyBorder="1" applyFont="1">
      <alignment horizontal="center" readingOrder="0" shrinkToFit="0" vertical="center" wrapText="1"/>
    </xf>
    <xf borderId="14" fillId="0" fontId="6" numFmtId="0" xfId="0" applyAlignment="1" applyBorder="1" applyFont="1">
      <alignment horizontal="center" readingOrder="0" shrinkToFit="0" vertical="center" wrapText="1"/>
    </xf>
    <xf borderId="14" fillId="0" fontId="5" numFmtId="0" xfId="0" applyAlignment="1" applyBorder="1" applyFont="1">
      <alignment horizontal="left" readingOrder="0" shrinkToFit="0" vertical="bottom" wrapText="1"/>
    </xf>
    <xf borderId="14" fillId="9" fontId="2" numFmtId="0" xfId="0" applyAlignment="1" applyBorder="1" applyFill="1" applyFont="1">
      <alignment horizontal="center" shrinkToFit="0" vertical="center" wrapText="1"/>
    </xf>
    <xf borderId="14" fillId="0" fontId="5" numFmtId="0" xfId="0" applyAlignment="1" applyBorder="1" applyFont="1">
      <alignment horizontal="center" shrinkToFit="0" vertical="center" wrapText="1"/>
    </xf>
    <xf borderId="14" fillId="0" fontId="14" numFmtId="0" xfId="0" applyAlignment="1" applyBorder="1" applyFont="1">
      <alignment horizontal="left" readingOrder="0" shrinkToFit="0" vertical="center" wrapText="1"/>
    </xf>
    <xf borderId="14" fillId="0" fontId="5" numFmtId="0" xfId="0" applyAlignment="1" applyBorder="1" applyFont="1">
      <alignment readingOrder="0" shrinkToFit="0" vertical="center" wrapText="1"/>
    </xf>
    <xf borderId="14" fillId="0" fontId="5" numFmtId="0" xfId="0" applyAlignment="1" applyBorder="1" applyFont="1">
      <alignment shrinkToFit="0" vertical="center" wrapText="1"/>
    </xf>
    <xf borderId="14" fillId="0" fontId="4" numFmtId="0" xfId="0" applyAlignment="1" applyBorder="1" applyFont="1">
      <alignment horizontal="left" readingOrder="0" shrinkToFit="0" vertical="center" wrapText="1"/>
    </xf>
    <xf borderId="14" fillId="0" fontId="5" numFmtId="0" xfId="0" applyAlignment="1" applyBorder="1" applyFont="1">
      <alignment shrinkToFit="0" vertical="center" wrapText="1"/>
    </xf>
    <xf borderId="14" fillId="0" fontId="5" numFmtId="0" xfId="0" applyAlignment="1" applyBorder="1" applyFont="1">
      <alignment horizontal="left" readingOrder="0" shrinkToFit="0" vertical="center" wrapText="1"/>
    </xf>
    <xf borderId="14" fillId="0" fontId="5" numFmtId="0" xfId="0" applyAlignment="1" applyBorder="1" applyFont="1">
      <alignment horizontal="center" readingOrder="0" shrinkToFit="0" vertical="center" wrapText="1"/>
    </xf>
    <xf borderId="14" fillId="10" fontId="2" numFmtId="0" xfId="0" applyAlignment="1" applyBorder="1" applyFill="1" applyFont="1">
      <alignment horizontal="center" shrinkToFit="0" vertical="center" wrapText="1"/>
    </xf>
    <xf borderId="14" fillId="0" fontId="5" numFmtId="0" xfId="0" applyAlignment="1" applyBorder="1" applyFont="1">
      <alignment shrinkToFit="0" vertical="bottom" wrapText="1"/>
    </xf>
    <xf borderId="14" fillId="0" fontId="5" numFmtId="0" xfId="0" applyAlignment="1" applyBorder="1" applyFont="1">
      <alignment shrinkToFit="0" vertical="bottom" wrapText="1"/>
    </xf>
    <xf borderId="14" fillId="9" fontId="2" numFmtId="0" xfId="0" applyAlignment="1" applyBorder="1" applyFont="1">
      <alignment horizontal="center" readingOrder="0" shrinkToFit="0" vertical="center" wrapText="1"/>
    </xf>
    <xf borderId="14" fillId="0" fontId="5" numFmtId="0" xfId="0" applyAlignment="1" applyBorder="1" applyFont="1">
      <alignment horizontal="left" shrinkToFit="0" vertical="center" wrapText="1"/>
    </xf>
    <xf borderId="14" fillId="0" fontId="5" numFmtId="0" xfId="0" applyAlignment="1" applyBorder="1" applyFont="1">
      <alignment horizontal="left" shrinkToFit="0" vertical="center" wrapText="1"/>
    </xf>
    <xf borderId="0" fillId="0" fontId="5" numFmtId="0" xfId="0" applyAlignment="1" applyFont="1">
      <alignment readingOrder="0" shrinkToFit="0" vertical="center" wrapText="1"/>
    </xf>
    <xf borderId="14" fillId="0" fontId="5" numFmtId="0" xfId="0" applyAlignment="1" applyBorder="1" applyFont="1">
      <alignment horizontal="left" readingOrder="0" vertical="center"/>
    </xf>
    <xf borderId="14" fillId="0" fontId="5" numFmtId="0" xfId="0" applyAlignment="1" applyBorder="1" applyFont="1">
      <alignment horizontal="left" vertical="center"/>
    </xf>
    <xf borderId="5" fillId="11" fontId="2" numFmtId="0" xfId="0" applyAlignment="1" applyBorder="1" applyFill="1" applyFont="1">
      <alignment horizontal="center" shrinkToFit="0" vertical="center" wrapText="1"/>
    </xf>
    <xf borderId="0" fillId="9" fontId="2" numFmtId="0" xfId="0" applyAlignment="1" applyFont="1">
      <alignment horizontal="center" shrinkToFit="0" vertical="center" wrapText="1"/>
    </xf>
    <xf borderId="14" fillId="8" fontId="2" numFmtId="0" xfId="0" applyAlignment="1" applyBorder="1" applyFont="1">
      <alignment horizontal="center" shrinkToFit="0" vertical="center" wrapText="1"/>
    </xf>
    <xf borderId="14" fillId="10" fontId="5" numFmtId="0" xfId="0" applyAlignment="1" applyBorder="1" applyFont="1">
      <alignment horizontal="center" shrinkToFit="0" vertical="center" wrapText="1"/>
    </xf>
    <xf borderId="14" fillId="0" fontId="5" numFmtId="0" xfId="0" applyAlignment="1" applyBorder="1" applyFont="1">
      <alignment horizontal="left" shrinkToFit="0" vertical="bottom" wrapText="1"/>
    </xf>
    <xf borderId="14" fillId="10" fontId="5" numFmtId="0" xfId="0" applyAlignment="1" applyBorder="1" applyFont="1">
      <alignment horizontal="left" shrinkToFit="0" vertical="bottom" wrapText="1"/>
    </xf>
    <xf borderId="14" fillId="0" fontId="5" numFmtId="0" xfId="0" applyBorder="1" applyFont="1"/>
    <xf borderId="14" fillId="10" fontId="5" numFmtId="0" xfId="0" applyBorder="1" applyFont="1"/>
    <xf borderId="14" fillId="10" fontId="5" numFmtId="0" xfId="0" applyBorder="1" applyFont="1"/>
    <xf borderId="0" fillId="0" fontId="5" numFmtId="0" xfId="0" applyAlignment="1" applyFont="1">
      <alignment shrinkToFit="0" vertical="center" wrapText="1"/>
    </xf>
    <xf borderId="14" fillId="10" fontId="5" numFmtId="0" xfId="0" applyAlignment="1" applyBorder="1" applyFont="1">
      <alignment horizontal="left" readingOrder="0" shrinkToFit="0" vertical="bottom" wrapText="1"/>
    </xf>
    <xf borderId="0" fillId="10" fontId="5" numFmtId="0" xfId="0" applyAlignment="1" applyFont="1">
      <alignment horizontal="center" shrinkToFit="0" vertical="center" wrapText="1"/>
    </xf>
    <xf borderId="0" fillId="0" fontId="5" numFmtId="0" xfId="0" applyAlignment="1" applyFont="1">
      <alignment horizontal="left" shrinkToFit="0" vertical="bottom" wrapText="1"/>
    </xf>
    <xf borderId="0" fillId="10" fontId="5" numFmtId="0" xfId="0" applyAlignment="1" applyFont="1">
      <alignment horizontal="left" shrinkToFit="0" vertical="bottom" wrapText="1"/>
    </xf>
    <xf borderId="0" fillId="0" fontId="5" numFmtId="0" xfId="0" applyFont="1"/>
    <xf borderId="0" fillId="10" fontId="5" numFmtId="0" xfId="0" applyFont="1"/>
    <xf borderId="0" fillId="10" fontId="5" numFmtId="0" xfId="0" applyFont="1"/>
    <xf borderId="5" fillId="12" fontId="2" numFmtId="0" xfId="0" applyAlignment="1" applyBorder="1" applyFill="1" applyFont="1">
      <alignment horizontal="center" shrinkToFit="0" vertical="center" wrapText="1"/>
    </xf>
    <xf borderId="14" fillId="0" fontId="5" numFmtId="0" xfId="0" applyAlignment="1" applyBorder="1" applyFont="1">
      <alignment horizontal="center" shrinkToFit="0" vertical="center" wrapText="1"/>
    </xf>
    <xf borderId="14" fillId="0" fontId="5" numFmtId="0" xfId="0" applyAlignment="1" applyBorder="1" applyFont="1">
      <alignment readingOrder="0" shrinkToFit="0" vertical="bottom" wrapText="1"/>
    </xf>
    <xf borderId="14" fillId="0" fontId="15" numFmtId="0" xfId="0" applyAlignment="1" applyBorder="1" applyFont="1">
      <alignment horizontal="center" shrinkToFit="0" wrapText="1"/>
    </xf>
    <xf borderId="14" fillId="0" fontId="5" numFmtId="0" xfId="0" applyBorder="1" applyFont="1"/>
    <xf borderId="14" fillId="0" fontId="15" numFmtId="0" xfId="0" applyAlignment="1" applyBorder="1" applyFont="1">
      <alignment shrinkToFit="0" vertical="center" wrapText="1"/>
    </xf>
    <xf borderId="0" fillId="9" fontId="2" numFmtId="0" xfId="0" applyAlignment="1" applyFont="1">
      <alignment horizontal="center" readingOrder="0" shrinkToFit="0" vertical="center" wrapText="1"/>
    </xf>
    <xf borderId="5" fillId="12" fontId="2" numFmtId="0" xfId="0" applyAlignment="1" applyBorder="1" applyFont="1">
      <alignment horizontal="center" readingOrder="0" shrinkToFit="0" vertical="center" wrapText="1"/>
    </xf>
    <xf borderId="14" fillId="0" fontId="16" numFmtId="0" xfId="0" applyAlignment="1" applyBorder="1" applyFont="1">
      <alignment readingOrder="0" shrinkToFit="0" vertical="center" wrapText="1"/>
    </xf>
    <xf borderId="14" fillId="0" fontId="4" numFmtId="0" xfId="0" applyAlignment="1" applyBorder="1" applyFont="1">
      <alignment readingOrder="0" shrinkToFit="0" vertical="bottom" wrapText="1"/>
    </xf>
    <xf borderId="0" fillId="0" fontId="4" numFmtId="0" xfId="0" applyAlignment="1" applyFont="1">
      <alignment readingOrder="0" vertical="bottom"/>
    </xf>
    <xf borderId="1" fillId="0" fontId="1" numFmtId="0" xfId="0" applyAlignment="1" applyBorder="1" applyFont="1">
      <alignment horizontal="center"/>
    </xf>
    <xf borderId="10" fillId="0" fontId="2" numFmtId="0" xfId="0" applyAlignment="1" applyBorder="1" applyFont="1">
      <alignment horizontal="center" vertical="bottom"/>
    </xf>
    <xf borderId="10" fillId="0" fontId="5" numFmtId="0" xfId="0" applyAlignment="1" applyBorder="1" applyFont="1">
      <alignment horizontal="center" vertical="bottom"/>
    </xf>
    <xf borderId="14" fillId="13" fontId="17" numFmtId="0" xfId="0" applyAlignment="1" applyBorder="1" applyFill="1" applyFont="1">
      <alignment horizontal="center" vertical="top"/>
    </xf>
    <xf borderId="14" fillId="0" fontId="5" numFmtId="0" xfId="0" applyAlignment="1" applyBorder="1" applyFont="1">
      <alignment horizontal="left" vertical="bottom"/>
    </xf>
    <xf borderId="14" fillId="14" fontId="17" numFmtId="0" xfId="0" applyAlignment="1" applyBorder="1" applyFill="1" applyFont="1">
      <alignment horizontal="center" vertical="top"/>
    </xf>
    <xf borderId="14" fillId="15" fontId="17" numFmtId="0" xfId="0" applyAlignment="1" applyBorder="1" applyFill="1" applyFont="1">
      <alignment horizontal="center" vertical="top"/>
    </xf>
    <xf borderId="14" fillId="16" fontId="18" numFmtId="0" xfId="0" applyAlignment="1" applyBorder="1" applyFill="1" applyFont="1">
      <alignment horizontal="center" shrinkToFit="0" vertical="top" wrapText="1"/>
    </xf>
    <xf borderId="14" fillId="0" fontId="5" numFmtId="0" xfId="0" applyAlignment="1" applyBorder="1" applyFont="1">
      <alignment horizontal="left" shrinkToFit="0" vertical="bottom" wrapText="1"/>
    </xf>
    <xf borderId="14" fillId="3" fontId="8" numFmtId="0" xfId="0" applyAlignment="1" applyBorder="1" applyFont="1">
      <alignment horizontal="center" vertical="bottom"/>
    </xf>
    <xf borderId="7" fillId="3" fontId="8" numFmtId="0" xfId="0" applyAlignment="1" applyBorder="1" applyFont="1">
      <alignment horizontal="center" vertical="bottom"/>
    </xf>
    <xf borderId="14" fillId="4" fontId="9" numFmtId="0" xfId="0" applyAlignment="1" applyBorder="1" applyFont="1">
      <alignment horizontal="center" readingOrder="0" vertical="top"/>
    </xf>
    <xf borderId="14" fillId="0" fontId="5" numFmtId="0" xfId="0" applyAlignment="1" applyBorder="1" applyFont="1">
      <alignment horizontal="left" readingOrder="0" vertical="bottom"/>
    </xf>
    <xf borderId="14" fillId="0" fontId="4" numFmtId="0" xfId="0" applyAlignment="1" applyBorder="1" applyFont="1">
      <alignment horizontal="center" readingOrder="0"/>
    </xf>
    <xf borderId="14" fillId="0" fontId="4" numFmtId="14" xfId="0" applyAlignment="1" applyBorder="1" applyFont="1" applyNumberFormat="1">
      <alignment horizontal="center" readingOrder="0" vertical="bottom"/>
    </xf>
    <xf borderId="14" fillId="0" fontId="4" numFmtId="164" xfId="0" applyAlignment="1" applyBorder="1" applyFont="1" applyNumberFormat="1">
      <alignment horizontal="center" readingOrder="0"/>
    </xf>
    <xf borderId="0" fillId="0" fontId="5" numFmtId="0" xfId="0" applyAlignment="1" applyFont="1">
      <alignment horizontal="center" vertical="bottom"/>
    </xf>
    <xf borderId="0" fillId="0" fontId="4" numFmtId="0" xfId="0" applyAlignment="1" applyFont="1">
      <alignment horizontal="center"/>
    </xf>
    <xf borderId="0" fillId="10" fontId="19" numFmtId="0" xfId="0" applyAlignment="1" applyFont="1">
      <alignment horizontal="center" readingOrder="0" vertical="center"/>
    </xf>
    <xf borderId="14" fillId="3" fontId="20" numFmtId="0" xfId="0" applyAlignment="1" applyBorder="1" applyFont="1">
      <alignment horizontal="center" readingOrder="0"/>
    </xf>
    <xf borderId="14" fillId="0" fontId="21" numFmtId="0" xfId="0" applyAlignment="1" applyBorder="1" applyFont="1">
      <alignment horizontal="center" readingOrder="0" shrinkToFit="0" vertical="top" wrapText="1"/>
    </xf>
    <xf borderId="0" fillId="3" fontId="20" numFmtId="0" xfId="0" applyAlignment="1" applyFont="1">
      <alignment horizontal="center" readingOrder="0"/>
    </xf>
    <xf borderId="1" fillId="3" fontId="20" numFmtId="0" xfId="0" applyAlignment="1" applyBorder="1" applyFont="1">
      <alignment horizontal="center" readingOrder="0" vertical="center"/>
    </xf>
    <xf borderId="14" fillId="13" fontId="14" numFmtId="0" xfId="0" applyAlignment="1" applyBorder="1" applyFont="1">
      <alignment horizontal="center"/>
    </xf>
    <xf borderId="14" fillId="13" fontId="14" numFmtId="0" xfId="0" applyAlignment="1" applyBorder="1" applyFont="1">
      <alignment horizontal="center" readingOrder="0"/>
    </xf>
    <xf borderId="14" fillId="13" fontId="14" numFmtId="0" xfId="0" applyAlignment="1" applyBorder="1" applyFont="1">
      <alignment horizontal="center" vertical="center"/>
    </xf>
    <xf borderId="14" fillId="14" fontId="22" numFmtId="0" xfId="0" applyAlignment="1" applyBorder="1" applyFont="1">
      <alignment horizontal="center"/>
    </xf>
    <xf borderId="14" fillId="14" fontId="22" numFmtId="0" xfId="0" applyAlignment="1" applyBorder="1" applyFont="1">
      <alignment horizontal="center" readingOrder="0"/>
    </xf>
    <xf borderId="14" fillId="14" fontId="22" numFmtId="0" xfId="0" applyAlignment="1" applyBorder="1" applyFont="1">
      <alignment horizontal="center" vertical="center"/>
    </xf>
    <xf borderId="14" fillId="17" fontId="22" numFmtId="0" xfId="0" applyAlignment="1" applyBorder="1" applyFill="1" applyFont="1">
      <alignment horizontal="center" readingOrder="0"/>
    </xf>
    <xf borderId="14" fillId="17" fontId="22" numFmtId="0" xfId="0" applyAlignment="1" applyBorder="1" applyFont="1">
      <alignment horizontal="center"/>
    </xf>
    <xf borderId="14" fillId="17" fontId="22" numFmtId="0" xfId="0" applyAlignment="1" applyBorder="1" applyFont="1">
      <alignment horizontal="center" vertical="center"/>
    </xf>
    <xf borderId="14" fillId="18" fontId="22" numFmtId="0" xfId="0" applyAlignment="1" applyBorder="1" applyFill="1" applyFont="1">
      <alignment horizontal="center"/>
    </xf>
    <xf borderId="14" fillId="18" fontId="22" numFmtId="0" xfId="0" applyAlignment="1" applyBorder="1" applyFont="1">
      <alignment horizontal="center" readingOrder="0"/>
    </xf>
    <xf borderId="14" fillId="18" fontId="22" numFmtId="0" xfId="0" applyAlignment="1" applyBorder="1" applyFont="1">
      <alignment horizontal="center" vertical="center"/>
    </xf>
    <xf borderId="14" fillId="0" fontId="4" numFmtId="0" xfId="0" applyAlignment="1" applyBorder="1" applyFont="1">
      <alignment horizontal="center"/>
    </xf>
    <xf borderId="12" fillId="10" fontId="19" numFmtId="0" xfId="0" applyAlignment="1" applyBorder="1" applyFont="1">
      <alignment horizontal="center" readingOrder="0" vertical="center"/>
    </xf>
    <xf borderId="13" fillId="0" fontId="4" numFmtId="0" xfId="0" applyAlignment="1" applyBorder="1" applyFont="1">
      <alignment vertical="center"/>
    </xf>
    <xf borderId="0" fillId="3" fontId="20" numFmtId="0" xfId="0" applyAlignment="1" applyFont="1">
      <alignment horizontal="center" readingOrder="0" vertical="center"/>
    </xf>
  </cellXfs>
  <cellStyles count="1">
    <cellStyle xfId="0" name="Normal"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a26db52-4170-48d5-8412-e452cfb1ee20}">
    <Anchor>
      <Comment id="{9ee0d9c4-f238-417d-b546-90a160721610}"/>
    </Anchor>
    <History>
      <Event time="2026-03-31T15:25:27.00" id="{194a004c-7b9e-433d-9f41-f4f3b3fa83fa}">
        <Attribution userId="placeholder@email.com" userName="Anshu Shaik" userProvider="google-sheets"/>
        <Anchor>
          <Comment id="{2f99182e-6984-4a0e-af72-12c5c669dde9}"/>
        </Anchor>
        <Create/>
      </Event>
      <Event time="2026-03-31T15:25:27.00" id="{db9a8847-ff44-4d31-bb5c-b76ce198721b}">
        <Attribution userId="placeholder@email.com" userName="Anshu Shaik" userProvider="google-sheets"/>
        <Anchor>
          <Comment id="{2f99182e-6984-4a0e-af72-12c5c669dde9}"/>
        </Anchor>
        <Assign userId="nsaxena@dimagi.com" userName="nsaxena@dimagi.com" userProvider="google-sheets"/>
      </Event>
    </History>
  </Task>
  <Task id="{6bda00e2-851d-4874-9593-03ae57072967}">
    <Anchor>
      <Comment id="{c942e778-99b9-41cb-95b4-a9e93a4e5691}"/>
    </Anchor>
    <History>
      <Event time="2025-10-03T09:28:36.00" id="{551f234a-7e6e-45f7-b5af-a84e9b1c749a}">
        <Attribution userId="placeholder@email.com" userName="Anshu Shaik" userProvider="google-sheets"/>
        <Anchor>
          <Comment id="{7377775a-71fd-42df-94a3-fe104f8dacd4}"/>
        </Anchor>
        <Create/>
      </Event>
      <Event time="2025-10-03T09:28:36.00" id="{826b76c9-2773-4d58-a959-5da1f5cf416f}">
        <Attribution userId="placeholder@email.com" userName="Anshu Shaik" userProvider="google-sheets"/>
        <Anchor>
          <Comment id="{7377775a-71fd-42df-94a3-fe104f8dacd4}"/>
        </Anchor>
        <Assign userId="nsaxena@dimagi.com" userName="nsaxena@dimagi.com" userProvider="google-sheets"/>
      </Event>
    </History>
  </Task>
</Tasks>
</file>

<file path=xl/documenttasks/documenttask2.xml><?xml version="1.0" encoding="utf-8"?>
<Tasks xmlns="http://schemas.microsoft.com/office/tasks/2019/documenttasks">
  <Task id="{b7096ed7-9503-4f85-a0e6-8236637ee843}">
    <Anchor>
      <Comment id="{ee18a058-e369-465e-acb0-abb79ad1dfdb}"/>
    </Anchor>
    <History>
      <Event time="2026-04-02T08:53:25.00" id="{36296dbd-d89e-4aab-8af7-d50bf23494fe}">
        <Attribution userId="placeholder@email.com" userName="Anshu Shaik" userProvider="google-sheets"/>
        <Anchor>
          <Comment id="{7809b9a5-d085-4126-ab6d-bc66972b2f38}"/>
        </Anchor>
        <Create/>
      </Event>
      <Event time="2026-04-02T08:53:25.00" id="{e8caca00-4059-49f7-aabf-6428f20fd901}">
        <Attribution userId="placeholder@email.com" userName="Anshu Shaik" userProvider="google-sheets"/>
        <Anchor>
          <Comment id="{7809b9a5-d085-4126-ab6d-bc66972b2f38}"/>
        </Anchor>
        <Assign userId="nsaxena@dimagi.com" userName="nsaxena@dimagi.com" userProvider="google-sheets"/>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352425</xdr:colOff>
      <xdr:row>1</xdr:row>
      <xdr:rowOff>219075</xdr:rowOff>
    </xdr:from>
    <xdr:ext cx="1885950" cy="6191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76200</xdr:colOff>
      <xdr:row>1</xdr:row>
      <xdr:rowOff>28575</xdr:rowOff>
    </xdr:from>
    <xdr:ext cx="2581275" cy="7905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anshu.shaik@fissionlabs.com" id="{4ecdd546-0641-44cb-bc15-94b3bcef2b83}" userId="anshu.shaik@fissionlabs.com" providerId="google-sheets"/>
  <x18tc:person displayName="Nitin Saxena" id="{8497cbbb-54df-48ab-b120-422300c5496b}" providerId="google-sheets"/>
  <x18tc:person displayName="nsaxena@dimagi.com" id="{778b1ff6-8b37-4f75-a057-25baee7d134d}" userId="nsaxena@dimagi.com" providerId="google-sheets"/>
  <x18tc:person displayName="Anshu Shaik" id="{7d5efd86-6271-4f2f-a189-a51bd18122d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6" dT="2026-03-02T05:50:54.00" personId="{8497cbbb-54df-48ab-b120-422300c5496b}" id="{9ee0d9c4-f238-417d-b546-90a160721610}" done="1">
    <x18tc:text xml:space="preserve">@anshu.shaik@fissionlabs.com Could you please update these test scenarios if they are still valid and also add the correct steps for these tests.? Let me know if you have any questions.
Assigned to anshu.shaik@fissionlabs.com</x18tc:text>
    <x18tc:mentions>
      <x18tc:mention mentionpersonId="{4ecdd546-0641-44cb-bc15-94b3bcef2b83}" mentionId="{b5b34191-de52-4681-b127-7cca21e04226}" startIndex="0" length="28"/>
    </x18tc:mentions>
  </x18tc:threadedComment>
  <x18tc:threadedComment ref="B36" dT="2026-03-31T15:25:27.00" personId="{7d5efd86-6271-4f2f-a189-a51bd18122d6}" id="{2f99182e-6984-4a0e-af72-12c5c669dde9}" parentId="{9ee0d9c4-f238-417d-b546-90a160721610}">
    <x18tc:text xml:space="preserve">@nsaxena@dimagi.com I've updated the test cases with correct steps and removed invalid scenarios. Could you please check and let me know if i missed anything?
1 total reaction
Nitin Saxena reacted with 👍🏼 at 2026-04-02 5:05 AM UTC
Reassigned to nsaxena@dimagi.com</x18tc:text>
    <x18tc:mentions>
      <x18tc:mention mentionpersonId="{778b1ff6-8b37-4f75-a057-25baee7d134d}" mentionId="{31e81be3-9205-4597-be2d-ed4fab4bf3fa}" startIndex="0" length="19"/>
    </x18tc:mentions>
  </x18tc:threadedComment>
  <x18tc:threadedComment ref="C1" dT="2025-10-03T07:46:07.00" personId="{8497cbbb-54df-48ab-b120-422300c5496b}" id="{c942e778-99b9-41cb-95b4-a9e93a4e5691}" done="1">
    <x18tc:text xml:space="preserve">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x18tc:text>
    <x18tc:mentions>
      <x18tc:mention mentionpersonId="{4ecdd546-0641-44cb-bc15-94b3bcef2b83}" mentionId="{3a634468-e49b-402d-b899-2f3737c07528}" startIndex="3" length="28"/>
    </x18tc:mentions>
  </x18tc:threadedComment>
  <x18tc:threadedComment ref="C1" dT="2025-10-03T09:28:36.00" personId="{7d5efd86-6271-4f2f-a189-a51bd18122d6}" id="{7377775a-71fd-42df-94a3-fe104f8dacd4}" parentId="{c942e778-99b9-41cb-95b4-a9e93a4e5691}">
    <x18tc:text xml:space="preserve">Hi @nsaxena@dimagi.com ,
I've added steps to new test scenarios. Could you please verify and let me know if there is anything else to be modify or add. Thanks!!
Reassigned to nsaxena@dimagi.com</x18tc:text>
    <x18tc:mentions>
      <x18tc:mention mentionpersonId="{778b1ff6-8b37-4f75-a057-25baee7d134d}" mentionId="{cd1bf752-1a6d-447a-8a78-743757d5a3e3}" startIndex="3" length="19"/>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6-03-02T05:54:28.00" personId="{8497cbbb-54df-48ab-b120-422300c5496b}" id="{ee18a058-e369-465e-acb0-abb79ad1dfdb}" done="0">
    <x18tc:text xml:space="preserve">@anshu.shaik@fissionlabs.com Do we have any tests where we are describing how to configure geo boundary or geo points in an application on HQ? If not, we might wanna add those scenarios, and link them here for reference.
Assigned to anshu.shaik@fissionlabs.com</x18tc:text>
    <x18tc:mentions>
      <x18tc:mention mentionpersonId="{4ecdd546-0641-44cb-bc15-94b3bcef2b83}" mentionId="{0d5582af-e1c1-4e96-8943-658561812392}" startIndex="0" length="28"/>
    </x18tc:mentions>
  </x18tc:threadedComment>
  <x18tc:threadedComment ref="C3" dT="2026-03-31T15:26:19.00" personId="{7d5efd86-6271-4f2f-a189-a51bd18122d6}" id="{837b4042-625d-44c7-971f-b7e675302408}" parentId="{ee18a058-e369-465e-acb0-abb79ad1dfdb}">
    <x18tc:text xml:space="preserve">@nsaxena@dimagi.com Could you please give me access to the HQ master test plan to add relevant TCs?
Reassigned to nsaxena@dimagi.com</x18tc:text>
    <x18tc:mentions>
      <x18tc:mention mentionpersonId="{778b1ff6-8b37-4f75-a057-25baee7d134d}" mentionId="{cc2013e3-17e4-4911-8633-bfded5927a55}" startIndex="0" length="19"/>
    </x18tc:mentions>
  </x18tc:threadedComment>
  <x18tc:threadedComment ref="C3" dT="2026-04-02T05:09:37.00" personId="{8497cbbb-54df-48ab-b120-422300c5496b}" id="{8e7dcaed-c183-4413-af56-f14c86a08d44}" parentId="{ee18a058-e369-465e-acb0-abb79ad1dfdb}">
    <x18tc:text xml:space="preserve">@anshu.shaik@fissionlabs.com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x18tc:text>
    <x18tc:mentions>
      <x18tc:mention mentionpersonId="{4ecdd546-0641-44cb-bc15-94b3bcef2b83}" mentionId="{e5fda170-851d-437e-a2d6-5b8387355a86}" startIndex="0" length="28"/>
    </x18tc:mentions>
    <x18tc:extLst>
      <ext uri="{F7C98A9C-CBB3-438F-8F68-D28B6AF4A901}">
        <xltc2:checksum/>
        <xltc2:hyperlink startIndex="56" length="100" url="https://docs.google.com/spreadsheets/d/1ENauf0cWqR0c9Seu29xarLucB78j3bNJzuQ7ut0T7Fs/edit?gid=2#gid=2"/>
      </ext>
    </x18tc:extLst>
  </x18tc:threadedComment>
  <x18tc:threadedComment ref="C3" dT="2026-04-02T08:53:25.00" personId="{7d5efd86-6271-4f2f-a189-a51bd18122d6}" id="{7809b9a5-d085-4126-ab6d-bc66972b2f38}" parentId="{ee18a058-e369-465e-acb0-abb79ad1dfdb}">
    <x18tc:text xml:space="preserve">@nsaxena@dimagi.com Added the tests and linked them here for reference. Could you please check and let me know if anything is missing?
Reassigned to nsaxena@dimagi.com</x18tc:text>
    <x18tc:mentions>
      <x18tc:mention mentionpersonId="{778b1ff6-8b37-4f75-a057-25baee7d134d}" mentionId="{d5f47792-7c26-419a-b302-31905cf2f23f}" startIndex="0" length="19"/>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3.xml"/><Relationship Id="rId5"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ocs.google.com/spreadsheets/d/1ENauf0cWqR0c9Seu29xarLucB78j3bNJzuQ7ut0T7Fs/edit?gid=2" TargetMode="External"/><Relationship Id="rId5" Type="http://schemas.openxmlformats.org/officeDocument/2006/relationships/drawing" Target="../drawings/drawing8.xml"/><Relationship Id="rId6"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38"/>
    <col customWidth="1" min="2" max="2" width="21.75"/>
    <col customWidth="1" min="3" max="3" width="17.38"/>
    <col customWidth="1" min="4" max="4" width="15.63"/>
    <col customWidth="1" min="5" max="5" width="6.38"/>
    <col customWidth="1" min="6" max="12" width="5.38"/>
    <col customWidth="1" min="13" max="17" width="11.88"/>
  </cols>
  <sheetData>
    <row r="1">
      <c r="A1" s="1"/>
      <c r="B1" s="2" t="s">
        <v>0</v>
      </c>
      <c r="C1" s="3"/>
      <c r="D1" s="4"/>
      <c r="E1" s="5"/>
      <c r="F1" s="6" t="s">
        <v>1</v>
      </c>
      <c r="G1" s="7"/>
      <c r="H1" s="7"/>
      <c r="I1" s="7"/>
      <c r="J1" s="7"/>
      <c r="K1" s="7"/>
      <c r="L1" s="8"/>
      <c r="M1" s="9"/>
      <c r="N1" s="9"/>
      <c r="O1" s="9"/>
      <c r="P1" s="9"/>
      <c r="Q1" s="9"/>
    </row>
    <row r="2" ht="20.25" customHeight="1">
      <c r="A2" s="10"/>
      <c r="B2" s="11"/>
      <c r="C2" s="12"/>
      <c r="D2" s="13"/>
      <c r="E2" s="5"/>
      <c r="F2" s="14" t="s">
        <v>2</v>
      </c>
      <c r="G2" s="3"/>
      <c r="H2" s="15" t="s">
        <v>3</v>
      </c>
      <c r="I2" s="7"/>
      <c r="J2" s="7"/>
      <c r="K2" s="7"/>
      <c r="L2" s="8"/>
      <c r="M2" s="16"/>
      <c r="N2" s="16"/>
      <c r="O2" s="16"/>
      <c r="P2" s="16"/>
      <c r="Q2" s="16"/>
    </row>
    <row r="3" ht="27.0" customHeight="1">
      <c r="A3" s="10"/>
      <c r="B3" s="17"/>
      <c r="C3" s="3"/>
      <c r="D3" s="4"/>
      <c r="E3" s="5"/>
      <c r="F3" s="14" t="s">
        <v>4</v>
      </c>
      <c r="G3" s="3"/>
      <c r="H3" s="15" t="s">
        <v>5</v>
      </c>
      <c r="I3" s="7"/>
      <c r="J3" s="7"/>
      <c r="K3" s="7"/>
      <c r="L3" s="8"/>
      <c r="M3" s="16"/>
      <c r="N3" s="16"/>
      <c r="O3" s="16"/>
      <c r="P3" s="16"/>
      <c r="Q3" s="16"/>
    </row>
    <row r="4" ht="27.0" customHeight="1">
      <c r="A4" s="10"/>
      <c r="B4" s="18"/>
      <c r="D4" s="19"/>
      <c r="E4" s="5"/>
      <c r="F4" s="14" t="s">
        <v>6</v>
      </c>
      <c r="G4" s="3"/>
      <c r="H4" s="20" t="s">
        <v>7</v>
      </c>
      <c r="I4" s="20"/>
      <c r="J4" s="20"/>
      <c r="K4" s="20"/>
      <c r="L4" s="20"/>
      <c r="M4" s="16"/>
      <c r="N4" s="16"/>
      <c r="O4" s="16"/>
      <c r="P4" s="16"/>
      <c r="Q4" s="16"/>
    </row>
    <row r="5" ht="27.0" customHeight="1">
      <c r="A5" s="21"/>
      <c r="B5" s="11"/>
      <c r="C5" s="12"/>
      <c r="D5" s="13"/>
      <c r="E5" s="5"/>
      <c r="F5" s="22" t="s">
        <v>8</v>
      </c>
      <c r="G5" s="3"/>
      <c r="H5" s="15" t="s">
        <v>9</v>
      </c>
      <c r="I5" s="7"/>
      <c r="J5" s="7"/>
      <c r="K5" s="7"/>
      <c r="L5" s="8"/>
      <c r="M5" s="23"/>
      <c r="N5" s="23"/>
      <c r="O5" s="23"/>
      <c r="P5" s="23"/>
      <c r="Q5" s="23"/>
    </row>
    <row r="6" ht="17.25" customHeight="1">
      <c r="A6" s="24" t="s">
        <v>10</v>
      </c>
      <c r="B6" s="24" t="s">
        <v>11</v>
      </c>
      <c r="C6" s="24" t="s">
        <v>12</v>
      </c>
      <c r="D6" s="5"/>
      <c r="E6" s="5"/>
      <c r="F6" s="25" t="s">
        <v>13</v>
      </c>
      <c r="G6" s="8"/>
      <c r="H6" s="15" t="s">
        <v>14</v>
      </c>
      <c r="I6" s="7"/>
      <c r="J6" s="7"/>
      <c r="K6" s="7"/>
      <c r="L6" s="8"/>
      <c r="M6" s="26"/>
      <c r="N6" s="26"/>
      <c r="O6" s="26"/>
      <c r="P6" s="26"/>
      <c r="Q6" s="26"/>
    </row>
    <row r="7">
      <c r="A7" s="27"/>
      <c r="B7" s="28"/>
      <c r="C7" s="29"/>
      <c r="D7" s="5"/>
      <c r="E7" s="9"/>
      <c r="F7" s="30"/>
      <c r="G7" s="30"/>
      <c r="H7" s="30"/>
      <c r="I7" s="30"/>
      <c r="J7" s="30"/>
      <c r="K7" s="30"/>
      <c r="L7" s="30"/>
      <c r="M7" s="30"/>
      <c r="N7" s="30"/>
      <c r="O7" s="30"/>
      <c r="P7" s="30"/>
      <c r="Q7" s="30"/>
    </row>
    <row r="8">
      <c r="A8" s="27"/>
      <c r="B8" s="28"/>
      <c r="C8" s="29"/>
      <c r="D8" s="5"/>
      <c r="E8" s="9"/>
      <c r="F8" s="30"/>
      <c r="G8" s="30"/>
      <c r="H8" s="30"/>
      <c r="I8" s="30"/>
      <c r="J8" s="30"/>
      <c r="K8" s="30"/>
      <c r="L8" s="30"/>
      <c r="M8" s="30"/>
      <c r="N8" s="30"/>
      <c r="O8" s="30"/>
      <c r="P8" s="30"/>
      <c r="Q8" s="30"/>
    </row>
    <row r="9">
      <c r="A9" s="31" t="s">
        <v>15</v>
      </c>
      <c r="B9" s="31" t="s">
        <v>16</v>
      </c>
      <c r="C9" s="32" t="s">
        <v>17</v>
      </c>
      <c r="D9" s="33" t="s">
        <v>18</v>
      </c>
      <c r="E9" s="34"/>
      <c r="F9" s="35" t="s">
        <v>19</v>
      </c>
      <c r="G9" s="12"/>
      <c r="H9" s="12"/>
      <c r="I9" s="12"/>
      <c r="J9" s="13"/>
      <c r="K9" s="36" t="s">
        <v>20</v>
      </c>
      <c r="L9" s="34"/>
      <c r="M9" s="35" t="s">
        <v>21</v>
      </c>
      <c r="N9" s="12"/>
      <c r="O9" s="12"/>
      <c r="P9" s="12"/>
      <c r="Q9" s="13"/>
    </row>
    <row r="10">
      <c r="A10" s="37" t="str">
        <f>sheetName(2)</f>
        <v>Personal ID Tests</v>
      </c>
      <c r="B10" s="38"/>
      <c r="C10" s="39"/>
      <c r="D10" s="39"/>
      <c r="E10" s="34"/>
      <c r="F10" s="40">
        <f t="shared" ref="F10:F16" si="1">countif(INDIRECT("'"&amp;A10&amp;"'!"&amp;"E2:E100"), "Pass")</f>
        <v>0</v>
      </c>
      <c r="G10" s="41">
        <f t="shared" ref="G10:G16" si="2">countif(INDIRECT("'"&amp;A10&amp;"'!"&amp;"E2:E100"), "Fail")</f>
        <v>0</v>
      </c>
      <c r="H10" s="42">
        <f t="shared" ref="H10:H16" si="3">countif(INDIRECT("'"&amp;A10&amp;"'!"&amp;"E2:E100"), "N/A")</f>
        <v>0</v>
      </c>
      <c r="I10" s="43">
        <f t="shared" ref="I10:I16" si="4">countif(INDIRECT("'"&amp;A10&amp;"'!"&amp;"E2:E100"), "Blocking")</f>
        <v>0</v>
      </c>
      <c r="J10" s="44">
        <f t="shared" ref="J10:J16" si="5">countif(INDIRECT("'"&amp;A10&amp;"'!"&amp;"E2:E100"), "")</f>
        <v>44</v>
      </c>
      <c r="K10" s="45">
        <f t="shared" ref="K10:K16" si="6">sum(F10:J10)</f>
        <v>44</v>
      </c>
      <c r="L10" s="34"/>
      <c r="M10" s="45" t="str">
        <f>IFERROR(__xludf.DUMMYFUNCTION(" TRANSPOSE(UNIQUE( FILTER( INDIRECT(""'""&amp;$A$10&amp;""'!""&amp;""F2:F100"") , NOT(ISBLANK(INDIRECT(""'""&amp;$A$10&amp;""'!""&amp;""F2:F100""))) ) ))"),"#N/A")</f>
        <v>#N/A</v>
      </c>
      <c r="N10" s="45"/>
      <c r="O10" s="45"/>
      <c r="P10" s="45"/>
      <c r="Q10" s="45"/>
    </row>
    <row r="11">
      <c r="A11" s="37" t="str">
        <f>sheetName(3)</f>
        <v>Integration Tests (Connect)</v>
      </c>
      <c r="B11" s="38"/>
      <c r="C11" s="39"/>
      <c r="D11" s="39"/>
      <c r="E11" s="34"/>
      <c r="F11" s="40">
        <f t="shared" si="1"/>
        <v>0</v>
      </c>
      <c r="G11" s="41">
        <f t="shared" si="2"/>
        <v>0</v>
      </c>
      <c r="H11" s="42">
        <f t="shared" si="3"/>
        <v>0</v>
      </c>
      <c r="I11" s="43">
        <f t="shared" si="4"/>
        <v>0</v>
      </c>
      <c r="J11" s="44">
        <f t="shared" si="5"/>
        <v>53</v>
      </c>
      <c r="K11" s="45">
        <f t="shared" si="6"/>
        <v>53</v>
      </c>
      <c r="L11" s="34"/>
      <c r="M11" s="45" t="str">
        <f>IFERROR(__xludf.DUMMYFUNCTION(" TRANSPOSE(UNIQUE( FILTER( INDIRECT(""'""&amp;$A$10&amp;""'!""&amp;""F2:F100"") , NOT(ISBLANK(INDIRECT(""'""&amp;$A$10&amp;""'!""&amp;""F2:F100""))) ) ))"),"#N/A")</f>
        <v>#N/A</v>
      </c>
      <c r="N11" s="45"/>
      <c r="O11" s="45"/>
      <c r="P11" s="45"/>
      <c r="Q11" s="45"/>
    </row>
    <row r="12">
      <c r="A12" s="37" t="str">
        <f>sheetName(4)</f>
        <v>Connect Landing Page</v>
      </c>
      <c r="B12" s="46"/>
      <c r="C12" s="47"/>
      <c r="D12" s="47"/>
      <c r="E12" s="47"/>
      <c r="F12" s="40">
        <f t="shared" si="1"/>
        <v>0</v>
      </c>
      <c r="G12" s="41">
        <f t="shared" si="2"/>
        <v>0</v>
      </c>
      <c r="H12" s="42">
        <f t="shared" si="3"/>
        <v>0</v>
      </c>
      <c r="I12" s="43">
        <f t="shared" si="4"/>
        <v>0</v>
      </c>
      <c r="J12" s="44">
        <f t="shared" si="5"/>
        <v>28</v>
      </c>
      <c r="K12" s="45">
        <f t="shared" si="6"/>
        <v>28</v>
      </c>
      <c r="L12" s="47"/>
      <c r="M12" s="48"/>
      <c r="N12" s="48"/>
      <c r="O12" s="48"/>
      <c r="P12" s="48"/>
      <c r="Q12" s="48"/>
    </row>
    <row r="13">
      <c r="A13" s="37" t="str">
        <f>sheetName(5)</f>
        <v>Connect messaging</v>
      </c>
      <c r="B13" s="46"/>
      <c r="C13" s="47"/>
      <c r="D13" s="47"/>
      <c r="E13" s="47"/>
      <c r="F13" s="40">
        <f t="shared" si="1"/>
        <v>0</v>
      </c>
      <c r="G13" s="41">
        <f t="shared" si="2"/>
        <v>0</v>
      </c>
      <c r="H13" s="42">
        <f t="shared" si="3"/>
        <v>0</v>
      </c>
      <c r="I13" s="43">
        <f t="shared" si="4"/>
        <v>0</v>
      </c>
      <c r="J13" s="44">
        <f t="shared" si="5"/>
        <v>12</v>
      </c>
      <c r="K13" s="45">
        <f t="shared" si="6"/>
        <v>12</v>
      </c>
      <c r="L13" s="47"/>
      <c r="M13" s="48"/>
      <c r="N13" s="48"/>
      <c r="O13" s="48"/>
      <c r="P13" s="48"/>
      <c r="Q13" s="48"/>
    </row>
    <row r="14">
      <c r="A14" s="37" t="str">
        <f>sheetName(6)</f>
        <v>Connect Notifications</v>
      </c>
      <c r="B14" s="46"/>
      <c r="C14" s="47"/>
      <c r="D14" s="47"/>
      <c r="E14" s="47"/>
      <c r="F14" s="40">
        <f t="shared" si="1"/>
        <v>0</v>
      </c>
      <c r="G14" s="41">
        <f t="shared" si="2"/>
        <v>0</v>
      </c>
      <c r="H14" s="42">
        <f t="shared" si="3"/>
        <v>0</v>
      </c>
      <c r="I14" s="43">
        <f t="shared" si="4"/>
        <v>0</v>
      </c>
      <c r="J14" s="44">
        <f t="shared" si="5"/>
        <v>19</v>
      </c>
      <c r="K14" s="45">
        <f t="shared" si="6"/>
        <v>19</v>
      </c>
      <c r="L14" s="47"/>
      <c r="M14" s="48"/>
      <c r="N14" s="48"/>
      <c r="O14" s="48"/>
      <c r="P14" s="48"/>
      <c r="Q14" s="48"/>
    </row>
    <row r="15">
      <c r="A15" s="37" t="str">
        <f>sheetName(7)</f>
        <v>Connect worker History</v>
      </c>
      <c r="B15" s="46"/>
      <c r="C15" s="47"/>
      <c r="D15" s="47"/>
      <c r="E15" s="47"/>
      <c r="F15" s="40">
        <f t="shared" si="1"/>
        <v>0</v>
      </c>
      <c r="G15" s="41">
        <f t="shared" si="2"/>
        <v>0</v>
      </c>
      <c r="H15" s="42">
        <f t="shared" si="3"/>
        <v>0</v>
      </c>
      <c r="I15" s="43">
        <f t="shared" si="4"/>
        <v>0</v>
      </c>
      <c r="J15" s="44">
        <f t="shared" si="5"/>
        <v>3</v>
      </c>
      <c r="K15" s="45">
        <f t="shared" si="6"/>
        <v>3</v>
      </c>
      <c r="L15" s="47"/>
      <c r="M15" s="48"/>
      <c r="N15" s="48"/>
      <c r="O15" s="48"/>
      <c r="P15" s="48"/>
      <c r="Q15" s="48"/>
    </row>
    <row r="16">
      <c r="A16" s="37" t="str">
        <f>sheetName(8)</f>
        <v>Case List map </v>
      </c>
      <c r="B16" s="46"/>
      <c r="C16" s="47"/>
      <c r="D16" s="47"/>
      <c r="E16" s="47"/>
      <c r="F16" s="40">
        <f t="shared" si="1"/>
        <v>0</v>
      </c>
      <c r="G16" s="41">
        <f t="shared" si="2"/>
        <v>0</v>
      </c>
      <c r="H16" s="42">
        <f t="shared" si="3"/>
        <v>0</v>
      </c>
      <c r="I16" s="43">
        <f t="shared" si="4"/>
        <v>0</v>
      </c>
      <c r="J16" s="44">
        <f t="shared" si="5"/>
        <v>12</v>
      </c>
      <c r="K16" s="45">
        <f t="shared" si="6"/>
        <v>12</v>
      </c>
      <c r="L16" s="47"/>
      <c r="M16" s="48"/>
      <c r="N16" s="48"/>
      <c r="O16" s="48"/>
      <c r="P16" s="48"/>
      <c r="Q16" s="48"/>
    </row>
  </sheetData>
  <mergeCells count="15">
    <mergeCell ref="F3:G3"/>
    <mergeCell ref="F4:G4"/>
    <mergeCell ref="F6:G6"/>
    <mergeCell ref="F5:G5"/>
    <mergeCell ref="H5:L5"/>
    <mergeCell ref="H6:L6"/>
    <mergeCell ref="F9:J9"/>
    <mergeCell ref="M9:Q9"/>
    <mergeCell ref="A1:A5"/>
    <mergeCell ref="B1:D2"/>
    <mergeCell ref="F1:L1"/>
    <mergeCell ref="F2:G2"/>
    <mergeCell ref="H2:L2"/>
    <mergeCell ref="B3:D5"/>
    <mergeCell ref="H3:L3"/>
  </mergeCells>
  <conditionalFormatting sqref="F2:F5">
    <cfRule type="cellIs" dxfId="0" priority="1" operator="equal">
      <formula>"Blocking"</formula>
    </cfRule>
  </conditionalFormatting>
  <conditionalFormatting sqref="F2:F5">
    <cfRule type="cellIs" dxfId="1" priority="2" operator="equal">
      <formula>"Fail"</formula>
    </cfRule>
  </conditionalFormatting>
  <conditionalFormatting sqref="F2:F5">
    <cfRule type="cellIs" dxfId="2" priority="3" operator="equal">
      <formula>"N/A"</formula>
    </cfRule>
  </conditionalFormatting>
  <conditionalFormatting sqref="F2:F5">
    <cfRule type="cellIs" dxfId="3" priority="4" operator="equal">
      <formula>"Blocking"</formula>
    </cfRule>
  </conditionalFormatting>
  <conditionalFormatting sqref="F2:F5">
    <cfRule type="cellIs" dxfId="4" priority="5" operator="equal">
      <formula>"Pass"</formula>
    </cfRule>
  </conditionalFormatting>
  <conditionalFormatting sqref="F2:F5">
    <cfRule type="cellIs" dxfId="5" priority="6" operator="equal">
      <formula>"Fail"</formula>
    </cfRule>
  </conditionalFormatting>
  <conditionalFormatting sqref="F2:F5">
    <cfRule type="cellIs" dxfId="6" priority="7" operator="equal">
      <formula>"N/A"</formula>
    </cfRule>
  </conditionalFormatting>
  <conditionalFormatting sqref="F2:F5">
    <cfRule type="cellIs" dxfId="7" priority="8" operator="equal">
      <formula>"Blocking"</formula>
    </cfRule>
  </conditionalFormatting>
  <dataValidations>
    <dataValidation type="custom" allowBlank="1" showDropDown="1" showInputMessage="1" prompt="Enter a valid date" sqref="B7:C7">
      <formula1>OR(NOT(ISERROR(DATEVALUE(B7))), AND(ISNUMBER(B7), LEFT(CELL("format", B7))="D"))</formula1>
    </dataValidation>
    <dataValidation type="list" allowBlank="1" showErrorMessage="1" sqref="F2:F5">
      <formula1>"Pass,Fail,N/A,Blocking"</formula1>
    </dataValidation>
    <dataValidation type="list" allowBlank="1" showErrorMessage="1" sqref="B10:B16">
      <formula1>"In Progress,Done,Blocked,Not Started"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0"/>
    <col customWidth="1" min="2" max="2" width="45.25"/>
    <col customWidth="1" min="3" max="3" width="43.13"/>
    <col customWidth="1" min="4" max="4" width="44.25"/>
    <col customWidth="1" min="5" max="5" width="17.5"/>
    <col customWidth="1" min="6" max="7" width="15.0"/>
  </cols>
  <sheetData>
    <row r="1" ht="13.5" customHeight="1">
      <c r="A1" s="49" t="s">
        <v>22</v>
      </c>
      <c r="B1" s="49" t="s">
        <v>23</v>
      </c>
      <c r="C1" s="50" t="s">
        <v>24</v>
      </c>
      <c r="D1" s="50" t="s">
        <v>25</v>
      </c>
      <c r="E1" s="49" t="s">
        <v>26</v>
      </c>
      <c r="F1" s="50" t="s">
        <v>27</v>
      </c>
      <c r="G1" s="50" t="s">
        <v>28</v>
      </c>
    </row>
    <row r="2" ht="12.75" customHeight="1">
      <c r="A2" s="51" t="s">
        <v>29</v>
      </c>
      <c r="B2" s="52" t="s">
        <v>30</v>
      </c>
      <c r="C2" s="53" t="s">
        <v>31</v>
      </c>
      <c r="D2" s="54" t="s">
        <v>32</v>
      </c>
      <c r="E2" s="55"/>
      <c r="F2" s="56"/>
      <c r="G2" s="51"/>
    </row>
    <row r="3" ht="12.75" customHeight="1">
      <c r="A3" s="51" t="s">
        <v>33</v>
      </c>
      <c r="B3" s="52" t="s">
        <v>34</v>
      </c>
      <c r="C3" s="53" t="s">
        <v>35</v>
      </c>
      <c r="D3" s="54" t="s">
        <v>36</v>
      </c>
      <c r="E3" s="55"/>
      <c r="F3" s="56"/>
      <c r="G3" s="56"/>
    </row>
    <row r="4" ht="12.75" customHeight="1">
      <c r="A4" s="51" t="s">
        <v>37</v>
      </c>
      <c r="B4" s="52" t="s">
        <v>38</v>
      </c>
      <c r="C4" s="53" t="s">
        <v>39</v>
      </c>
      <c r="D4" s="54" t="s">
        <v>40</v>
      </c>
      <c r="E4" s="55"/>
      <c r="F4" s="56"/>
      <c r="G4" s="57"/>
    </row>
    <row r="5" ht="12.75" customHeight="1">
      <c r="A5" s="51" t="s">
        <v>41</v>
      </c>
      <c r="B5" s="52" t="s">
        <v>42</v>
      </c>
      <c r="C5" s="52" t="s">
        <v>43</v>
      </c>
      <c r="D5" s="54" t="s">
        <v>44</v>
      </c>
      <c r="E5" s="55"/>
      <c r="F5" s="56"/>
      <c r="G5" s="57"/>
    </row>
    <row r="6" ht="12.75" customHeight="1">
      <c r="A6" s="51" t="s">
        <v>45</v>
      </c>
      <c r="B6" s="52" t="s">
        <v>46</v>
      </c>
      <c r="C6" s="53" t="s">
        <v>47</v>
      </c>
      <c r="D6" s="52" t="s">
        <v>48</v>
      </c>
      <c r="E6" s="58"/>
      <c r="F6" s="56"/>
      <c r="G6" s="57"/>
    </row>
    <row r="7" ht="12.75" customHeight="1">
      <c r="A7" s="51" t="s">
        <v>49</v>
      </c>
      <c r="B7" s="52" t="s">
        <v>50</v>
      </c>
      <c r="C7" s="53" t="s">
        <v>51</v>
      </c>
      <c r="D7" s="52" t="s">
        <v>52</v>
      </c>
      <c r="E7" s="58"/>
      <c r="F7" s="56"/>
      <c r="G7" s="57"/>
    </row>
    <row r="8" ht="12.75" customHeight="1">
      <c r="A8" s="51" t="s">
        <v>53</v>
      </c>
      <c r="B8" s="52" t="s">
        <v>54</v>
      </c>
      <c r="C8" s="52" t="s">
        <v>55</v>
      </c>
      <c r="D8" s="52" t="s">
        <v>56</v>
      </c>
      <c r="E8" s="58"/>
      <c r="F8" s="56"/>
      <c r="G8" s="57"/>
    </row>
    <row r="9" ht="12.75" customHeight="1">
      <c r="A9" s="51" t="s">
        <v>57</v>
      </c>
      <c r="B9" s="52" t="s">
        <v>58</v>
      </c>
      <c r="C9" s="53" t="s">
        <v>59</v>
      </c>
      <c r="D9" s="52" t="s">
        <v>60</v>
      </c>
      <c r="E9" s="58"/>
      <c r="F9" s="56"/>
      <c r="G9" s="57"/>
    </row>
    <row r="10" ht="12.75" customHeight="1">
      <c r="A10" s="51" t="s">
        <v>61</v>
      </c>
      <c r="B10" s="52" t="s">
        <v>62</v>
      </c>
      <c r="C10" s="59" t="s">
        <v>63</v>
      </c>
      <c r="D10" s="52" t="s">
        <v>64</v>
      </c>
      <c r="E10" s="58"/>
      <c r="F10" s="56"/>
      <c r="G10" s="57"/>
    </row>
    <row r="11" ht="12.75" customHeight="1">
      <c r="A11" s="51" t="s">
        <v>65</v>
      </c>
      <c r="B11" s="52" t="s">
        <v>66</v>
      </c>
      <c r="C11" s="52"/>
      <c r="D11" s="52" t="s">
        <v>67</v>
      </c>
      <c r="E11" s="58"/>
      <c r="F11" s="56"/>
      <c r="G11" s="57"/>
    </row>
    <row r="12" ht="12.75" customHeight="1">
      <c r="A12" s="51" t="s">
        <v>68</v>
      </c>
      <c r="B12" s="52" t="s">
        <v>69</v>
      </c>
      <c r="C12" s="53" t="s">
        <v>70</v>
      </c>
      <c r="D12" s="52" t="s">
        <v>71</v>
      </c>
      <c r="E12" s="58"/>
      <c r="F12" s="56"/>
      <c r="G12" s="57"/>
    </row>
    <row r="13" ht="12.75" customHeight="1">
      <c r="A13" s="51" t="s">
        <v>72</v>
      </c>
      <c r="B13" s="52" t="s">
        <v>73</v>
      </c>
      <c r="C13" s="53" t="s">
        <v>74</v>
      </c>
      <c r="D13" s="52" t="s">
        <v>75</v>
      </c>
      <c r="E13" s="58"/>
      <c r="F13" s="56"/>
      <c r="G13" s="57"/>
    </row>
    <row r="14" ht="12.75" customHeight="1">
      <c r="A14" s="51" t="s">
        <v>76</v>
      </c>
      <c r="B14" s="52" t="s">
        <v>77</v>
      </c>
      <c r="C14" s="53" t="s">
        <v>78</v>
      </c>
      <c r="D14" s="52" t="s">
        <v>79</v>
      </c>
      <c r="E14" s="58"/>
      <c r="F14" s="56"/>
      <c r="G14" s="57"/>
    </row>
    <row r="15" ht="12.75" customHeight="1">
      <c r="A15" s="51" t="s">
        <v>80</v>
      </c>
      <c r="B15" s="52" t="s">
        <v>81</v>
      </c>
      <c r="C15" s="52"/>
      <c r="D15" s="52" t="s">
        <v>82</v>
      </c>
      <c r="E15" s="58"/>
      <c r="F15" s="56"/>
      <c r="G15" s="57"/>
    </row>
    <row r="16" ht="12.75" customHeight="1">
      <c r="A16" s="51" t="s">
        <v>83</v>
      </c>
      <c r="B16" s="52" t="s">
        <v>84</v>
      </c>
      <c r="C16" s="59" t="s">
        <v>85</v>
      </c>
      <c r="D16" s="52" t="s">
        <v>86</v>
      </c>
      <c r="E16" s="58"/>
      <c r="F16" s="56"/>
      <c r="G16" s="57"/>
    </row>
    <row r="17" ht="12.75" customHeight="1">
      <c r="A17" s="51" t="s">
        <v>87</v>
      </c>
      <c r="B17" s="52" t="s">
        <v>88</v>
      </c>
      <c r="C17" s="53" t="s">
        <v>89</v>
      </c>
      <c r="D17" s="52" t="s">
        <v>90</v>
      </c>
      <c r="E17" s="58"/>
      <c r="F17" s="56"/>
      <c r="G17" s="57"/>
    </row>
    <row r="18" ht="12.75" customHeight="1">
      <c r="A18" s="51" t="s">
        <v>91</v>
      </c>
      <c r="B18" s="52" t="s">
        <v>92</v>
      </c>
      <c r="C18" s="53" t="s">
        <v>93</v>
      </c>
      <c r="D18" s="52" t="s">
        <v>94</v>
      </c>
      <c r="E18" s="58"/>
      <c r="F18" s="56"/>
      <c r="G18" s="57"/>
    </row>
    <row r="19" ht="12.75" customHeight="1">
      <c r="A19" s="51" t="s">
        <v>95</v>
      </c>
      <c r="B19" s="52" t="s">
        <v>96</v>
      </c>
      <c r="C19" s="53" t="s">
        <v>97</v>
      </c>
      <c r="D19" s="52" t="s">
        <v>98</v>
      </c>
      <c r="E19" s="58"/>
      <c r="F19" s="56"/>
      <c r="G19" s="57"/>
    </row>
    <row r="20" ht="12.75" customHeight="1">
      <c r="A20" s="51" t="s">
        <v>99</v>
      </c>
      <c r="B20" s="52" t="s">
        <v>100</v>
      </c>
      <c r="C20" s="53" t="s">
        <v>101</v>
      </c>
      <c r="D20" s="52" t="s">
        <v>102</v>
      </c>
      <c r="E20" s="58"/>
      <c r="F20" s="57"/>
      <c r="G20" s="57"/>
    </row>
    <row r="21" ht="12.75" customHeight="1">
      <c r="A21" s="51" t="s">
        <v>103</v>
      </c>
      <c r="B21" s="52" t="s">
        <v>104</v>
      </c>
      <c r="C21" s="53" t="s">
        <v>105</v>
      </c>
      <c r="D21" s="52" t="s">
        <v>106</v>
      </c>
      <c r="E21" s="58"/>
      <c r="F21" s="57"/>
      <c r="G21" s="57"/>
    </row>
    <row r="22" ht="12.75" customHeight="1">
      <c r="A22" s="51" t="s">
        <v>107</v>
      </c>
      <c r="B22" s="52" t="s">
        <v>108</v>
      </c>
      <c r="C22" s="52"/>
      <c r="D22" s="52" t="s">
        <v>109</v>
      </c>
      <c r="E22" s="58"/>
      <c r="F22" s="57"/>
      <c r="G22" s="57"/>
    </row>
    <row r="23" ht="12.75" customHeight="1">
      <c r="A23" s="51" t="s">
        <v>110</v>
      </c>
      <c r="B23" s="52" t="s">
        <v>111</v>
      </c>
      <c r="C23" s="52"/>
      <c r="D23" s="52" t="s">
        <v>112</v>
      </c>
      <c r="E23" s="58"/>
      <c r="F23" s="57"/>
      <c r="G23" s="57"/>
    </row>
    <row r="24" ht="12.75" customHeight="1">
      <c r="A24" s="51" t="s">
        <v>113</v>
      </c>
      <c r="B24" s="52" t="s">
        <v>114</v>
      </c>
      <c r="C24" s="53" t="s">
        <v>115</v>
      </c>
      <c r="D24" s="52" t="s">
        <v>116</v>
      </c>
      <c r="E24" s="58"/>
      <c r="F24" s="57"/>
      <c r="G24" s="57"/>
    </row>
    <row r="25" ht="12.75" customHeight="1">
      <c r="A25" s="51" t="s">
        <v>117</v>
      </c>
      <c r="B25" s="52" t="s">
        <v>118</v>
      </c>
      <c r="C25" s="53" t="s">
        <v>119</v>
      </c>
      <c r="D25" s="52" t="s">
        <v>120</v>
      </c>
      <c r="E25" s="58"/>
      <c r="F25" s="57"/>
      <c r="G25" s="57"/>
    </row>
    <row r="26" ht="12.75" customHeight="1">
      <c r="A26" s="51" t="s">
        <v>121</v>
      </c>
      <c r="B26" s="52" t="s">
        <v>122</v>
      </c>
      <c r="C26" s="53" t="s">
        <v>123</v>
      </c>
      <c r="D26" s="52" t="s">
        <v>124</v>
      </c>
      <c r="E26" s="58"/>
      <c r="F26" s="57"/>
      <c r="G26" s="57"/>
    </row>
    <row r="27" ht="12.75" customHeight="1">
      <c r="A27" s="51" t="s">
        <v>125</v>
      </c>
      <c r="B27" s="52" t="s">
        <v>126</v>
      </c>
      <c r="C27" s="53" t="s">
        <v>127</v>
      </c>
      <c r="D27" s="52" t="s">
        <v>128</v>
      </c>
      <c r="E27" s="58"/>
      <c r="F27" s="57"/>
      <c r="G27" s="57"/>
    </row>
    <row r="28" ht="12.75" customHeight="1">
      <c r="A28" s="51" t="s">
        <v>129</v>
      </c>
      <c r="B28" s="52" t="s">
        <v>130</v>
      </c>
      <c r="C28" s="53" t="s">
        <v>131</v>
      </c>
      <c r="D28" s="52" t="s">
        <v>132</v>
      </c>
      <c r="E28" s="58"/>
      <c r="F28" s="57"/>
      <c r="G28" s="57"/>
    </row>
    <row r="29" ht="12.75" customHeight="1">
      <c r="A29" s="51" t="s">
        <v>133</v>
      </c>
      <c r="B29" s="52" t="s">
        <v>134</v>
      </c>
      <c r="C29" s="53" t="s">
        <v>135</v>
      </c>
      <c r="D29" s="52" t="s">
        <v>136</v>
      </c>
      <c r="E29" s="58"/>
      <c r="F29" s="57"/>
      <c r="G29" s="57"/>
    </row>
    <row r="30" ht="12.75" customHeight="1">
      <c r="A30" s="51" t="s">
        <v>137</v>
      </c>
      <c r="B30" s="52" t="s">
        <v>138</v>
      </c>
      <c r="C30" s="59" t="s">
        <v>139</v>
      </c>
      <c r="D30" s="52" t="s">
        <v>140</v>
      </c>
      <c r="E30" s="58"/>
      <c r="F30" s="57"/>
      <c r="G30" s="57"/>
    </row>
    <row r="31" ht="12.75" customHeight="1">
      <c r="A31" s="51" t="s">
        <v>141</v>
      </c>
      <c r="B31" s="52" t="s">
        <v>142</v>
      </c>
      <c r="C31" s="52"/>
      <c r="D31" s="52" t="s">
        <v>143</v>
      </c>
      <c r="E31" s="58"/>
      <c r="F31" s="57"/>
      <c r="G31" s="57" t="s">
        <v>144</v>
      </c>
    </row>
    <row r="32" ht="12.75" customHeight="1">
      <c r="A32" s="51" t="s">
        <v>145</v>
      </c>
      <c r="B32" s="52" t="s">
        <v>146</v>
      </c>
      <c r="C32" s="59" t="s">
        <v>147</v>
      </c>
      <c r="D32" s="52" t="s">
        <v>148</v>
      </c>
      <c r="E32" s="58"/>
      <c r="F32" s="57"/>
      <c r="G32" s="57"/>
    </row>
    <row r="33" ht="12.75" customHeight="1">
      <c r="A33" s="51" t="s">
        <v>149</v>
      </c>
      <c r="B33" s="59" t="s">
        <v>150</v>
      </c>
      <c r="C33" s="59" t="s">
        <v>151</v>
      </c>
      <c r="D33" s="59" t="s">
        <v>152</v>
      </c>
      <c r="E33" s="58"/>
      <c r="F33" s="57"/>
      <c r="G33" s="57"/>
    </row>
    <row r="34" ht="12.75" customHeight="1">
      <c r="A34" s="51" t="s">
        <v>153</v>
      </c>
      <c r="B34" s="52" t="s">
        <v>154</v>
      </c>
      <c r="C34" s="53" t="s">
        <v>155</v>
      </c>
      <c r="D34" s="52" t="s">
        <v>156</v>
      </c>
      <c r="E34" s="58"/>
      <c r="F34" s="57"/>
      <c r="G34" s="57"/>
    </row>
    <row r="35" ht="12.75" customHeight="1">
      <c r="A35" s="51" t="s">
        <v>157</v>
      </c>
      <c r="B35" s="52" t="s">
        <v>158</v>
      </c>
      <c r="C35" s="53" t="s">
        <v>159</v>
      </c>
      <c r="D35" s="52" t="s">
        <v>160</v>
      </c>
      <c r="E35" s="58"/>
      <c r="F35" s="57"/>
      <c r="G35" s="57"/>
    </row>
    <row r="36" ht="12.75" customHeight="1">
      <c r="A36" s="51" t="s">
        <v>161</v>
      </c>
      <c r="B36" s="52" t="s">
        <v>162</v>
      </c>
      <c r="C36" s="53" t="s">
        <v>163</v>
      </c>
      <c r="D36" s="52" t="s">
        <v>164</v>
      </c>
      <c r="E36" s="58"/>
      <c r="F36" s="57"/>
      <c r="G36" s="57"/>
    </row>
    <row r="37" ht="12.75" customHeight="1">
      <c r="A37" s="51" t="s">
        <v>165</v>
      </c>
      <c r="B37" s="52" t="s">
        <v>166</v>
      </c>
      <c r="C37" s="53" t="s">
        <v>167</v>
      </c>
      <c r="D37" s="52" t="s">
        <v>168</v>
      </c>
      <c r="E37" s="58"/>
      <c r="F37" s="57"/>
      <c r="G37" s="57"/>
    </row>
    <row r="38" ht="12.75" customHeight="1">
      <c r="A38" s="51" t="s">
        <v>169</v>
      </c>
      <c r="B38" s="52" t="s">
        <v>170</v>
      </c>
      <c r="C38" s="52" t="s">
        <v>171</v>
      </c>
      <c r="D38" s="52" t="s">
        <v>172</v>
      </c>
      <c r="E38" s="58"/>
      <c r="F38" s="57"/>
      <c r="G38" s="57"/>
    </row>
    <row r="39" ht="12.75" customHeight="1">
      <c r="A39" s="51" t="s">
        <v>173</v>
      </c>
      <c r="B39" s="52" t="s">
        <v>174</v>
      </c>
      <c r="C39" s="52" t="s">
        <v>175</v>
      </c>
      <c r="D39" s="52" t="s">
        <v>176</v>
      </c>
      <c r="E39" s="58"/>
      <c r="F39" s="57"/>
      <c r="G39" s="57"/>
    </row>
    <row r="40" ht="12.75" customHeight="1">
      <c r="A40" s="51" t="s">
        <v>177</v>
      </c>
      <c r="B40" s="52" t="s">
        <v>178</v>
      </c>
      <c r="C40" s="52" t="s">
        <v>179</v>
      </c>
      <c r="D40" s="52" t="s">
        <v>180</v>
      </c>
      <c r="E40" s="58"/>
      <c r="F40" s="57"/>
      <c r="G40" s="57"/>
    </row>
    <row r="41" ht="12.75" customHeight="1">
      <c r="A41" s="51" t="s">
        <v>181</v>
      </c>
      <c r="B41" s="52" t="s">
        <v>182</v>
      </c>
      <c r="C41" s="52" t="s">
        <v>175</v>
      </c>
      <c r="D41" s="52" t="s">
        <v>183</v>
      </c>
      <c r="E41" s="58"/>
      <c r="F41" s="57"/>
      <c r="G41" s="57"/>
    </row>
    <row r="42" ht="12.75" customHeight="1">
      <c r="A42" s="51" t="s">
        <v>184</v>
      </c>
      <c r="B42" s="52" t="s">
        <v>185</v>
      </c>
      <c r="C42" s="52" t="s">
        <v>186</v>
      </c>
      <c r="D42" s="52" t="s">
        <v>187</v>
      </c>
      <c r="E42" s="58"/>
      <c r="F42" s="57"/>
      <c r="G42" s="57"/>
    </row>
    <row r="43" ht="12.75" customHeight="1">
      <c r="A43" s="51" t="s">
        <v>188</v>
      </c>
      <c r="B43" s="52" t="s">
        <v>189</v>
      </c>
      <c r="C43" s="52"/>
      <c r="D43" s="52" t="s">
        <v>190</v>
      </c>
      <c r="E43" s="58"/>
      <c r="F43" s="57"/>
      <c r="G43" s="57"/>
    </row>
    <row r="44" ht="12.75" customHeight="1">
      <c r="A44" s="51" t="s">
        <v>191</v>
      </c>
      <c r="B44" s="52" t="s">
        <v>192</v>
      </c>
      <c r="C44" s="52"/>
      <c r="D44" s="52" t="s">
        <v>193</v>
      </c>
      <c r="E44" s="58"/>
      <c r="F44" s="57"/>
      <c r="G44" s="57"/>
    </row>
    <row r="45" ht="12.75" customHeight="1">
      <c r="A45" s="51" t="s">
        <v>194</v>
      </c>
      <c r="B45" s="52" t="s">
        <v>195</v>
      </c>
      <c r="C45" s="52"/>
      <c r="D45" s="52" t="s">
        <v>196</v>
      </c>
      <c r="E45" s="58"/>
      <c r="F45" s="57"/>
      <c r="G45" s="57"/>
    </row>
  </sheetData>
  <conditionalFormatting sqref="E2:E45">
    <cfRule type="cellIs" dxfId="4" priority="1" operator="equal">
      <formula>"Pass"</formula>
    </cfRule>
  </conditionalFormatting>
  <conditionalFormatting sqref="E2:E45">
    <cfRule type="cellIs" dxfId="5" priority="2" operator="equal">
      <formula>"Fail"</formula>
    </cfRule>
  </conditionalFormatting>
  <conditionalFormatting sqref="E2:E45">
    <cfRule type="cellIs" dxfId="6" priority="3" operator="equal">
      <formula>"N/A"</formula>
    </cfRule>
  </conditionalFormatting>
  <conditionalFormatting sqref="E2:E45">
    <cfRule type="cellIs" dxfId="7" priority="4" operator="equal">
      <formula>"Blocking"</formula>
    </cfRule>
  </conditionalFormatting>
  <dataValidations>
    <dataValidation type="list" allowBlank="1" showErrorMessage="1" sqref="E2:E45">
      <formula1>"Pass,Fail,N/A,Blocking"</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2" width="41.63"/>
    <col customWidth="1" min="3" max="3" width="43.0"/>
    <col customWidth="1" min="4" max="4" width="48.13"/>
    <col customWidth="1" min="5" max="5" width="16.38"/>
    <col customWidth="1" min="6" max="6" width="14.38"/>
    <col customWidth="1" min="7" max="7" width="25.38"/>
    <col customWidth="1" min="8" max="8" width="22.75"/>
  </cols>
  <sheetData>
    <row r="1">
      <c r="A1" s="60" t="s">
        <v>22</v>
      </c>
      <c r="B1" s="60" t="s">
        <v>23</v>
      </c>
      <c r="C1" s="60" t="s">
        <v>197</v>
      </c>
      <c r="D1" s="60" t="s">
        <v>198</v>
      </c>
      <c r="E1" s="60" t="s">
        <v>26</v>
      </c>
      <c r="F1" s="60" t="s">
        <v>199</v>
      </c>
      <c r="G1" s="60" t="s">
        <v>28</v>
      </c>
      <c r="H1" s="60"/>
    </row>
    <row r="2">
      <c r="A2" s="61" t="s">
        <v>200</v>
      </c>
      <c r="B2" s="62" t="s">
        <v>201</v>
      </c>
      <c r="C2" s="63" t="s">
        <v>202</v>
      </c>
      <c r="D2" s="62" t="s">
        <v>203</v>
      </c>
      <c r="E2" s="58"/>
      <c r="F2" s="64"/>
      <c r="G2" s="65" t="s">
        <v>204</v>
      </c>
      <c r="H2" s="65"/>
    </row>
    <row r="3">
      <c r="A3" s="61" t="s">
        <v>33</v>
      </c>
      <c r="B3" s="66" t="s">
        <v>205</v>
      </c>
      <c r="C3" s="63" t="s">
        <v>206</v>
      </c>
      <c r="D3" s="66" t="s">
        <v>207</v>
      </c>
      <c r="E3" s="58"/>
      <c r="F3" s="64"/>
      <c r="G3" s="65"/>
      <c r="H3" s="65"/>
    </row>
    <row r="4">
      <c r="A4" s="61" t="s">
        <v>37</v>
      </c>
      <c r="B4" s="66" t="s">
        <v>208</v>
      </c>
      <c r="C4" s="62" t="s">
        <v>209</v>
      </c>
      <c r="D4" s="66" t="s">
        <v>210</v>
      </c>
      <c r="E4" s="58"/>
      <c r="F4" s="64"/>
      <c r="G4" s="65"/>
      <c r="H4" s="65"/>
    </row>
    <row r="5">
      <c r="A5" s="61" t="s">
        <v>41</v>
      </c>
      <c r="B5" s="63" t="s">
        <v>211</v>
      </c>
      <c r="C5" s="63" t="s">
        <v>212</v>
      </c>
      <c r="D5" s="66" t="s">
        <v>213</v>
      </c>
      <c r="E5" s="58"/>
      <c r="F5" s="64"/>
      <c r="G5" s="65"/>
      <c r="H5" s="65"/>
    </row>
    <row r="6">
      <c r="A6" s="61" t="s">
        <v>45</v>
      </c>
      <c r="B6" s="66" t="s">
        <v>214</v>
      </c>
      <c r="C6" s="63" t="s">
        <v>215</v>
      </c>
      <c r="D6" s="66" t="s">
        <v>216</v>
      </c>
      <c r="E6" s="58"/>
      <c r="F6" s="64"/>
      <c r="G6" s="65"/>
      <c r="H6" s="65"/>
    </row>
    <row r="7">
      <c r="A7" s="61" t="s">
        <v>49</v>
      </c>
      <c r="B7" s="66" t="s">
        <v>217</v>
      </c>
      <c r="C7" s="63" t="s">
        <v>218</v>
      </c>
      <c r="D7" s="66" t="s">
        <v>219</v>
      </c>
      <c r="E7" s="58"/>
      <c r="F7" s="64"/>
      <c r="G7" s="65"/>
      <c r="H7" s="65"/>
    </row>
    <row r="8">
      <c r="A8" s="61" t="s">
        <v>53</v>
      </c>
      <c r="B8" s="66" t="s">
        <v>220</v>
      </c>
      <c r="C8" s="63" t="s">
        <v>221</v>
      </c>
      <c r="D8" s="66" t="s">
        <v>222</v>
      </c>
      <c r="E8" s="58"/>
      <c r="F8" s="64"/>
      <c r="G8" s="65"/>
      <c r="H8" s="65"/>
    </row>
    <row r="9">
      <c r="A9" s="61" t="s">
        <v>57</v>
      </c>
      <c r="B9" s="66" t="s">
        <v>223</v>
      </c>
      <c r="C9" s="63" t="s">
        <v>224</v>
      </c>
      <c r="D9" s="63" t="s">
        <v>225</v>
      </c>
      <c r="E9" s="58"/>
      <c r="F9" s="64"/>
      <c r="G9" s="65"/>
      <c r="H9" s="65"/>
    </row>
    <row r="10">
      <c r="A10" s="61" t="s">
        <v>61</v>
      </c>
      <c r="B10" s="66" t="s">
        <v>226</v>
      </c>
      <c r="C10" s="63" t="s">
        <v>227</v>
      </c>
      <c r="D10" s="66"/>
      <c r="E10" s="58"/>
      <c r="F10" s="64"/>
      <c r="G10" s="65"/>
      <c r="H10" s="65"/>
    </row>
    <row r="11">
      <c r="A11" s="61" t="s">
        <v>65</v>
      </c>
      <c r="B11" s="66" t="s">
        <v>228</v>
      </c>
      <c r="C11" s="63" t="s">
        <v>229</v>
      </c>
      <c r="D11" s="63" t="s">
        <v>230</v>
      </c>
      <c r="E11" s="58"/>
      <c r="F11" s="64"/>
      <c r="G11" s="65"/>
      <c r="H11" s="65"/>
    </row>
    <row r="12">
      <c r="A12" s="61" t="s">
        <v>68</v>
      </c>
      <c r="B12" s="66" t="s">
        <v>231</v>
      </c>
      <c r="C12" s="63" t="s">
        <v>232</v>
      </c>
      <c r="D12" s="66" t="s">
        <v>233</v>
      </c>
      <c r="E12" s="58"/>
      <c r="F12" s="64"/>
      <c r="G12" s="65"/>
      <c r="H12" s="65"/>
    </row>
    <row r="13">
      <c r="A13" s="61" t="s">
        <v>72</v>
      </c>
      <c r="B13" s="66" t="s">
        <v>234</v>
      </c>
      <c r="C13" s="67" t="s">
        <v>235</v>
      </c>
      <c r="D13" s="63" t="s">
        <v>236</v>
      </c>
      <c r="E13" s="58"/>
      <c r="F13" s="64"/>
      <c r="G13" s="65"/>
      <c r="H13" s="65"/>
    </row>
    <row r="14">
      <c r="A14" s="61" t="s">
        <v>76</v>
      </c>
      <c r="B14" s="66" t="s">
        <v>237</v>
      </c>
      <c r="C14" s="63" t="s">
        <v>238</v>
      </c>
      <c r="D14" s="66" t="s">
        <v>239</v>
      </c>
      <c r="E14" s="58"/>
      <c r="F14" s="64"/>
      <c r="G14" s="65"/>
      <c r="H14" s="65"/>
    </row>
    <row r="15">
      <c r="A15" s="61" t="s">
        <v>80</v>
      </c>
      <c r="B15" s="66" t="s">
        <v>240</v>
      </c>
      <c r="C15" s="63" t="s">
        <v>241</v>
      </c>
      <c r="D15" s="63" t="s">
        <v>242</v>
      </c>
      <c r="E15" s="58"/>
      <c r="F15" s="64"/>
      <c r="G15" s="65"/>
      <c r="H15" s="65"/>
    </row>
    <row r="16">
      <c r="A16" s="61" t="s">
        <v>83</v>
      </c>
      <c r="B16" s="66" t="s">
        <v>243</v>
      </c>
      <c r="C16" s="63" t="s">
        <v>244</v>
      </c>
      <c r="D16" s="66" t="s">
        <v>245</v>
      </c>
      <c r="E16" s="58"/>
      <c r="F16" s="64"/>
      <c r="G16" s="65"/>
      <c r="H16" s="65"/>
    </row>
    <row r="17">
      <c r="A17" s="61" t="s">
        <v>87</v>
      </c>
      <c r="B17" s="66" t="s">
        <v>246</v>
      </c>
      <c r="C17" s="63" t="s">
        <v>247</v>
      </c>
      <c r="D17" s="66" t="s">
        <v>248</v>
      </c>
      <c r="E17" s="58"/>
      <c r="F17" s="64"/>
      <c r="G17" s="65"/>
      <c r="H17" s="65"/>
    </row>
    <row r="18">
      <c r="A18" s="61" t="s">
        <v>91</v>
      </c>
      <c r="B18" s="63" t="s">
        <v>249</v>
      </c>
      <c r="C18" s="63" t="s">
        <v>250</v>
      </c>
      <c r="D18" s="63" t="s">
        <v>251</v>
      </c>
      <c r="E18" s="58"/>
      <c r="F18" s="64"/>
      <c r="G18" s="63">
        <v>1.0</v>
      </c>
      <c r="H18" s="63"/>
    </row>
    <row r="19">
      <c r="A19" s="61" t="s">
        <v>95</v>
      </c>
      <c r="B19" s="64" t="s">
        <v>252</v>
      </c>
      <c r="C19" s="63" t="s">
        <v>253</v>
      </c>
      <c r="D19" s="63" t="s">
        <v>254</v>
      </c>
      <c r="E19" s="68"/>
      <c r="F19" s="64"/>
      <c r="G19" s="63">
        <v>1.0</v>
      </c>
      <c r="H19" s="63"/>
    </row>
    <row r="20">
      <c r="A20" s="61" t="s">
        <v>99</v>
      </c>
      <c r="B20" s="64" t="s">
        <v>255</v>
      </c>
      <c r="C20" s="63" t="s">
        <v>256</v>
      </c>
      <c r="D20" s="63" t="s">
        <v>257</v>
      </c>
      <c r="E20" s="68"/>
      <c r="F20" s="64"/>
      <c r="G20" s="63">
        <v>1.0</v>
      </c>
      <c r="H20" s="63"/>
    </row>
    <row r="21">
      <c r="A21" s="61" t="s">
        <v>103</v>
      </c>
      <c r="B21" s="63" t="s">
        <v>258</v>
      </c>
      <c r="C21" s="63" t="s">
        <v>259</v>
      </c>
      <c r="D21" s="63" t="s">
        <v>260</v>
      </c>
      <c r="E21" s="68"/>
      <c r="F21" s="64"/>
      <c r="G21" s="63">
        <v>1.0</v>
      </c>
      <c r="H21" s="63"/>
    </row>
    <row r="22" ht="59.25" customHeight="1">
      <c r="A22" s="61" t="s">
        <v>107</v>
      </c>
      <c r="B22" s="63" t="s">
        <v>261</v>
      </c>
      <c r="C22" s="66" t="s">
        <v>262</v>
      </c>
      <c r="D22" s="63" t="s">
        <v>263</v>
      </c>
      <c r="E22" s="68"/>
      <c r="F22" s="64"/>
      <c r="G22" s="63">
        <v>1.0</v>
      </c>
      <c r="H22" s="63"/>
    </row>
    <row r="23">
      <c r="A23" s="61" t="s">
        <v>110</v>
      </c>
      <c r="B23" s="64" t="s">
        <v>264</v>
      </c>
      <c r="C23" s="64"/>
      <c r="D23" s="64" t="s">
        <v>265</v>
      </c>
      <c r="E23" s="68"/>
      <c r="F23" s="64"/>
      <c r="G23" s="63">
        <v>1.0</v>
      </c>
      <c r="H23" s="63"/>
    </row>
    <row r="24">
      <c r="A24" s="61" t="s">
        <v>113</v>
      </c>
      <c r="B24" s="63" t="s">
        <v>266</v>
      </c>
      <c r="C24" s="64" t="s">
        <v>267</v>
      </c>
      <c r="D24" s="63" t="s">
        <v>268</v>
      </c>
      <c r="E24" s="68"/>
      <c r="F24" s="64"/>
      <c r="G24" s="63">
        <v>1.0</v>
      </c>
      <c r="H24" s="63"/>
    </row>
    <row r="25">
      <c r="A25" s="61" t="s">
        <v>117</v>
      </c>
      <c r="B25" s="64" t="s">
        <v>269</v>
      </c>
      <c r="C25" s="64" t="s">
        <v>270</v>
      </c>
      <c r="D25" s="63" t="s">
        <v>271</v>
      </c>
      <c r="E25" s="68"/>
      <c r="F25" s="64"/>
      <c r="G25" s="63">
        <v>1.0</v>
      </c>
      <c r="H25" s="63"/>
    </row>
    <row r="26">
      <c r="A26" s="61" t="s">
        <v>121</v>
      </c>
      <c r="B26" s="63" t="s">
        <v>272</v>
      </c>
      <c r="C26" s="64" t="s">
        <v>273</v>
      </c>
      <c r="D26" s="63" t="s">
        <v>274</v>
      </c>
      <c r="E26" s="68"/>
      <c r="F26" s="64"/>
      <c r="G26" s="63">
        <v>1.0</v>
      </c>
      <c r="H26" s="63"/>
    </row>
    <row r="27">
      <c r="A27" s="61" t="s">
        <v>125</v>
      </c>
      <c r="B27" s="63" t="s">
        <v>275</v>
      </c>
      <c r="C27" s="64" t="s">
        <v>276</v>
      </c>
      <c r="D27" s="63" t="s">
        <v>277</v>
      </c>
      <c r="E27" s="68"/>
      <c r="F27" s="64"/>
      <c r="G27" s="63">
        <v>1.0</v>
      </c>
      <c r="H27" s="63"/>
    </row>
    <row r="28">
      <c r="A28" s="61" t="s">
        <v>129</v>
      </c>
      <c r="B28" s="63" t="s">
        <v>278</v>
      </c>
      <c r="C28" s="63" t="s">
        <v>279</v>
      </c>
      <c r="D28" s="63" t="s">
        <v>280</v>
      </c>
      <c r="E28" s="68"/>
      <c r="F28" s="64"/>
      <c r="G28" s="63">
        <v>1.0</v>
      </c>
      <c r="H28" s="63"/>
    </row>
    <row r="29">
      <c r="A29" s="61" t="s">
        <v>133</v>
      </c>
      <c r="B29" s="63" t="s">
        <v>281</v>
      </c>
      <c r="C29" s="63" t="s">
        <v>282</v>
      </c>
      <c r="D29" s="63" t="s">
        <v>283</v>
      </c>
      <c r="E29" s="68"/>
      <c r="F29" s="64"/>
      <c r="G29" s="63">
        <v>1.0</v>
      </c>
      <c r="H29" s="63"/>
    </row>
    <row r="30">
      <c r="A30" s="61" t="s">
        <v>137</v>
      </c>
      <c r="B30" s="64" t="s">
        <v>284</v>
      </c>
      <c r="C30" s="64" t="s">
        <v>285</v>
      </c>
      <c r="D30" s="64" t="s">
        <v>286</v>
      </c>
      <c r="E30" s="68"/>
      <c r="F30" s="64"/>
      <c r="G30" s="63">
        <v>1.0</v>
      </c>
      <c r="H30" s="63"/>
    </row>
    <row r="31">
      <c r="A31" s="61" t="s">
        <v>141</v>
      </c>
      <c r="B31" s="64" t="s">
        <v>287</v>
      </c>
      <c r="C31" s="64" t="s">
        <v>288</v>
      </c>
      <c r="D31" s="63" t="s">
        <v>289</v>
      </c>
      <c r="E31" s="68"/>
      <c r="F31" s="64"/>
      <c r="G31" s="63">
        <v>1.0</v>
      </c>
      <c r="H31" s="63"/>
    </row>
    <row r="32">
      <c r="A32" s="61" t="s">
        <v>145</v>
      </c>
      <c r="B32" s="63" t="s">
        <v>290</v>
      </c>
      <c r="C32" s="64" t="s">
        <v>291</v>
      </c>
      <c r="D32" s="63" t="s">
        <v>292</v>
      </c>
      <c r="E32" s="68"/>
      <c r="F32" s="64"/>
      <c r="G32" s="63">
        <v>1.0</v>
      </c>
      <c r="H32" s="63"/>
    </row>
    <row r="33">
      <c r="A33" s="61" t="s">
        <v>149</v>
      </c>
      <c r="B33" s="64" t="s">
        <v>293</v>
      </c>
      <c r="C33" s="64" t="s">
        <v>294</v>
      </c>
      <c r="D33" s="64" t="s">
        <v>295</v>
      </c>
      <c r="E33" s="68"/>
      <c r="F33" s="64"/>
      <c r="G33" s="63">
        <v>1.0</v>
      </c>
      <c r="H33" s="63"/>
    </row>
    <row r="34">
      <c r="A34" s="61" t="s">
        <v>296</v>
      </c>
      <c r="B34" s="64" t="s">
        <v>297</v>
      </c>
      <c r="C34" s="64" t="s">
        <v>298</v>
      </c>
      <c r="D34" s="64" t="s">
        <v>299</v>
      </c>
      <c r="E34" s="68"/>
      <c r="F34" s="64"/>
      <c r="G34" s="63">
        <v>1.0</v>
      </c>
      <c r="H34" s="63"/>
    </row>
    <row r="35">
      <c r="A35" s="61" t="s">
        <v>300</v>
      </c>
      <c r="B35" s="63" t="s">
        <v>301</v>
      </c>
      <c r="C35" s="63" t="s">
        <v>302</v>
      </c>
      <c r="D35" s="63" t="s">
        <v>303</v>
      </c>
      <c r="E35" s="68"/>
      <c r="F35" s="64"/>
      <c r="G35" s="64"/>
      <c r="H35" s="64"/>
    </row>
    <row r="36">
      <c r="A36" s="61" t="s">
        <v>153</v>
      </c>
      <c r="B36" s="63" t="s">
        <v>304</v>
      </c>
      <c r="C36" s="63" t="s">
        <v>305</v>
      </c>
      <c r="D36" s="63" t="s">
        <v>306</v>
      </c>
      <c r="E36" s="68"/>
      <c r="F36" s="64"/>
      <c r="G36" s="64"/>
      <c r="H36" s="64"/>
    </row>
    <row r="37">
      <c r="A37" s="61" t="s">
        <v>157</v>
      </c>
      <c r="B37" s="63" t="s">
        <v>307</v>
      </c>
      <c r="C37" s="64"/>
      <c r="D37" s="63" t="s">
        <v>308</v>
      </c>
      <c r="E37" s="69"/>
      <c r="F37" s="64"/>
      <c r="G37" s="64"/>
      <c r="H37" s="64"/>
    </row>
    <row r="38">
      <c r="A38" s="61" t="s">
        <v>309</v>
      </c>
      <c r="B38" s="64" t="s">
        <v>310</v>
      </c>
      <c r="C38" s="64"/>
      <c r="D38" s="64" t="s">
        <v>311</v>
      </c>
      <c r="E38" s="68"/>
      <c r="F38" s="64"/>
      <c r="G38" s="63">
        <v>1.0</v>
      </c>
      <c r="H38" s="63"/>
    </row>
    <row r="39">
      <c r="A39" s="61" t="s">
        <v>161</v>
      </c>
      <c r="B39" s="64" t="s">
        <v>312</v>
      </c>
      <c r="C39" s="64"/>
      <c r="D39" s="64"/>
      <c r="E39" s="61"/>
      <c r="F39" s="64"/>
      <c r="G39" s="66"/>
      <c r="H39" s="66"/>
    </row>
    <row r="40">
      <c r="A40" s="61" t="s">
        <v>165</v>
      </c>
      <c r="B40" s="64" t="s">
        <v>313</v>
      </c>
      <c r="C40" s="64"/>
      <c r="D40" s="64"/>
      <c r="E40" s="68"/>
      <c r="F40" s="64"/>
      <c r="G40" s="66"/>
      <c r="H40" s="66"/>
    </row>
    <row r="41">
      <c r="A41" s="61" t="s">
        <v>169</v>
      </c>
      <c r="B41" s="64" t="s">
        <v>314</v>
      </c>
      <c r="C41" s="64"/>
      <c r="D41" s="64"/>
      <c r="E41" s="61"/>
      <c r="F41" s="64"/>
      <c r="G41" s="64"/>
      <c r="H41" s="64"/>
    </row>
    <row r="42">
      <c r="A42" s="61" t="s">
        <v>173</v>
      </c>
      <c r="B42" s="64" t="s">
        <v>315</v>
      </c>
      <c r="C42" s="64"/>
      <c r="D42" s="64" t="s">
        <v>316</v>
      </c>
      <c r="E42" s="68"/>
      <c r="F42" s="64"/>
      <c r="G42" s="64"/>
      <c r="H42" s="64"/>
    </row>
    <row r="43">
      <c r="A43" s="61" t="s">
        <v>177</v>
      </c>
      <c r="B43" s="64" t="s">
        <v>317</v>
      </c>
      <c r="C43" s="64" t="s">
        <v>318</v>
      </c>
      <c r="D43" s="63" t="s">
        <v>319</v>
      </c>
      <c r="E43" s="68"/>
      <c r="F43" s="64"/>
      <c r="G43" s="63">
        <v>1.0</v>
      </c>
      <c r="H43" s="63"/>
    </row>
    <row r="44">
      <c r="A44" s="61" t="s">
        <v>181</v>
      </c>
      <c r="B44" s="63" t="s">
        <v>320</v>
      </c>
      <c r="C44" s="64" t="s">
        <v>291</v>
      </c>
      <c r="D44" s="63" t="s">
        <v>321</v>
      </c>
      <c r="E44" s="68"/>
      <c r="F44" s="64"/>
      <c r="G44" s="63">
        <v>1.0</v>
      </c>
      <c r="H44" s="63"/>
    </row>
    <row r="45">
      <c r="A45" s="61" t="s">
        <v>184</v>
      </c>
      <c r="B45" s="63" t="s">
        <v>322</v>
      </c>
      <c r="C45" s="63" t="s">
        <v>323</v>
      </c>
      <c r="D45" s="63" t="s">
        <v>324</v>
      </c>
      <c r="E45" s="68"/>
      <c r="F45" s="64"/>
      <c r="G45" s="63"/>
      <c r="H45" s="63"/>
    </row>
    <row r="46">
      <c r="A46" s="61" t="s">
        <v>188</v>
      </c>
      <c r="B46" s="63" t="s">
        <v>325</v>
      </c>
      <c r="C46" s="63" t="s">
        <v>326</v>
      </c>
      <c r="D46" s="63" t="s">
        <v>327</v>
      </c>
      <c r="E46" s="68"/>
      <c r="F46" s="64"/>
      <c r="G46" s="63"/>
      <c r="H46" s="63"/>
    </row>
    <row r="47">
      <c r="A47" s="61" t="s">
        <v>191</v>
      </c>
      <c r="B47" s="63" t="s">
        <v>328</v>
      </c>
      <c r="C47" s="64" t="s">
        <v>329</v>
      </c>
      <c r="D47" s="63" t="s">
        <v>330</v>
      </c>
      <c r="E47" s="68"/>
      <c r="F47" s="64"/>
      <c r="G47" s="63">
        <v>1.0</v>
      </c>
      <c r="H47" s="63"/>
    </row>
    <row r="48">
      <c r="A48" s="61" t="s">
        <v>194</v>
      </c>
      <c r="B48" s="70" t="s">
        <v>331</v>
      </c>
      <c r="C48" s="71" t="s">
        <v>332</v>
      </c>
      <c r="D48" s="70" t="s">
        <v>333</v>
      </c>
      <c r="E48" s="68"/>
      <c r="F48" s="64"/>
      <c r="G48" s="63"/>
      <c r="H48" s="63"/>
    </row>
    <row r="49">
      <c r="A49" s="61" t="s">
        <v>334</v>
      </c>
      <c r="B49" s="70" t="s">
        <v>335</v>
      </c>
      <c r="C49" s="71" t="s">
        <v>336</v>
      </c>
      <c r="D49" s="70" t="s">
        <v>337</v>
      </c>
      <c r="E49" s="68"/>
      <c r="F49" s="64"/>
      <c r="G49" s="63"/>
      <c r="H49" s="63"/>
    </row>
    <row r="50">
      <c r="A50" s="61" t="s">
        <v>338</v>
      </c>
      <c r="B50" s="70" t="s">
        <v>339</v>
      </c>
      <c r="C50" s="71" t="s">
        <v>340</v>
      </c>
      <c r="D50" s="70" t="s">
        <v>341</v>
      </c>
      <c r="E50" s="68"/>
      <c r="F50" s="64"/>
      <c r="G50" s="63"/>
      <c r="H50" s="63"/>
    </row>
    <row r="51">
      <c r="A51" s="61" t="s">
        <v>342</v>
      </c>
      <c r="B51" s="70" t="s">
        <v>343</v>
      </c>
      <c r="C51" s="71" t="s">
        <v>344</v>
      </c>
      <c r="D51" s="70" t="s">
        <v>345</v>
      </c>
      <c r="E51" s="68"/>
      <c r="F51" s="64"/>
      <c r="G51" s="63"/>
      <c r="H51" s="63"/>
    </row>
    <row r="52">
      <c r="A52" s="61" t="s">
        <v>346</v>
      </c>
      <c r="B52" s="70" t="s">
        <v>347</v>
      </c>
      <c r="C52" s="71" t="s">
        <v>348</v>
      </c>
      <c r="D52" s="70" t="s">
        <v>349</v>
      </c>
      <c r="E52" s="68"/>
      <c r="F52" s="64"/>
      <c r="G52" s="63"/>
      <c r="H52" s="63"/>
    </row>
    <row r="53">
      <c r="A53" s="61" t="s">
        <v>350</v>
      </c>
      <c r="B53" s="70" t="s">
        <v>351</v>
      </c>
      <c r="C53" s="71" t="s">
        <v>352</v>
      </c>
      <c r="D53" s="70" t="s">
        <v>349</v>
      </c>
      <c r="E53" s="68"/>
      <c r="F53" s="64"/>
      <c r="G53" s="63"/>
      <c r="H53" s="63"/>
    </row>
    <row r="54">
      <c r="A54" s="61" t="s">
        <v>353</v>
      </c>
      <c r="B54" s="70" t="s">
        <v>335</v>
      </c>
      <c r="C54" s="71" t="s">
        <v>354</v>
      </c>
      <c r="D54" s="70" t="s">
        <v>335</v>
      </c>
      <c r="E54" s="68"/>
      <c r="F54" s="64"/>
      <c r="G54" s="63"/>
      <c r="H54" s="63"/>
    </row>
  </sheetData>
  <conditionalFormatting sqref="E2:E18">
    <cfRule type="cellIs" dxfId="4" priority="1" operator="equal">
      <formula>"Pass"</formula>
    </cfRule>
  </conditionalFormatting>
  <conditionalFormatting sqref="E2:E18">
    <cfRule type="cellIs" dxfId="5" priority="2" operator="equal">
      <formula>"Fail"</formula>
    </cfRule>
  </conditionalFormatting>
  <conditionalFormatting sqref="E2:E18">
    <cfRule type="cellIs" dxfId="6" priority="3" operator="equal">
      <formula>"N/A"</formula>
    </cfRule>
  </conditionalFormatting>
  <conditionalFormatting sqref="E2:E18">
    <cfRule type="cellIs" dxfId="7" priority="4" operator="equal">
      <formula>"Blocking"</formula>
    </cfRule>
  </conditionalFormatting>
  <dataValidations>
    <dataValidation type="list" allowBlank="1" showErrorMessage="1" sqref="E19:E54">
      <formula1>"Pass,Fail,N/A,Blocking"</formula1>
    </dataValidation>
    <dataValidation type="list" allowBlank="1" showErrorMessage="1" sqref="E2:E18">
      <formula1>"Pass,Fail,N/A,Blocking"</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3.25"/>
    <col customWidth="1" min="3" max="3" width="39.25"/>
    <col customWidth="1" min="4" max="4" width="50.88"/>
  </cols>
  <sheetData>
    <row r="1">
      <c r="A1" s="72" t="s">
        <v>355</v>
      </c>
      <c r="B1" s="60" t="s">
        <v>23</v>
      </c>
      <c r="C1" s="60" t="s">
        <v>197</v>
      </c>
      <c r="D1" s="60" t="s">
        <v>198</v>
      </c>
      <c r="E1" s="60" t="s">
        <v>26</v>
      </c>
      <c r="F1" s="60" t="s">
        <v>199</v>
      </c>
      <c r="G1" s="60" t="s">
        <v>28</v>
      </c>
      <c r="H1" s="60"/>
    </row>
    <row r="2">
      <c r="A2" s="68" t="s">
        <v>356</v>
      </c>
      <c r="B2" s="73" t="s">
        <v>357</v>
      </c>
      <c r="C2" s="73" t="s">
        <v>358</v>
      </c>
      <c r="D2" s="74" t="s">
        <v>359</v>
      </c>
      <c r="E2" s="68"/>
      <c r="F2" s="61"/>
      <c r="G2" s="68"/>
      <c r="H2" s="75"/>
    </row>
    <row r="3">
      <c r="A3" s="68" t="s">
        <v>360</v>
      </c>
      <c r="B3" s="73" t="s">
        <v>361</v>
      </c>
      <c r="C3" s="73" t="s">
        <v>358</v>
      </c>
      <c r="D3" s="74" t="s">
        <v>362</v>
      </c>
      <c r="E3" s="68"/>
      <c r="F3" s="61"/>
      <c r="G3" s="68"/>
      <c r="H3" s="75"/>
    </row>
    <row r="4">
      <c r="A4" s="68" t="s">
        <v>363</v>
      </c>
      <c r="B4" s="73" t="s">
        <v>364</v>
      </c>
      <c r="C4" s="73" t="s">
        <v>358</v>
      </c>
      <c r="D4" s="74" t="s">
        <v>365</v>
      </c>
      <c r="E4" s="68"/>
      <c r="F4" s="61"/>
      <c r="G4" s="68"/>
      <c r="H4" s="75"/>
    </row>
    <row r="5">
      <c r="A5" s="68" t="s">
        <v>366</v>
      </c>
      <c r="B5" s="73" t="s">
        <v>367</v>
      </c>
      <c r="C5" s="73" t="s">
        <v>368</v>
      </c>
      <c r="D5" s="74" t="s">
        <v>369</v>
      </c>
      <c r="E5" s="68"/>
      <c r="F5" s="61"/>
      <c r="G5" s="68"/>
      <c r="H5" s="75"/>
    </row>
    <row r="6">
      <c r="A6" s="68" t="s">
        <v>370</v>
      </c>
      <c r="B6" s="73" t="s">
        <v>371</v>
      </c>
      <c r="C6" s="73" t="s">
        <v>372</v>
      </c>
      <c r="D6" s="74" t="s">
        <v>373</v>
      </c>
      <c r="E6" s="68"/>
      <c r="F6" s="61"/>
      <c r="G6" s="68"/>
      <c r="H6" s="75"/>
    </row>
    <row r="7">
      <c r="A7" s="68" t="s">
        <v>374</v>
      </c>
      <c r="B7" s="73" t="s">
        <v>375</v>
      </c>
      <c r="C7" s="73" t="s">
        <v>376</v>
      </c>
      <c r="D7" s="74" t="s">
        <v>377</v>
      </c>
      <c r="E7" s="68"/>
      <c r="F7" s="61"/>
      <c r="G7" s="68"/>
      <c r="H7" s="75"/>
    </row>
    <row r="8">
      <c r="A8" s="68" t="s">
        <v>378</v>
      </c>
      <c r="B8" s="73" t="s">
        <v>379</v>
      </c>
      <c r="C8" s="73" t="s">
        <v>380</v>
      </c>
      <c r="D8" s="74" t="s">
        <v>381</v>
      </c>
      <c r="E8" s="68"/>
      <c r="F8" s="61"/>
      <c r="G8" s="68"/>
      <c r="H8" s="75"/>
    </row>
    <row r="9">
      <c r="A9" s="68" t="s">
        <v>382</v>
      </c>
      <c r="B9" s="73" t="s">
        <v>383</v>
      </c>
      <c r="C9" s="73" t="s">
        <v>384</v>
      </c>
      <c r="D9" s="74" t="s">
        <v>385</v>
      </c>
      <c r="E9" s="68"/>
      <c r="F9" s="61"/>
      <c r="G9" s="68"/>
      <c r="H9" s="75"/>
    </row>
    <row r="10">
      <c r="A10" s="68" t="s">
        <v>386</v>
      </c>
      <c r="B10" s="73" t="s">
        <v>387</v>
      </c>
      <c r="C10" s="73" t="s">
        <v>358</v>
      </c>
      <c r="D10" s="74" t="s">
        <v>388</v>
      </c>
      <c r="E10" s="68"/>
      <c r="F10" s="61"/>
      <c r="G10" s="68"/>
      <c r="H10" s="75"/>
    </row>
    <row r="11">
      <c r="A11" s="68" t="s">
        <v>389</v>
      </c>
      <c r="B11" s="73" t="s">
        <v>390</v>
      </c>
      <c r="C11" s="73" t="s">
        <v>358</v>
      </c>
      <c r="D11" s="74" t="s">
        <v>391</v>
      </c>
      <c r="E11" s="68"/>
      <c r="F11" s="61"/>
      <c r="G11" s="68"/>
      <c r="H11" s="75"/>
    </row>
    <row r="12">
      <c r="A12" s="68" t="s">
        <v>392</v>
      </c>
      <c r="B12" s="67" t="s">
        <v>393</v>
      </c>
      <c r="C12" s="67" t="s">
        <v>394</v>
      </c>
      <c r="D12" s="67" t="s">
        <v>395</v>
      </c>
      <c r="E12" s="68"/>
      <c r="F12" s="61"/>
      <c r="G12" s="68"/>
      <c r="H12" s="75"/>
    </row>
    <row r="13">
      <c r="A13" s="68" t="s">
        <v>396</v>
      </c>
      <c r="B13" s="67" t="s">
        <v>397</v>
      </c>
      <c r="C13" s="67" t="s">
        <v>398</v>
      </c>
      <c r="D13" s="67" t="s">
        <v>399</v>
      </c>
      <c r="E13" s="68"/>
      <c r="F13" s="61"/>
      <c r="G13" s="68"/>
      <c r="H13" s="75"/>
    </row>
    <row r="14">
      <c r="A14" s="68" t="s">
        <v>400</v>
      </c>
      <c r="B14" s="73" t="s">
        <v>401</v>
      </c>
      <c r="C14" s="73" t="s">
        <v>402</v>
      </c>
      <c r="D14" s="74" t="s">
        <v>403</v>
      </c>
      <c r="E14" s="68"/>
      <c r="F14" s="61"/>
      <c r="G14" s="68"/>
      <c r="H14" s="75"/>
    </row>
    <row r="15">
      <c r="A15" s="68" t="s">
        <v>404</v>
      </c>
      <c r="B15" s="73" t="s">
        <v>405</v>
      </c>
      <c r="C15" s="73" t="s">
        <v>406</v>
      </c>
      <c r="D15" s="74" t="s">
        <v>407</v>
      </c>
      <c r="E15" s="68"/>
      <c r="F15" s="61"/>
      <c r="G15" s="68"/>
      <c r="H15" s="75"/>
    </row>
    <row r="16">
      <c r="A16" s="68" t="s">
        <v>408</v>
      </c>
      <c r="B16" s="73" t="s">
        <v>409</v>
      </c>
      <c r="C16" s="73" t="s">
        <v>410</v>
      </c>
      <c r="D16" s="74" t="s">
        <v>411</v>
      </c>
      <c r="E16" s="68"/>
      <c r="F16" s="61"/>
      <c r="G16" s="68"/>
      <c r="H16" s="75"/>
    </row>
    <row r="17">
      <c r="A17" s="68" t="s">
        <v>412</v>
      </c>
      <c r="B17" s="73" t="s">
        <v>413</v>
      </c>
      <c r="C17" s="73" t="s">
        <v>414</v>
      </c>
      <c r="D17" s="74" t="s">
        <v>415</v>
      </c>
      <c r="E17" s="68"/>
      <c r="F17" s="61"/>
      <c r="G17" s="68"/>
      <c r="H17" s="75"/>
    </row>
    <row r="18">
      <c r="A18" s="68" t="s">
        <v>416</v>
      </c>
      <c r="B18" s="73" t="s">
        <v>417</v>
      </c>
      <c r="C18" s="73" t="s">
        <v>414</v>
      </c>
      <c r="D18" s="74" t="s">
        <v>418</v>
      </c>
      <c r="E18" s="68"/>
      <c r="F18" s="61"/>
      <c r="G18" s="68"/>
      <c r="H18" s="75"/>
    </row>
    <row r="19">
      <c r="A19" s="68" t="s">
        <v>419</v>
      </c>
      <c r="B19" s="73" t="s">
        <v>420</v>
      </c>
      <c r="C19" s="73" t="s">
        <v>421</v>
      </c>
      <c r="D19" s="74" t="s">
        <v>422</v>
      </c>
      <c r="E19" s="68"/>
      <c r="F19" s="61"/>
      <c r="G19" s="68"/>
      <c r="H19" s="75"/>
    </row>
    <row r="20">
      <c r="A20" s="68" t="s">
        <v>423</v>
      </c>
      <c r="B20" s="73" t="s">
        <v>424</v>
      </c>
      <c r="C20" s="73" t="s">
        <v>425</v>
      </c>
      <c r="D20" s="74" t="s">
        <v>426</v>
      </c>
      <c r="E20" s="68"/>
      <c r="F20" s="61"/>
      <c r="G20" s="68"/>
      <c r="H20" s="75"/>
    </row>
    <row r="21">
      <c r="A21" s="68" t="s">
        <v>427</v>
      </c>
      <c r="B21" s="73" t="s">
        <v>428</v>
      </c>
      <c r="C21" s="73" t="s">
        <v>429</v>
      </c>
      <c r="D21" s="74" t="s">
        <v>430</v>
      </c>
      <c r="E21" s="68"/>
      <c r="F21" s="61"/>
      <c r="G21" s="68"/>
      <c r="H21" s="75"/>
    </row>
    <row r="22">
      <c r="A22" s="68" t="s">
        <v>431</v>
      </c>
      <c r="B22" s="73" t="s">
        <v>432</v>
      </c>
      <c r="C22" s="73" t="s">
        <v>433</v>
      </c>
      <c r="D22" s="74" t="s">
        <v>434</v>
      </c>
      <c r="E22" s="68"/>
      <c r="F22" s="61"/>
      <c r="G22" s="68"/>
      <c r="H22" s="75"/>
    </row>
    <row r="23">
      <c r="A23" s="68" t="s">
        <v>435</v>
      </c>
      <c r="B23" s="73" t="s">
        <v>436</v>
      </c>
      <c r="C23" s="73" t="s">
        <v>437</v>
      </c>
      <c r="D23" s="76" t="s">
        <v>438</v>
      </c>
      <c r="E23" s="68"/>
      <c r="F23" s="61"/>
      <c r="G23" s="68"/>
      <c r="H23" s="75"/>
    </row>
    <row r="24">
      <c r="A24" s="68" t="s">
        <v>439</v>
      </c>
      <c r="B24" s="73" t="s">
        <v>440</v>
      </c>
      <c r="C24" s="67" t="s">
        <v>441</v>
      </c>
      <c r="D24" s="76" t="s">
        <v>442</v>
      </c>
      <c r="E24" s="68"/>
      <c r="F24" s="61"/>
      <c r="G24" s="68"/>
      <c r="H24" s="75"/>
    </row>
    <row r="25">
      <c r="A25" s="68" t="s">
        <v>443</v>
      </c>
      <c r="B25" s="73" t="s">
        <v>444</v>
      </c>
      <c r="C25" s="77"/>
      <c r="D25" s="67" t="s">
        <v>445</v>
      </c>
      <c r="E25" s="68"/>
      <c r="F25" s="61"/>
      <c r="G25" s="68"/>
      <c r="H25" s="75"/>
    </row>
    <row r="26">
      <c r="A26" s="68" t="s">
        <v>446</v>
      </c>
      <c r="B26" s="67" t="s">
        <v>447</v>
      </c>
      <c r="C26" s="77"/>
      <c r="D26" s="67" t="s">
        <v>448</v>
      </c>
      <c r="E26" s="68"/>
      <c r="F26" s="61"/>
      <c r="G26" s="68"/>
      <c r="H26" s="75"/>
    </row>
    <row r="27">
      <c r="A27" s="68" t="s">
        <v>449</v>
      </c>
      <c r="B27" s="67" t="s">
        <v>450</v>
      </c>
      <c r="C27" s="77"/>
      <c r="D27" s="67" t="s">
        <v>451</v>
      </c>
      <c r="E27" s="68"/>
      <c r="F27" s="61"/>
      <c r="G27" s="68"/>
      <c r="H27" s="75"/>
    </row>
    <row r="28">
      <c r="A28" s="68" t="s">
        <v>452</v>
      </c>
      <c r="B28" s="67" t="s">
        <v>453</v>
      </c>
      <c r="C28" s="76" t="s">
        <v>454</v>
      </c>
      <c r="D28" s="67" t="s">
        <v>455</v>
      </c>
      <c r="E28" s="68"/>
      <c r="F28" s="61"/>
      <c r="G28" s="68"/>
      <c r="H28" s="75"/>
    </row>
    <row r="29">
      <c r="A29" s="68" t="s">
        <v>456</v>
      </c>
      <c r="B29" s="73" t="s">
        <v>457</v>
      </c>
      <c r="C29" s="73" t="s">
        <v>458</v>
      </c>
      <c r="D29" s="74" t="s">
        <v>459</v>
      </c>
      <c r="E29" s="68"/>
      <c r="F29" s="61"/>
      <c r="G29" s="68"/>
      <c r="H29" s="75"/>
    </row>
  </sheetData>
  <dataValidations>
    <dataValidation type="list" allowBlank="1" showErrorMessage="1" sqref="E2:E29">
      <formula1>"Pass,Fail,N/A,Blocking"</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47.88"/>
    <col customWidth="1" min="3" max="3" width="47.5"/>
    <col customWidth="1" min="4" max="4" width="37.75"/>
  </cols>
  <sheetData>
    <row r="1">
      <c r="A1" s="78" t="s">
        <v>460</v>
      </c>
      <c r="B1" s="7"/>
      <c r="C1" s="7"/>
      <c r="D1" s="7"/>
      <c r="E1" s="7"/>
      <c r="F1" s="7"/>
      <c r="G1" s="8"/>
      <c r="H1" s="79"/>
    </row>
    <row r="2">
      <c r="A2" s="80" t="s">
        <v>22</v>
      </c>
      <c r="B2" s="80" t="s">
        <v>23</v>
      </c>
      <c r="C2" s="80" t="s">
        <v>24</v>
      </c>
      <c r="D2" s="80" t="s">
        <v>25</v>
      </c>
      <c r="E2" s="80" t="s">
        <v>26</v>
      </c>
      <c r="F2" s="80" t="s">
        <v>461</v>
      </c>
      <c r="G2" s="80" t="s">
        <v>462</v>
      </c>
      <c r="H2" s="60"/>
    </row>
    <row r="3">
      <c r="A3" s="81" t="s">
        <v>463</v>
      </c>
      <c r="B3" s="82" t="s">
        <v>464</v>
      </c>
      <c r="C3" s="82" t="s">
        <v>465</v>
      </c>
      <c r="D3" s="83" t="s">
        <v>466</v>
      </c>
      <c r="E3" s="84"/>
      <c r="F3" s="85"/>
      <c r="G3" s="86"/>
      <c r="H3" s="66"/>
    </row>
    <row r="4">
      <c r="A4" s="81" t="s">
        <v>467</v>
      </c>
      <c r="B4" s="82" t="s">
        <v>468</v>
      </c>
      <c r="C4" s="82" t="s">
        <v>469</v>
      </c>
      <c r="D4" s="83" t="s">
        <v>470</v>
      </c>
      <c r="E4" s="84"/>
      <c r="F4" s="85"/>
      <c r="G4" s="86"/>
      <c r="H4" s="66"/>
    </row>
    <row r="5">
      <c r="A5" s="81" t="s">
        <v>471</v>
      </c>
      <c r="B5" s="82" t="s">
        <v>472</v>
      </c>
      <c r="C5" s="82" t="s">
        <v>473</v>
      </c>
      <c r="D5" s="83" t="s">
        <v>474</v>
      </c>
      <c r="E5" s="84"/>
      <c r="F5" s="85"/>
      <c r="G5" s="86"/>
      <c r="H5" s="66"/>
    </row>
    <row r="6">
      <c r="A6" s="81" t="s">
        <v>475</v>
      </c>
      <c r="B6" s="82" t="s">
        <v>476</v>
      </c>
      <c r="C6" s="82" t="s">
        <v>477</v>
      </c>
      <c r="D6" s="83" t="s">
        <v>478</v>
      </c>
      <c r="E6" s="84"/>
      <c r="F6" s="85"/>
      <c r="G6" s="86"/>
      <c r="H6" s="66"/>
    </row>
    <row r="7">
      <c r="A7" s="81" t="s">
        <v>479</v>
      </c>
      <c r="B7" s="53" t="s">
        <v>480</v>
      </c>
      <c r="C7" s="53" t="s">
        <v>481</v>
      </c>
      <c r="D7" s="83" t="s">
        <v>482</v>
      </c>
      <c r="E7" s="84"/>
      <c r="F7" s="85"/>
      <c r="G7" s="86"/>
      <c r="H7" s="66"/>
    </row>
    <row r="8">
      <c r="A8" s="81" t="s">
        <v>483</v>
      </c>
      <c r="B8" s="53" t="s">
        <v>484</v>
      </c>
      <c r="C8" s="53" t="s">
        <v>485</v>
      </c>
      <c r="D8" s="83" t="s">
        <v>486</v>
      </c>
      <c r="E8" s="84"/>
      <c r="F8" s="85"/>
      <c r="G8" s="86"/>
      <c r="H8" s="87"/>
    </row>
    <row r="9">
      <c r="A9" s="81" t="s">
        <v>487</v>
      </c>
      <c r="B9" s="53" t="s">
        <v>488</v>
      </c>
      <c r="C9" s="53" t="s">
        <v>489</v>
      </c>
      <c r="D9" s="83" t="s">
        <v>490</v>
      </c>
      <c r="E9" s="84"/>
      <c r="F9" s="85"/>
      <c r="G9" s="86"/>
      <c r="H9" s="87"/>
    </row>
    <row r="10">
      <c r="A10" s="81" t="s">
        <v>491</v>
      </c>
      <c r="B10" s="59" t="s">
        <v>492</v>
      </c>
      <c r="C10" s="59" t="s">
        <v>493</v>
      </c>
      <c r="D10" s="88" t="s">
        <v>494</v>
      </c>
      <c r="E10" s="84"/>
      <c r="F10" s="85"/>
      <c r="G10" s="86"/>
      <c r="H10" s="87"/>
    </row>
    <row r="11">
      <c r="A11" s="81" t="s">
        <v>495</v>
      </c>
      <c r="B11" s="59" t="s">
        <v>496</v>
      </c>
      <c r="C11" s="59" t="s">
        <v>497</v>
      </c>
      <c r="D11" s="88" t="s">
        <v>498</v>
      </c>
      <c r="E11" s="84"/>
      <c r="F11" s="85"/>
      <c r="G11" s="86"/>
      <c r="H11" s="87"/>
    </row>
    <row r="12">
      <c r="A12" s="89"/>
      <c r="B12" s="90"/>
      <c r="C12" s="90"/>
      <c r="D12" s="91"/>
      <c r="E12" s="92"/>
      <c r="F12" s="93"/>
      <c r="G12" s="94"/>
      <c r="H12" s="87"/>
    </row>
    <row r="13">
      <c r="A13" s="89"/>
      <c r="B13" s="90"/>
      <c r="C13" s="90"/>
      <c r="D13" s="91"/>
      <c r="E13" s="92"/>
      <c r="F13" s="93"/>
      <c r="G13" s="94"/>
      <c r="H13" s="87"/>
    </row>
    <row r="14">
      <c r="A14" s="89"/>
      <c r="B14" s="90"/>
      <c r="C14" s="90"/>
      <c r="D14" s="91"/>
      <c r="E14" s="92"/>
      <c r="F14" s="93"/>
      <c r="G14" s="94"/>
      <c r="H14" s="87"/>
    </row>
  </sheetData>
  <mergeCells count="1">
    <mergeCell ref="A1:G1"/>
  </mergeCells>
  <dataValidations>
    <dataValidation type="list" allowBlank="1" showErrorMessage="1" sqref="E3:E14">
      <formula1>"Pass,Fail,N/A,Blocking"</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63"/>
    <col customWidth="1" min="2" max="2" width="42.75"/>
    <col customWidth="1" min="3" max="3" width="46.13"/>
    <col customWidth="1" min="4" max="4" width="47.38"/>
  </cols>
  <sheetData>
    <row r="1">
      <c r="A1" s="60" t="s">
        <v>22</v>
      </c>
      <c r="B1" s="60" t="s">
        <v>23</v>
      </c>
      <c r="C1" s="60" t="s">
        <v>197</v>
      </c>
      <c r="D1" s="60" t="s">
        <v>198</v>
      </c>
      <c r="E1" s="60" t="s">
        <v>26</v>
      </c>
      <c r="F1" s="60" t="s">
        <v>199</v>
      </c>
      <c r="G1" s="60" t="s">
        <v>28</v>
      </c>
      <c r="H1" s="60"/>
    </row>
    <row r="2">
      <c r="A2" s="95" t="s">
        <v>499</v>
      </c>
      <c r="B2" s="7"/>
      <c r="C2" s="7"/>
      <c r="D2" s="7"/>
      <c r="E2" s="7"/>
      <c r="F2" s="7"/>
      <c r="G2" s="8"/>
      <c r="H2" s="66"/>
    </row>
    <row r="3">
      <c r="A3" s="96" t="s">
        <v>500</v>
      </c>
      <c r="B3" s="71" t="s">
        <v>501</v>
      </c>
      <c r="C3" s="71" t="s">
        <v>502</v>
      </c>
      <c r="D3" s="70" t="s">
        <v>503</v>
      </c>
      <c r="E3" s="66"/>
      <c r="F3" s="64"/>
      <c r="G3" s="66"/>
      <c r="H3" s="66"/>
    </row>
    <row r="4">
      <c r="A4" s="96" t="s">
        <v>504</v>
      </c>
      <c r="B4" s="71" t="s">
        <v>505</v>
      </c>
      <c r="C4" s="97" t="s">
        <v>506</v>
      </c>
      <c r="D4" s="70" t="s">
        <v>507</v>
      </c>
      <c r="E4" s="66"/>
      <c r="F4" s="64"/>
      <c r="G4" s="66"/>
      <c r="H4" s="66"/>
    </row>
    <row r="5">
      <c r="A5" s="96" t="s">
        <v>508</v>
      </c>
      <c r="B5" s="71" t="s">
        <v>509</v>
      </c>
      <c r="C5" s="71" t="s">
        <v>510</v>
      </c>
      <c r="D5" s="70" t="s">
        <v>511</v>
      </c>
      <c r="E5" s="66"/>
      <c r="F5" s="64"/>
      <c r="G5" s="66"/>
      <c r="H5" s="66"/>
    </row>
    <row r="6">
      <c r="A6" s="61" t="s">
        <v>512</v>
      </c>
      <c r="B6" s="71" t="s">
        <v>513</v>
      </c>
      <c r="C6" s="71" t="s">
        <v>514</v>
      </c>
      <c r="D6" s="70" t="s">
        <v>515</v>
      </c>
      <c r="E6" s="66"/>
      <c r="F6" s="64"/>
      <c r="G6" s="66"/>
      <c r="H6" s="66"/>
    </row>
    <row r="7">
      <c r="A7" s="61" t="s">
        <v>516</v>
      </c>
      <c r="B7" s="71" t="s">
        <v>517</v>
      </c>
      <c r="C7" s="71" t="s">
        <v>518</v>
      </c>
      <c r="D7" s="70" t="s">
        <v>519</v>
      </c>
      <c r="E7" s="66"/>
      <c r="F7" s="64"/>
      <c r="G7" s="66"/>
      <c r="H7" s="66"/>
    </row>
    <row r="8">
      <c r="A8" s="61" t="s">
        <v>520</v>
      </c>
      <c r="B8" s="71" t="s">
        <v>521</v>
      </c>
      <c r="C8" s="71" t="s">
        <v>522</v>
      </c>
      <c r="D8" s="70" t="s">
        <v>523</v>
      </c>
      <c r="E8" s="66"/>
      <c r="F8" s="64"/>
      <c r="G8" s="66"/>
      <c r="H8" s="66"/>
    </row>
    <row r="9">
      <c r="A9" s="61" t="s">
        <v>524</v>
      </c>
      <c r="B9" s="71" t="s">
        <v>525</v>
      </c>
      <c r="C9" s="71" t="s">
        <v>526</v>
      </c>
      <c r="D9" s="70" t="s">
        <v>527</v>
      </c>
      <c r="E9" s="66"/>
      <c r="F9" s="64"/>
      <c r="G9" s="66"/>
      <c r="H9" s="66"/>
    </row>
    <row r="10">
      <c r="A10" s="61" t="s">
        <v>528</v>
      </c>
      <c r="B10" s="71" t="s">
        <v>529</v>
      </c>
      <c r="C10" s="71" t="s">
        <v>530</v>
      </c>
      <c r="D10" s="70" t="s">
        <v>531</v>
      </c>
      <c r="E10" s="66"/>
      <c r="F10" s="64"/>
      <c r="G10" s="66"/>
      <c r="H10" s="66"/>
    </row>
    <row r="11">
      <c r="A11" s="61" t="s">
        <v>532</v>
      </c>
      <c r="B11" s="71" t="s">
        <v>533</v>
      </c>
      <c r="C11" s="71" t="s">
        <v>534</v>
      </c>
      <c r="D11" s="70" t="s">
        <v>535</v>
      </c>
      <c r="E11" s="66"/>
      <c r="F11" s="64"/>
      <c r="G11" s="66"/>
      <c r="H11" s="66"/>
    </row>
    <row r="12">
      <c r="A12" s="61" t="s">
        <v>536</v>
      </c>
      <c r="B12" s="97" t="s">
        <v>537</v>
      </c>
      <c r="C12" s="97" t="s">
        <v>538</v>
      </c>
      <c r="D12" s="97" t="s">
        <v>539</v>
      </c>
      <c r="E12" s="66"/>
      <c r="F12" s="64"/>
      <c r="G12" s="66"/>
      <c r="H12" s="66"/>
    </row>
    <row r="13">
      <c r="A13" s="61" t="s">
        <v>540</v>
      </c>
      <c r="B13" s="71" t="s">
        <v>541</v>
      </c>
      <c r="C13" s="71"/>
      <c r="D13" s="70" t="s">
        <v>542</v>
      </c>
      <c r="E13" s="66"/>
      <c r="F13" s="64"/>
      <c r="G13" s="66"/>
      <c r="H13" s="66"/>
    </row>
    <row r="14">
      <c r="A14" s="61" t="s">
        <v>543</v>
      </c>
      <c r="B14" s="97" t="s">
        <v>544</v>
      </c>
      <c r="C14" s="97" t="s">
        <v>545</v>
      </c>
      <c r="D14" s="97" t="s">
        <v>546</v>
      </c>
      <c r="E14" s="66"/>
      <c r="F14" s="64"/>
      <c r="G14" s="66"/>
      <c r="H14" s="66"/>
    </row>
    <row r="15">
      <c r="A15" s="68" t="s">
        <v>547</v>
      </c>
      <c r="B15" s="97" t="s">
        <v>548</v>
      </c>
      <c r="C15" s="97" t="s">
        <v>549</v>
      </c>
      <c r="D15" s="97" t="s">
        <v>550</v>
      </c>
      <c r="E15" s="66"/>
      <c r="F15" s="64"/>
      <c r="G15" s="66"/>
      <c r="H15" s="66"/>
    </row>
    <row r="16">
      <c r="A16" s="68" t="s">
        <v>551</v>
      </c>
      <c r="B16" s="97" t="s">
        <v>552</v>
      </c>
      <c r="C16" s="97" t="s">
        <v>553</v>
      </c>
      <c r="D16" s="97" t="s">
        <v>554</v>
      </c>
      <c r="E16" s="66"/>
      <c r="F16" s="64"/>
      <c r="G16" s="66"/>
      <c r="H16" s="66"/>
    </row>
    <row r="17">
      <c r="A17" s="68" t="s">
        <v>555</v>
      </c>
      <c r="B17" s="70" t="s">
        <v>556</v>
      </c>
      <c r="C17" s="97" t="s">
        <v>557</v>
      </c>
      <c r="D17" s="70" t="s">
        <v>558</v>
      </c>
      <c r="E17" s="98"/>
      <c r="F17" s="99"/>
      <c r="G17" s="84"/>
      <c r="H17" s="66"/>
    </row>
    <row r="18">
      <c r="A18" s="68" t="s">
        <v>559</v>
      </c>
      <c r="B18" s="97" t="s">
        <v>560</v>
      </c>
      <c r="C18" s="97" t="s">
        <v>561</v>
      </c>
      <c r="D18" s="97" t="s">
        <v>562</v>
      </c>
      <c r="E18" s="66"/>
      <c r="F18" s="64"/>
      <c r="G18" s="66"/>
      <c r="H18" s="66"/>
    </row>
    <row r="19">
      <c r="A19" s="68" t="s">
        <v>563</v>
      </c>
      <c r="B19" s="97" t="s">
        <v>564</v>
      </c>
      <c r="C19" s="97" t="s">
        <v>565</v>
      </c>
      <c r="D19" s="97" t="s">
        <v>566</v>
      </c>
      <c r="E19" s="66"/>
      <c r="F19" s="64"/>
      <c r="G19" s="66"/>
      <c r="H19" s="66"/>
    </row>
    <row r="20">
      <c r="A20" s="68" t="s">
        <v>567</v>
      </c>
      <c r="B20" s="63" t="s">
        <v>568</v>
      </c>
      <c r="C20" s="63" t="s">
        <v>569</v>
      </c>
      <c r="D20" s="63" t="s">
        <v>570</v>
      </c>
      <c r="E20" s="68"/>
      <c r="F20" s="64"/>
      <c r="G20" s="63"/>
      <c r="H20" s="63"/>
    </row>
  </sheetData>
  <mergeCells count="1">
    <mergeCell ref="A2:G2"/>
  </mergeCells>
  <dataValidations>
    <dataValidation type="list" allowBlank="1" showErrorMessage="1" sqref="E3:E16 E18:E20">
      <formula1>"Pass,Fail,N/A,Blocking"</formula1>
    </dataValidation>
    <dataValidation type="list" allowBlank="1" showErrorMessage="1" sqref="E17">
      <formula1>"Pass,Fail,N/A,Blocking"</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2" width="37.75"/>
    <col customWidth="1" min="3" max="3" width="44.63"/>
    <col customWidth="1" min="4" max="4" width="39.88"/>
  </cols>
  <sheetData>
    <row r="1">
      <c r="A1" s="60" t="s">
        <v>22</v>
      </c>
      <c r="B1" s="60" t="s">
        <v>23</v>
      </c>
      <c r="C1" s="60" t="s">
        <v>197</v>
      </c>
      <c r="D1" s="60" t="s">
        <v>198</v>
      </c>
      <c r="E1" s="60" t="s">
        <v>26</v>
      </c>
      <c r="F1" s="60" t="s">
        <v>199</v>
      </c>
      <c r="G1" s="60" t="s">
        <v>28</v>
      </c>
      <c r="H1" s="60"/>
    </row>
    <row r="2">
      <c r="A2" s="68" t="s">
        <v>571</v>
      </c>
      <c r="B2" s="97" t="s">
        <v>572</v>
      </c>
      <c r="C2" s="97" t="s">
        <v>573</v>
      </c>
      <c r="D2" s="70" t="s">
        <v>574</v>
      </c>
      <c r="E2" s="100"/>
      <c r="F2" s="64"/>
      <c r="G2" s="66"/>
      <c r="H2" s="66"/>
    </row>
    <row r="3">
      <c r="A3" s="68" t="s">
        <v>575</v>
      </c>
      <c r="B3" s="97" t="s">
        <v>576</v>
      </c>
      <c r="C3" s="71" t="s">
        <v>577</v>
      </c>
      <c r="D3" s="70" t="s">
        <v>578</v>
      </c>
      <c r="E3" s="66"/>
      <c r="F3" s="64"/>
      <c r="G3" s="66"/>
      <c r="H3" s="66"/>
    </row>
    <row r="4">
      <c r="A4" s="68" t="s">
        <v>579</v>
      </c>
      <c r="B4" s="71" t="s">
        <v>580</v>
      </c>
      <c r="C4" s="71" t="s">
        <v>581</v>
      </c>
      <c r="D4" s="70" t="s">
        <v>582</v>
      </c>
      <c r="E4" s="66"/>
      <c r="F4" s="64"/>
      <c r="G4" s="66"/>
      <c r="H4" s="66"/>
    </row>
  </sheetData>
  <dataValidations>
    <dataValidation type="list" allowBlank="1" showErrorMessage="1" sqref="E2">
      <formula1>"Pass,Fail,N/A,Blocking"</formula1>
    </dataValidation>
    <dataValidation type="list" allowBlank="1" showErrorMessage="1" sqref="E3:E4">
      <formula1>"Pass,Fail,N/A,Blocking"</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36.0"/>
    <col customWidth="1" min="3" max="3" width="47.38"/>
    <col customWidth="1" min="4" max="4" width="46.38"/>
  </cols>
  <sheetData>
    <row r="1">
      <c r="A1" s="60" t="s">
        <v>22</v>
      </c>
      <c r="B1" s="60" t="s">
        <v>23</v>
      </c>
      <c r="C1" s="60" t="s">
        <v>197</v>
      </c>
      <c r="D1" s="60" t="s">
        <v>198</v>
      </c>
      <c r="E1" s="60" t="s">
        <v>26</v>
      </c>
      <c r="F1" s="60" t="s">
        <v>199</v>
      </c>
      <c r="G1" s="60" t="s">
        <v>28</v>
      </c>
      <c r="H1" s="101" t="s">
        <v>583</v>
      </c>
    </row>
    <row r="2">
      <c r="A2" s="102" t="s">
        <v>584</v>
      </c>
      <c r="B2" s="7"/>
      <c r="C2" s="7"/>
      <c r="D2" s="7"/>
      <c r="E2" s="7"/>
      <c r="F2" s="7"/>
      <c r="G2" s="8"/>
      <c r="H2" s="66"/>
    </row>
    <row r="3">
      <c r="A3" s="68" t="s">
        <v>585</v>
      </c>
      <c r="B3" s="97" t="s">
        <v>586</v>
      </c>
      <c r="C3" s="97" t="s">
        <v>587</v>
      </c>
      <c r="D3" s="97" t="s">
        <v>588</v>
      </c>
      <c r="E3" s="66"/>
      <c r="F3" s="64"/>
      <c r="G3" s="66"/>
      <c r="H3" s="103" t="s">
        <v>589</v>
      </c>
    </row>
    <row r="4">
      <c r="A4" s="68" t="s">
        <v>590</v>
      </c>
      <c r="B4" s="104" t="s">
        <v>591</v>
      </c>
      <c r="C4" s="97" t="s">
        <v>592</v>
      </c>
      <c r="D4" s="97" t="s">
        <v>593</v>
      </c>
      <c r="E4" s="66"/>
      <c r="F4" s="64"/>
      <c r="G4" s="66"/>
      <c r="H4" s="66"/>
    </row>
    <row r="5">
      <c r="A5" s="68" t="s">
        <v>594</v>
      </c>
      <c r="B5" s="97" t="s">
        <v>595</v>
      </c>
      <c r="C5" s="97" t="s">
        <v>596</v>
      </c>
      <c r="D5" s="97" t="s">
        <v>597</v>
      </c>
      <c r="E5" s="66"/>
      <c r="F5" s="64"/>
      <c r="G5" s="66"/>
      <c r="H5" s="66"/>
    </row>
    <row r="6">
      <c r="A6" s="68" t="s">
        <v>598</v>
      </c>
      <c r="B6" s="104" t="s">
        <v>599</v>
      </c>
      <c r="C6" s="97" t="s">
        <v>600</v>
      </c>
      <c r="D6" s="97" t="s">
        <v>601</v>
      </c>
      <c r="E6" s="66"/>
      <c r="F6" s="64"/>
      <c r="G6" s="66"/>
      <c r="H6" s="66"/>
    </row>
    <row r="7">
      <c r="A7" s="68" t="s">
        <v>602</v>
      </c>
      <c r="B7" s="104" t="s">
        <v>603</v>
      </c>
      <c r="C7" s="97" t="s">
        <v>604</v>
      </c>
      <c r="D7" s="97" t="s">
        <v>605</v>
      </c>
      <c r="E7" s="66"/>
      <c r="F7" s="64"/>
      <c r="G7" s="63"/>
      <c r="H7" s="66"/>
    </row>
    <row r="8">
      <c r="A8" s="68" t="s">
        <v>606</v>
      </c>
      <c r="B8" s="104" t="s">
        <v>607</v>
      </c>
      <c r="C8" s="105" t="s">
        <v>608</v>
      </c>
      <c r="D8" s="97" t="s">
        <v>609</v>
      </c>
      <c r="E8" s="66"/>
      <c r="F8" s="64"/>
      <c r="G8" s="66"/>
      <c r="H8" s="66"/>
    </row>
    <row r="9">
      <c r="A9" s="68" t="s">
        <v>610</v>
      </c>
      <c r="B9" s="104" t="s">
        <v>611</v>
      </c>
      <c r="C9" s="97" t="s">
        <v>612</v>
      </c>
      <c r="D9" s="97" t="s">
        <v>613</v>
      </c>
      <c r="E9" s="66"/>
      <c r="F9" s="64"/>
      <c r="G9" s="66"/>
      <c r="H9" s="66"/>
    </row>
    <row r="10">
      <c r="A10" s="68" t="s">
        <v>614</v>
      </c>
      <c r="B10" s="104" t="s">
        <v>615</v>
      </c>
      <c r="C10" s="97" t="s">
        <v>616</v>
      </c>
      <c r="D10" s="97" t="s">
        <v>617</v>
      </c>
      <c r="E10" s="66"/>
      <c r="F10" s="64"/>
      <c r="G10" s="66"/>
      <c r="H10" s="66"/>
    </row>
    <row r="11">
      <c r="A11" s="68" t="s">
        <v>618</v>
      </c>
      <c r="B11" s="104" t="s">
        <v>619</v>
      </c>
      <c r="C11" s="97" t="s">
        <v>620</v>
      </c>
      <c r="D11" s="97" t="s">
        <v>621</v>
      </c>
      <c r="E11" s="66"/>
      <c r="F11" s="64"/>
      <c r="G11" s="66"/>
      <c r="H11" s="66"/>
    </row>
    <row r="12">
      <c r="A12" s="68" t="s">
        <v>622</v>
      </c>
      <c r="B12" s="104" t="s">
        <v>623</v>
      </c>
      <c r="C12" s="97" t="s">
        <v>624</v>
      </c>
      <c r="D12" s="97" t="s">
        <v>625</v>
      </c>
      <c r="E12" s="66"/>
      <c r="F12" s="64"/>
      <c r="G12" s="66"/>
      <c r="H12" s="66"/>
    </row>
    <row r="13">
      <c r="A13" s="68" t="s">
        <v>626</v>
      </c>
      <c r="B13" s="104" t="s">
        <v>627</v>
      </c>
      <c r="C13" s="97" t="s">
        <v>628</v>
      </c>
      <c r="D13" s="97" t="s">
        <v>629</v>
      </c>
      <c r="E13" s="66"/>
      <c r="F13" s="64"/>
      <c r="G13" s="66"/>
      <c r="H13" s="66"/>
    </row>
  </sheetData>
  <mergeCells count="1">
    <mergeCell ref="A2:G2"/>
  </mergeCells>
  <dataValidations>
    <dataValidation type="list" allowBlank="1" showErrorMessage="1" sqref="E3:E13">
      <formula1>"Pass,Fail,N/A,Blocking"</formula1>
    </dataValidation>
  </dataValidations>
  <hyperlinks>
    <hyperlink r:id="rId4" location="gid=2&amp;range=18:23" ref="H3"/>
  </hyperlinks>
  <drawing r:id="rId5"/>
  <legacyDrawing r:id="rId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36.38"/>
    <col customWidth="1" min="3" max="3" width="22.75"/>
    <col customWidth="1" min="4" max="4" width="15.63"/>
    <col customWidth="1" min="5" max="5" width="18.88"/>
    <col customWidth="1" min="6" max="6" width="25.25"/>
  </cols>
  <sheetData>
    <row r="1">
      <c r="A1" s="106"/>
      <c r="B1" s="2" t="s">
        <v>630</v>
      </c>
      <c r="C1" s="4"/>
      <c r="E1" s="107" t="s">
        <v>631</v>
      </c>
      <c r="F1" s="108"/>
    </row>
    <row r="2" ht="20.25" customHeight="1">
      <c r="A2" s="10"/>
      <c r="B2" s="11"/>
      <c r="C2" s="13"/>
      <c r="E2" s="109" t="s">
        <v>2</v>
      </c>
      <c r="F2" s="110" t="s">
        <v>3</v>
      </c>
    </row>
    <row r="3">
      <c r="A3" s="10"/>
      <c r="B3" s="17" t="s">
        <v>632</v>
      </c>
      <c r="C3" s="4"/>
      <c r="E3" s="111" t="s">
        <v>4</v>
      </c>
      <c r="F3" s="110" t="s">
        <v>5</v>
      </c>
    </row>
    <row r="4">
      <c r="A4" s="10"/>
      <c r="B4" s="18"/>
      <c r="C4" s="19"/>
      <c r="E4" s="112" t="s">
        <v>6</v>
      </c>
      <c r="F4" s="110" t="s">
        <v>7</v>
      </c>
    </row>
    <row r="5">
      <c r="A5" s="21"/>
      <c r="B5" s="11"/>
      <c r="C5" s="13"/>
      <c r="E5" s="113" t="s">
        <v>8</v>
      </c>
      <c r="F5" s="114" t="s">
        <v>9</v>
      </c>
    </row>
    <row r="6" ht="17.25" customHeight="1">
      <c r="A6" s="115" t="s">
        <v>10</v>
      </c>
      <c r="B6" s="116" t="s">
        <v>11</v>
      </c>
      <c r="C6" s="116" t="s">
        <v>12</v>
      </c>
      <c r="E6" s="117" t="s">
        <v>13</v>
      </c>
      <c r="F6" s="118" t="s">
        <v>14</v>
      </c>
    </row>
    <row r="7">
      <c r="A7" s="119"/>
      <c r="B7" s="120"/>
      <c r="C7" s="121"/>
      <c r="E7" s="122"/>
      <c r="F7" s="123"/>
    </row>
    <row r="8">
      <c r="A8" s="124"/>
      <c r="B8" s="124"/>
      <c r="C8" s="123"/>
      <c r="D8" s="123"/>
    </row>
    <row r="9">
      <c r="A9" s="125" t="s">
        <v>15</v>
      </c>
      <c r="B9" s="125" t="str">
        <f>sheetName(2)</f>
        <v>Personal ID Tests</v>
      </c>
      <c r="C9" s="125" t="str">
        <f>sheetName(3)</f>
        <v>Integration Tests (Connect)</v>
      </c>
      <c r="D9" s="125" t="str">
        <f>sheetName(4)</f>
        <v>Connect Landing Page</v>
      </c>
      <c r="E9" s="125" t="str">
        <f>sheetName(5)</f>
        <v>Connect messaging</v>
      </c>
      <c r="F9" s="125" t="str">
        <f>sheetName(6)</f>
        <v>Connect Notifications</v>
      </c>
    </row>
    <row r="10">
      <c r="A10" s="125" t="s">
        <v>633</v>
      </c>
      <c r="B10" s="126"/>
      <c r="C10" s="126"/>
      <c r="D10" s="126"/>
      <c r="E10" s="126"/>
      <c r="F10" s="126"/>
    </row>
    <row r="11">
      <c r="A11" s="125" t="s">
        <v>16</v>
      </c>
      <c r="B11" s="126"/>
      <c r="C11" s="126"/>
      <c r="D11" s="126"/>
      <c r="E11" s="126"/>
      <c r="F11" s="126"/>
    </row>
    <row r="12">
      <c r="A12" s="127" t="s">
        <v>634</v>
      </c>
      <c r="B12" s="121"/>
      <c r="C12" s="121"/>
      <c r="D12" s="121"/>
      <c r="E12" s="121"/>
      <c r="F12" s="121"/>
    </row>
    <row r="14">
      <c r="A14" s="128" t="s">
        <v>635</v>
      </c>
      <c r="B14" s="129">
        <f t="array" ref="B14">countif(INDIRECT("'"&amp;$B$9&amp;"'!"&amp;"D2:D100"), "Pass")</f>
        <v>0</v>
      </c>
      <c r="C14" s="130">
        <f t="array" ref="C14">countif(INDIRECT("'"&amp;$C$9&amp;"'!"&amp;"D2:D100"), "Pass")</f>
        <v>0</v>
      </c>
      <c r="D14" s="129">
        <f t="array" ref="D14">countif(INDIRECT("'"&amp;$D$9&amp;"'!"&amp;"D2:D100"), "Pass")</f>
        <v>0</v>
      </c>
      <c r="E14" s="131">
        <f t="array" ref="E14">countif(INDIRECT("'"&amp;$E$9&amp;"'!"&amp;"D2:D100"), "Pass")</f>
        <v>0</v>
      </c>
      <c r="F14" s="131">
        <f t="array" ref="F14">countif(INDIRECT("'"&amp;$F$9&amp;"'!"&amp;"D2:D100"), "Pass")</f>
        <v>0</v>
      </c>
    </row>
    <row r="15">
      <c r="A15" s="10"/>
      <c r="B15" s="132">
        <f t="array" ref="B15">countif(INDIRECT("'"&amp;$B$9&amp;"'!"&amp;"D2:D100"), "Fail")</f>
        <v>0</v>
      </c>
      <c r="C15" s="133">
        <f t="array" ref="C15">countif(INDIRECT("'"&amp;$C$9&amp;"'!"&amp;"D2:D100"), "Fail")</f>
        <v>0</v>
      </c>
      <c r="D15" s="132">
        <f t="array" ref="D15">countif(INDIRECT("'"&amp;$D$9&amp;"'!"&amp;"D2:D100"), "Fail")</f>
        <v>0</v>
      </c>
      <c r="E15" s="134">
        <f t="array" ref="E15">countif(INDIRECT("'"&amp;$E$9&amp;"'!"&amp;"D2:D100"), "Fail")</f>
        <v>0</v>
      </c>
      <c r="F15" s="134">
        <f t="array" ref="F15">countif(INDIRECT("'"&amp;$F$9&amp;"'!"&amp;"D2:D100"), "Fail")</f>
        <v>0</v>
      </c>
    </row>
    <row r="16">
      <c r="A16" s="10"/>
      <c r="B16" s="135">
        <f t="array" ref="B16">countif(INDIRECT("'"&amp;$B$9&amp;"'!"&amp;"D2:D100"), "N/A")</f>
        <v>0</v>
      </c>
      <c r="C16" s="135">
        <f t="array" ref="C16">countif(INDIRECT("'"&amp;$C$9&amp;"'!"&amp;"D2:D100"), "N/A")</f>
        <v>0</v>
      </c>
      <c r="D16" s="136">
        <f t="array" ref="D16">countif(INDIRECT("'"&amp;$D$9&amp;"'!"&amp;"D2:D100"), "N/A")</f>
        <v>0</v>
      </c>
      <c r="E16" s="137">
        <f t="array" ref="E16">countif(INDIRECT("'"&amp;$E$9&amp;"'!"&amp;"D2:D100"), "N/A")</f>
        <v>0</v>
      </c>
      <c r="F16" s="137">
        <f t="array" ref="F16">countif(INDIRECT("'"&amp;$F$9&amp;"'!"&amp;"D2:D100"), "N/A")</f>
        <v>0</v>
      </c>
    </row>
    <row r="17">
      <c r="A17" s="10"/>
      <c r="B17" s="138">
        <f t="array" ref="B17">countif(INDIRECT("'"&amp;$B$9&amp;"'!"&amp;"D2:D100"), "Blocking")</f>
        <v>0</v>
      </c>
      <c r="C17" s="139">
        <f t="array" ref="C17">countif(INDIRECT("'"&amp;$C$9&amp;"'!"&amp;"D2:D100"), "Blocking")</f>
        <v>0</v>
      </c>
      <c r="D17" s="138">
        <f t="array" ref="D17">countif(INDIRECT("'"&amp;$D$9&amp;"'!"&amp;"D2:D100"), "Blocking")</f>
        <v>0</v>
      </c>
      <c r="E17" s="140">
        <f t="array" ref="E17">countif(INDIRECT("'"&amp;$E$9&amp;"'!"&amp;"D2:D100"), "Blocking")</f>
        <v>0</v>
      </c>
      <c r="F17" s="140">
        <f t="array" ref="F17">countif(INDIRECT("'"&amp;$F$9&amp;"'!"&amp;"D2:D100"), "Blocking")</f>
        <v>0</v>
      </c>
    </row>
    <row r="18">
      <c r="A18" s="21"/>
      <c r="B18" s="117">
        <f t="array" ref="B18">countif(INDIRECT("'"&amp;$B$9&amp;"'!"&amp;"D2:D100"), "")</f>
        <v>0</v>
      </c>
      <c r="C18" s="117">
        <f t="array" ref="C18">countif(INDIRECT("'"&amp;$C$9&amp;"'!"&amp;"D2:D100"), "")</f>
        <v>4</v>
      </c>
      <c r="D18" s="117">
        <f t="array" ref="D18">countif(INDIRECT("'"&amp;$D$9&amp;"'!"&amp;"D2:D100"), "")</f>
        <v>0</v>
      </c>
      <c r="E18" s="117">
        <f t="array" ref="E18">countif(INDIRECT("'"&amp;$E$9&amp;"'!"&amp;"D2:D100"), "")</f>
        <v>3</v>
      </c>
      <c r="F18" s="117">
        <f t="array" ref="F18">countif(INDIRECT("'"&amp;$F$9&amp;"'!"&amp;"D2:D100"), "")</f>
        <v>1</v>
      </c>
    </row>
    <row r="19">
      <c r="A19" s="125" t="s">
        <v>20</v>
      </c>
      <c r="B19" s="141">
        <f t="shared" ref="B19:F19" si="1">sum(B14:B18)</f>
        <v>0</v>
      </c>
      <c r="C19" s="141">
        <f t="shared" si="1"/>
        <v>4</v>
      </c>
      <c r="D19" s="141">
        <f t="shared" si="1"/>
        <v>0</v>
      </c>
      <c r="E19" s="141">
        <f t="shared" si="1"/>
        <v>3</v>
      </c>
      <c r="F19" s="141">
        <f t="shared" si="1"/>
        <v>1</v>
      </c>
    </row>
    <row r="20">
      <c r="A20" s="142"/>
      <c r="B20" s="124"/>
      <c r="C20" s="123"/>
      <c r="D20" s="123"/>
      <c r="E20" s="5"/>
      <c r="F20" s="143"/>
    </row>
    <row r="21">
      <c r="A21" s="128" t="s">
        <v>636</v>
      </c>
      <c r="B21" s="141" t="str">
        <f>IFERROR(__xludf.DUMMYFUNCTION("UNIQUE( FILTER( INDIRECT(""'""&amp;$B$9&amp;""'!""&amp;""E2:E100"") , NOT(ISBLANK(INDIRECT(""'""&amp;$B$9&amp;""'!""&amp;""E2:E100""))) ) )"),"#N/A")</f>
        <v>#N/A</v>
      </c>
      <c r="C21" s="141" t="str">
        <f>IFERROR(__xludf.DUMMYFUNCTION("UNIQUE( FILTER( INDIRECT(""'""&amp;$C$9&amp;""'!""&amp;""E2:E100"") , NOT(ISBLANK(INDIRECT(""'""&amp;$C$9&amp;""'!""&amp;""E2:E100""))) ) )"),"#N/A")</f>
        <v>#N/A</v>
      </c>
      <c r="D21" s="141" t="str">
        <f>IFERROR(__xludf.DUMMYFUNCTION("UNIQUE( FILTER(INDIRECT(""'""&amp;$D$9&amp;""'!""&amp;""E2:E100"") , NOT(ISBLANK(INDIRECT(""'""&amp;$D$9&amp;""'!""&amp;""E2:E100""))) ) )"),"#N/A")</f>
        <v>#N/A</v>
      </c>
      <c r="E21" s="141" t="str">
        <f>IFERROR(__xludf.DUMMYFUNCTION("UNIQUE( FILTER(INDIRECT(""'""&amp;$E$9&amp;""'!""&amp;""E2:E100"") , NOT(ISBLANK(INDIRECT(""'""&amp;$E$9&amp;""'!""&amp;""E2:E100""))) ) )"),"Status (Pass/Fail)")</f>
        <v>Status (Pass/Fail)</v>
      </c>
      <c r="F21" s="141" t="str">
        <f>IFERROR(__xludf.DUMMYFUNCTION("UNIQUE( FILTER(INDIRECT(""'""&amp;$E$9&amp;""'!""&amp;""E2:E100"") , NOT(ISBLANK(INDIRECT(""'""&amp;$E$9&amp;""'!""&amp;""E2:E100""))) ) )"),"Status (Pass/Fail)")</f>
        <v>Status (Pass/Fail)</v>
      </c>
    </row>
    <row r="22">
      <c r="A22" s="10"/>
      <c r="B22" s="141"/>
      <c r="C22" s="141"/>
      <c r="D22" s="141"/>
      <c r="E22" s="141"/>
      <c r="F22" s="141"/>
    </row>
    <row r="23">
      <c r="A23" s="10"/>
      <c r="B23" s="141"/>
      <c r="C23" s="141"/>
      <c r="D23" s="141"/>
      <c r="E23" s="141"/>
      <c r="F23" s="141"/>
    </row>
    <row r="24">
      <c r="A24" s="10"/>
      <c r="B24" s="141"/>
      <c r="C24" s="141"/>
      <c r="D24" s="141"/>
      <c r="E24" s="141"/>
      <c r="F24" s="141"/>
    </row>
    <row r="25">
      <c r="A25" s="10"/>
      <c r="B25" s="141"/>
      <c r="C25" s="141"/>
      <c r="D25" s="141"/>
      <c r="E25" s="141"/>
      <c r="F25" s="141"/>
    </row>
    <row r="26">
      <c r="A26" s="10"/>
      <c r="B26" s="141"/>
      <c r="C26" s="141"/>
      <c r="D26" s="141"/>
      <c r="E26" s="141"/>
      <c r="F26" s="141"/>
    </row>
    <row r="27">
      <c r="A27" s="10"/>
      <c r="B27" s="141"/>
      <c r="C27" s="141"/>
      <c r="D27" s="141"/>
      <c r="E27" s="141"/>
      <c r="F27" s="141"/>
    </row>
    <row r="28">
      <c r="A28" s="21"/>
      <c r="B28" s="141"/>
      <c r="C28" s="141"/>
      <c r="D28" s="141"/>
      <c r="E28" s="141"/>
      <c r="F28" s="141"/>
    </row>
    <row r="29">
      <c r="A29" s="144"/>
      <c r="B29" s="123"/>
      <c r="C29" s="123"/>
      <c r="D29" s="123"/>
      <c r="E29" s="123"/>
      <c r="F29" s="123"/>
    </row>
    <row r="30">
      <c r="A30" s="144"/>
      <c r="B30" s="123"/>
      <c r="C30" s="123"/>
      <c r="D30" s="123"/>
      <c r="E30" s="123"/>
      <c r="F30" s="123"/>
    </row>
    <row r="31">
      <c r="A31" s="144"/>
      <c r="B31" s="123"/>
      <c r="C31" s="123"/>
      <c r="D31" s="123"/>
      <c r="E31" s="123"/>
      <c r="F31" s="123"/>
    </row>
    <row r="32">
      <c r="A32" s="144"/>
      <c r="B32" s="123"/>
      <c r="C32" s="123"/>
      <c r="D32" s="123"/>
      <c r="E32" s="123"/>
      <c r="F32" s="123"/>
    </row>
    <row r="33">
      <c r="A33" s="144"/>
      <c r="B33" s="123"/>
      <c r="C33" s="123"/>
      <c r="D33" s="123"/>
      <c r="E33" s="123"/>
      <c r="F33" s="123"/>
    </row>
    <row r="34">
      <c r="A34" s="144"/>
      <c r="B34" s="123"/>
      <c r="C34" s="123"/>
      <c r="D34" s="123"/>
      <c r="E34" s="123"/>
      <c r="F34" s="123"/>
    </row>
    <row r="35">
      <c r="A35" s="144"/>
      <c r="B35" s="123"/>
      <c r="C35" s="123"/>
      <c r="D35" s="123"/>
      <c r="E35" s="123"/>
      <c r="F35" s="123"/>
    </row>
    <row r="36">
      <c r="A36" s="144"/>
      <c r="B36" s="123"/>
      <c r="C36" s="123"/>
      <c r="D36" s="123"/>
      <c r="E36" s="123"/>
      <c r="F36" s="123"/>
    </row>
    <row r="37">
      <c r="A37" s="144"/>
      <c r="B37" s="123"/>
      <c r="C37" s="123"/>
      <c r="D37" s="123"/>
      <c r="E37" s="123"/>
      <c r="F37" s="123"/>
    </row>
    <row r="38">
      <c r="A38" s="144"/>
      <c r="B38" s="123"/>
      <c r="C38" s="123"/>
      <c r="D38" s="123"/>
      <c r="E38" s="123"/>
      <c r="F38" s="123"/>
    </row>
    <row r="39">
      <c r="A39" s="144"/>
      <c r="B39" s="123"/>
      <c r="C39" s="123"/>
      <c r="D39" s="123"/>
      <c r="E39" s="123"/>
      <c r="F39" s="123"/>
    </row>
    <row r="40">
      <c r="A40" s="144"/>
      <c r="B40" s="123"/>
      <c r="C40" s="123"/>
      <c r="D40" s="123"/>
      <c r="E40" s="123"/>
      <c r="F40" s="123"/>
    </row>
    <row r="41">
      <c r="A41" s="144"/>
      <c r="B41" s="123"/>
      <c r="C41" s="123"/>
      <c r="D41" s="123"/>
      <c r="E41" s="123"/>
      <c r="F41" s="123"/>
    </row>
    <row r="42">
      <c r="A42" s="144"/>
      <c r="B42" s="123"/>
      <c r="C42" s="123"/>
      <c r="D42" s="123"/>
      <c r="E42" s="123"/>
      <c r="F42" s="123"/>
    </row>
    <row r="43">
      <c r="A43" s="144"/>
      <c r="B43" s="123"/>
      <c r="C43" s="123"/>
      <c r="D43" s="123"/>
      <c r="E43" s="123"/>
      <c r="F43" s="123"/>
    </row>
    <row r="44">
      <c r="A44" s="144"/>
      <c r="B44" s="123"/>
      <c r="C44" s="123"/>
      <c r="D44" s="123"/>
      <c r="E44" s="123"/>
      <c r="F44" s="123"/>
    </row>
    <row r="45">
      <c r="A45" s="144"/>
      <c r="B45" s="123"/>
      <c r="C45" s="123"/>
      <c r="D45" s="123"/>
      <c r="E45" s="123"/>
      <c r="F45" s="123"/>
    </row>
    <row r="46">
      <c r="A46" s="144"/>
      <c r="B46" s="123"/>
      <c r="C46" s="123"/>
      <c r="D46" s="123"/>
      <c r="E46" s="123"/>
      <c r="F46" s="123"/>
    </row>
    <row r="47">
      <c r="A47" s="144"/>
      <c r="B47" s="123"/>
      <c r="C47" s="123"/>
      <c r="D47" s="123"/>
      <c r="E47" s="123"/>
      <c r="F47" s="123"/>
    </row>
    <row r="48">
      <c r="A48" s="144"/>
      <c r="B48" s="123"/>
      <c r="C48" s="123"/>
      <c r="D48" s="123"/>
      <c r="E48" s="123"/>
      <c r="F48" s="123"/>
    </row>
    <row r="49">
      <c r="A49" s="144"/>
      <c r="B49" s="123"/>
      <c r="C49" s="123"/>
      <c r="D49" s="123"/>
      <c r="E49" s="123"/>
      <c r="F49" s="123"/>
    </row>
    <row r="50">
      <c r="A50" s="144"/>
      <c r="B50" s="123"/>
      <c r="C50" s="123"/>
      <c r="D50" s="123"/>
      <c r="E50" s="123"/>
      <c r="F50" s="123"/>
    </row>
    <row r="51">
      <c r="A51" s="144"/>
      <c r="B51" s="123"/>
      <c r="C51" s="123"/>
      <c r="D51" s="123"/>
      <c r="E51" s="123"/>
      <c r="F51" s="123"/>
    </row>
    <row r="52">
      <c r="A52" s="144"/>
      <c r="B52" s="123"/>
      <c r="C52" s="123"/>
      <c r="D52" s="123"/>
      <c r="E52" s="123"/>
      <c r="F52" s="123"/>
    </row>
    <row r="53">
      <c r="A53" s="144"/>
      <c r="B53" s="123"/>
      <c r="C53" s="123"/>
      <c r="D53" s="123"/>
      <c r="E53" s="123"/>
      <c r="F53" s="123"/>
    </row>
    <row r="54">
      <c r="A54" s="144"/>
      <c r="B54" s="123"/>
      <c r="C54" s="123"/>
      <c r="D54" s="123"/>
      <c r="E54" s="123"/>
      <c r="F54" s="123"/>
    </row>
    <row r="55">
      <c r="A55" s="144"/>
      <c r="B55" s="123"/>
      <c r="C55" s="123"/>
      <c r="D55" s="123"/>
      <c r="E55" s="123"/>
      <c r="F55" s="123"/>
    </row>
    <row r="56">
      <c r="A56" s="144"/>
      <c r="B56" s="123"/>
      <c r="C56" s="123"/>
      <c r="D56" s="123"/>
      <c r="E56" s="123"/>
      <c r="F56" s="123"/>
    </row>
    <row r="57">
      <c r="A57" s="144"/>
      <c r="B57" s="123"/>
      <c r="C57" s="123"/>
      <c r="D57" s="123"/>
      <c r="E57" s="123"/>
      <c r="F57" s="123"/>
    </row>
    <row r="58">
      <c r="A58" s="144"/>
      <c r="B58" s="123"/>
      <c r="C58" s="123"/>
      <c r="D58" s="123"/>
      <c r="E58" s="123"/>
      <c r="F58" s="123"/>
    </row>
    <row r="59">
      <c r="A59" s="144"/>
      <c r="B59" s="123"/>
      <c r="C59" s="123"/>
      <c r="D59" s="123"/>
      <c r="E59" s="123"/>
      <c r="F59" s="123"/>
    </row>
    <row r="60">
      <c r="A60" s="144"/>
      <c r="B60" s="123"/>
      <c r="C60" s="123"/>
      <c r="D60" s="123"/>
      <c r="E60" s="123"/>
      <c r="F60" s="123"/>
    </row>
    <row r="61">
      <c r="A61" s="144"/>
      <c r="B61" s="123"/>
      <c r="C61" s="123"/>
      <c r="D61" s="123"/>
      <c r="E61" s="123"/>
      <c r="F61" s="123"/>
    </row>
    <row r="62">
      <c r="A62" s="144"/>
      <c r="B62" s="123"/>
      <c r="C62" s="123"/>
      <c r="D62" s="123"/>
      <c r="E62" s="123"/>
      <c r="F62" s="123"/>
    </row>
    <row r="63">
      <c r="A63" s="144"/>
      <c r="B63" s="123"/>
      <c r="C63" s="123"/>
      <c r="D63" s="123"/>
      <c r="E63" s="123"/>
      <c r="F63" s="123"/>
    </row>
    <row r="64">
      <c r="A64" s="144"/>
      <c r="B64" s="123"/>
      <c r="C64" s="123"/>
      <c r="D64" s="123"/>
      <c r="E64" s="123"/>
      <c r="F64" s="123"/>
    </row>
    <row r="65">
      <c r="A65" s="144"/>
      <c r="B65" s="123"/>
      <c r="C65" s="123"/>
      <c r="D65" s="123"/>
      <c r="E65" s="123"/>
      <c r="F65" s="123"/>
    </row>
    <row r="66">
      <c r="A66" s="144"/>
      <c r="B66" s="123"/>
      <c r="C66" s="123"/>
      <c r="D66" s="123"/>
      <c r="E66" s="123"/>
      <c r="F66" s="123"/>
    </row>
    <row r="67">
      <c r="A67" s="144"/>
      <c r="B67" s="123"/>
      <c r="C67" s="123"/>
      <c r="D67" s="123"/>
      <c r="E67" s="123"/>
      <c r="F67" s="123"/>
    </row>
    <row r="68">
      <c r="A68" s="144"/>
      <c r="B68" s="123"/>
      <c r="C68" s="123"/>
      <c r="D68" s="123"/>
      <c r="E68" s="123"/>
      <c r="F68" s="123"/>
    </row>
    <row r="69">
      <c r="A69" s="144"/>
      <c r="B69" s="123"/>
      <c r="C69" s="123"/>
      <c r="D69" s="123"/>
      <c r="E69" s="123"/>
      <c r="F69" s="123"/>
    </row>
    <row r="70">
      <c r="A70" s="144"/>
      <c r="B70" s="123"/>
      <c r="C70" s="123"/>
      <c r="D70" s="123"/>
      <c r="E70" s="123"/>
      <c r="F70" s="123"/>
    </row>
    <row r="71">
      <c r="A71" s="144"/>
      <c r="B71" s="123"/>
      <c r="C71" s="123"/>
      <c r="D71" s="123"/>
      <c r="E71" s="123"/>
      <c r="F71" s="123"/>
    </row>
    <row r="72">
      <c r="A72" s="144"/>
      <c r="B72" s="123"/>
      <c r="C72" s="123"/>
      <c r="D72" s="123"/>
      <c r="E72" s="123"/>
      <c r="F72" s="123"/>
    </row>
    <row r="73">
      <c r="A73" s="144"/>
      <c r="B73" s="123"/>
      <c r="C73" s="123"/>
      <c r="D73" s="123"/>
      <c r="E73" s="123"/>
      <c r="F73" s="123"/>
    </row>
    <row r="74">
      <c r="A74" s="144"/>
      <c r="B74" s="123"/>
      <c r="C74" s="123"/>
      <c r="D74" s="123"/>
      <c r="E74" s="123"/>
      <c r="F74" s="123"/>
    </row>
    <row r="75">
      <c r="A75" s="144"/>
      <c r="B75" s="123"/>
      <c r="C75" s="123"/>
      <c r="D75" s="123"/>
      <c r="E75" s="123"/>
      <c r="F75" s="123"/>
    </row>
    <row r="76">
      <c r="A76" s="144"/>
      <c r="B76" s="123"/>
      <c r="C76" s="123"/>
      <c r="D76" s="123"/>
      <c r="E76" s="123"/>
      <c r="F76" s="123"/>
    </row>
    <row r="77">
      <c r="A77" s="144"/>
      <c r="B77" s="123"/>
      <c r="C77" s="123"/>
      <c r="D77" s="123"/>
      <c r="E77" s="123"/>
      <c r="F77" s="123"/>
    </row>
    <row r="78">
      <c r="A78" s="144"/>
      <c r="B78" s="123"/>
      <c r="C78" s="123"/>
      <c r="D78" s="123"/>
      <c r="E78" s="123"/>
      <c r="F78" s="123"/>
    </row>
    <row r="79">
      <c r="A79" s="144"/>
      <c r="B79" s="123"/>
      <c r="C79" s="123"/>
      <c r="D79" s="123"/>
      <c r="E79" s="123"/>
      <c r="F79" s="123"/>
    </row>
    <row r="80">
      <c r="A80" s="144"/>
      <c r="B80" s="123"/>
      <c r="C80" s="123"/>
      <c r="D80" s="123"/>
      <c r="E80" s="123"/>
      <c r="F80" s="123"/>
    </row>
    <row r="81">
      <c r="A81" s="144"/>
      <c r="B81" s="123"/>
      <c r="C81" s="123"/>
      <c r="D81" s="123"/>
      <c r="E81" s="123"/>
      <c r="F81" s="123"/>
    </row>
    <row r="82">
      <c r="A82" s="144"/>
      <c r="B82" s="123"/>
      <c r="C82" s="123"/>
      <c r="D82" s="123"/>
      <c r="E82" s="123"/>
      <c r="F82" s="123"/>
    </row>
    <row r="83">
      <c r="A83" s="144"/>
      <c r="B83" s="123"/>
      <c r="C83" s="123"/>
      <c r="D83" s="123"/>
      <c r="E83" s="123"/>
      <c r="F83" s="123"/>
    </row>
    <row r="84">
      <c r="A84" s="144"/>
      <c r="B84" s="123"/>
      <c r="C84" s="123"/>
      <c r="D84" s="123"/>
      <c r="E84" s="123"/>
      <c r="F84" s="123"/>
    </row>
    <row r="85">
      <c r="A85" s="144"/>
      <c r="B85" s="123"/>
      <c r="C85" s="123"/>
      <c r="D85" s="123"/>
      <c r="E85" s="123"/>
      <c r="F85" s="123"/>
    </row>
    <row r="86">
      <c r="A86" s="144"/>
      <c r="B86" s="123"/>
      <c r="C86" s="123"/>
      <c r="D86" s="123"/>
      <c r="E86" s="123"/>
      <c r="F86" s="123"/>
    </row>
    <row r="87">
      <c r="A87" s="144"/>
      <c r="B87" s="123"/>
      <c r="C87" s="123"/>
      <c r="D87" s="123"/>
      <c r="E87" s="123"/>
      <c r="F87" s="123"/>
    </row>
    <row r="88">
      <c r="A88" s="144"/>
      <c r="B88" s="123"/>
      <c r="C88" s="123"/>
      <c r="D88" s="123"/>
      <c r="E88" s="123"/>
      <c r="F88" s="123"/>
    </row>
    <row r="89">
      <c r="A89" s="144"/>
      <c r="B89" s="123"/>
      <c r="C89" s="123"/>
      <c r="D89" s="123"/>
      <c r="E89" s="123"/>
      <c r="F89" s="123"/>
    </row>
    <row r="90">
      <c r="A90" s="144"/>
      <c r="B90" s="123"/>
      <c r="C90" s="123"/>
      <c r="D90" s="123"/>
      <c r="E90" s="123"/>
      <c r="F90" s="123"/>
    </row>
    <row r="91">
      <c r="A91" s="144"/>
      <c r="B91" s="123"/>
      <c r="C91" s="123"/>
      <c r="D91" s="123"/>
      <c r="E91" s="123"/>
      <c r="F91" s="123"/>
    </row>
    <row r="92">
      <c r="A92" s="144"/>
      <c r="B92" s="123"/>
      <c r="C92" s="123"/>
      <c r="D92" s="123"/>
      <c r="E92" s="123"/>
      <c r="F92" s="123"/>
    </row>
    <row r="93">
      <c r="A93" s="144"/>
      <c r="B93" s="123"/>
      <c r="C93" s="123"/>
      <c r="D93" s="123"/>
      <c r="E93" s="123"/>
      <c r="F93" s="123"/>
    </row>
    <row r="94">
      <c r="A94" s="144"/>
      <c r="B94" s="123"/>
      <c r="C94" s="123"/>
      <c r="D94" s="123"/>
      <c r="E94" s="123"/>
      <c r="F94" s="123"/>
    </row>
    <row r="95">
      <c r="A95" s="144"/>
      <c r="B95" s="123"/>
      <c r="C95" s="123"/>
      <c r="D95" s="123"/>
      <c r="E95" s="123"/>
      <c r="F95" s="123"/>
    </row>
    <row r="96">
      <c r="A96" s="144"/>
      <c r="B96" s="123"/>
      <c r="C96" s="123"/>
      <c r="D96" s="123"/>
      <c r="E96" s="123"/>
      <c r="F96" s="123"/>
    </row>
    <row r="97">
      <c r="A97" s="144"/>
      <c r="B97" s="123"/>
      <c r="C97" s="123"/>
      <c r="D97" s="123"/>
      <c r="E97" s="123"/>
      <c r="F97" s="123"/>
    </row>
    <row r="98">
      <c r="A98" s="144"/>
      <c r="B98" s="123"/>
      <c r="C98" s="123"/>
      <c r="D98" s="123"/>
      <c r="E98" s="123"/>
      <c r="F98" s="123"/>
    </row>
    <row r="99">
      <c r="A99" s="144"/>
      <c r="B99" s="123"/>
      <c r="C99" s="123"/>
      <c r="D99" s="123"/>
      <c r="E99" s="123"/>
      <c r="F99" s="123"/>
    </row>
    <row r="100">
      <c r="A100" s="144"/>
      <c r="B100" s="123"/>
      <c r="C100" s="123"/>
      <c r="D100" s="123"/>
      <c r="E100" s="123"/>
      <c r="F100" s="123"/>
    </row>
    <row r="101">
      <c r="A101" s="144"/>
      <c r="B101" s="123"/>
      <c r="C101" s="123"/>
      <c r="D101" s="123"/>
      <c r="E101" s="123"/>
      <c r="F101" s="123"/>
    </row>
    <row r="102">
      <c r="A102" s="144"/>
      <c r="B102" s="123"/>
      <c r="C102" s="123"/>
      <c r="D102" s="123"/>
      <c r="E102" s="123"/>
      <c r="F102" s="123"/>
    </row>
    <row r="103">
      <c r="A103" s="144"/>
      <c r="B103" s="123"/>
      <c r="C103" s="123"/>
      <c r="D103" s="123"/>
      <c r="E103" s="123"/>
      <c r="F103" s="123"/>
    </row>
    <row r="104">
      <c r="A104" s="144"/>
      <c r="B104" s="123"/>
      <c r="C104" s="123"/>
      <c r="D104" s="123"/>
      <c r="E104" s="123"/>
      <c r="F104" s="123"/>
    </row>
    <row r="105">
      <c r="A105" s="144"/>
      <c r="B105" s="123"/>
      <c r="C105" s="123"/>
      <c r="D105" s="123"/>
      <c r="E105" s="123"/>
      <c r="F105" s="123"/>
    </row>
    <row r="106">
      <c r="A106" s="144"/>
      <c r="B106" s="123"/>
      <c r="C106" s="123"/>
      <c r="D106" s="123"/>
      <c r="E106" s="123"/>
      <c r="F106" s="123"/>
    </row>
    <row r="107">
      <c r="A107" s="144"/>
      <c r="B107" s="123"/>
      <c r="C107" s="123"/>
      <c r="D107" s="123"/>
      <c r="E107" s="123"/>
      <c r="F107" s="123"/>
    </row>
    <row r="108">
      <c r="A108" s="144"/>
      <c r="B108" s="123"/>
      <c r="C108" s="123"/>
      <c r="D108" s="123"/>
      <c r="E108" s="123"/>
      <c r="F108" s="123"/>
    </row>
    <row r="109">
      <c r="A109" s="144"/>
      <c r="B109" s="123"/>
      <c r="C109" s="123"/>
      <c r="D109" s="123"/>
      <c r="E109" s="123"/>
      <c r="F109" s="123"/>
    </row>
    <row r="110">
      <c r="A110" s="144"/>
      <c r="B110" s="123"/>
      <c r="C110" s="123"/>
      <c r="D110" s="123"/>
      <c r="E110" s="123"/>
      <c r="F110" s="123"/>
    </row>
    <row r="111">
      <c r="A111" s="144"/>
      <c r="B111" s="123"/>
      <c r="C111" s="123"/>
      <c r="D111" s="123"/>
      <c r="E111" s="123"/>
      <c r="F111" s="123"/>
    </row>
    <row r="112">
      <c r="A112" s="144"/>
      <c r="B112" s="123"/>
      <c r="C112" s="123"/>
      <c r="D112" s="123"/>
      <c r="E112" s="123"/>
      <c r="F112" s="123"/>
    </row>
    <row r="113">
      <c r="A113" s="144"/>
      <c r="B113" s="123"/>
      <c r="C113" s="123"/>
      <c r="D113" s="123"/>
      <c r="E113" s="123"/>
      <c r="F113" s="123"/>
    </row>
    <row r="114">
      <c r="A114" s="144"/>
      <c r="B114" s="123"/>
      <c r="C114" s="123"/>
      <c r="D114" s="123"/>
      <c r="E114" s="123"/>
      <c r="F114" s="123"/>
    </row>
    <row r="115">
      <c r="A115" s="144"/>
      <c r="B115" s="123"/>
      <c r="C115" s="123"/>
      <c r="D115" s="123"/>
      <c r="E115" s="123"/>
      <c r="F115" s="123"/>
    </row>
    <row r="116">
      <c r="A116" s="144"/>
      <c r="B116" s="123"/>
      <c r="C116" s="123"/>
      <c r="D116" s="123"/>
      <c r="E116" s="123"/>
      <c r="F116" s="123"/>
    </row>
    <row r="117">
      <c r="A117" s="144"/>
      <c r="B117" s="123"/>
      <c r="C117" s="123"/>
      <c r="D117" s="123"/>
      <c r="E117" s="123"/>
      <c r="F117" s="123"/>
    </row>
    <row r="118">
      <c r="A118" s="144"/>
      <c r="B118" s="123"/>
      <c r="C118" s="123"/>
      <c r="D118" s="123"/>
      <c r="E118" s="123"/>
      <c r="F118" s="123"/>
    </row>
    <row r="119">
      <c r="A119" s="144"/>
      <c r="B119" s="123"/>
      <c r="C119" s="123"/>
      <c r="D119" s="123"/>
      <c r="E119" s="123"/>
      <c r="F119" s="123"/>
    </row>
    <row r="120">
      <c r="A120" s="144"/>
      <c r="B120" s="123"/>
      <c r="C120" s="123"/>
      <c r="D120" s="123"/>
      <c r="E120" s="123"/>
      <c r="F120" s="123"/>
    </row>
    <row r="121">
      <c r="A121" s="144"/>
      <c r="B121" s="123"/>
      <c r="C121" s="123"/>
      <c r="D121" s="123"/>
      <c r="E121" s="123"/>
      <c r="F121" s="123"/>
    </row>
    <row r="122">
      <c r="A122" s="144"/>
      <c r="B122" s="123"/>
      <c r="C122" s="123"/>
      <c r="D122" s="123"/>
      <c r="E122" s="123"/>
      <c r="F122" s="123"/>
    </row>
    <row r="123">
      <c r="A123" s="144"/>
      <c r="B123" s="123"/>
      <c r="C123" s="123"/>
      <c r="D123" s="123"/>
      <c r="E123" s="123"/>
      <c r="F123" s="123"/>
    </row>
    <row r="124">
      <c r="A124" s="144"/>
      <c r="B124" s="123"/>
      <c r="C124" s="123"/>
      <c r="D124" s="123"/>
      <c r="E124" s="123"/>
      <c r="F124" s="123"/>
    </row>
    <row r="125">
      <c r="A125" s="144"/>
      <c r="B125" s="123"/>
      <c r="C125" s="123"/>
      <c r="D125" s="123"/>
      <c r="E125" s="123"/>
      <c r="F125" s="123"/>
    </row>
    <row r="126">
      <c r="A126" s="144"/>
      <c r="B126" s="123"/>
      <c r="C126" s="123"/>
      <c r="D126" s="123"/>
      <c r="E126" s="123"/>
      <c r="F126" s="123"/>
    </row>
    <row r="127">
      <c r="A127" s="144"/>
      <c r="B127" s="123"/>
      <c r="C127" s="123"/>
      <c r="D127" s="123"/>
      <c r="E127" s="123"/>
      <c r="F127" s="123"/>
    </row>
    <row r="128">
      <c r="A128" s="144"/>
      <c r="B128" s="123"/>
      <c r="C128" s="123"/>
      <c r="D128" s="123"/>
      <c r="E128" s="123"/>
      <c r="F128" s="123"/>
    </row>
    <row r="129">
      <c r="A129" s="144"/>
      <c r="B129" s="123"/>
      <c r="C129" s="123"/>
      <c r="D129" s="123"/>
      <c r="E129" s="123"/>
      <c r="F129" s="123"/>
    </row>
    <row r="130">
      <c r="A130" s="144"/>
      <c r="B130" s="123"/>
      <c r="C130" s="123"/>
      <c r="D130" s="123"/>
      <c r="E130" s="123"/>
      <c r="F130" s="123"/>
    </row>
    <row r="131">
      <c r="A131" s="144"/>
      <c r="B131" s="123"/>
      <c r="C131" s="123"/>
      <c r="D131" s="123"/>
      <c r="E131" s="123"/>
      <c r="F131" s="123"/>
    </row>
    <row r="132">
      <c r="A132" s="144"/>
      <c r="B132" s="123"/>
      <c r="C132" s="123"/>
      <c r="D132" s="123"/>
      <c r="E132" s="123"/>
      <c r="F132" s="123"/>
    </row>
    <row r="133">
      <c r="A133" s="144"/>
      <c r="B133" s="123"/>
      <c r="C133" s="123"/>
      <c r="D133" s="123"/>
      <c r="E133" s="123"/>
      <c r="F133" s="123"/>
    </row>
    <row r="134">
      <c r="A134" s="144"/>
      <c r="B134" s="123"/>
      <c r="C134" s="123"/>
      <c r="D134" s="123"/>
      <c r="E134" s="123"/>
      <c r="F134" s="123"/>
    </row>
    <row r="135">
      <c r="A135" s="144"/>
      <c r="B135" s="123"/>
      <c r="C135" s="123"/>
      <c r="D135" s="123"/>
      <c r="E135" s="123"/>
      <c r="F135" s="123"/>
    </row>
    <row r="136">
      <c r="A136" s="144"/>
      <c r="B136" s="123"/>
      <c r="C136" s="123"/>
      <c r="D136" s="123"/>
      <c r="E136" s="123"/>
      <c r="F136" s="123"/>
    </row>
    <row r="137">
      <c r="A137" s="144"/>
      <c r="B137" s="123"/>
      <c r="C137" s="123"/>
      <c r="D137" s="123"/>
      <c r="E137" s="123"/>
      <c r="F137" s="123"/>
    </row>
    <row r="138">
      <c r="A138" s="144"/>
      <c r="B138" s="123"/>
      <c r="C138" s="123"/>
      <c r="D138" s="123"/>
      <c r="E138" s="123"/>
      <c r="F138" s="123"/>
    </row>
    <row r="139">
      <c r="A139" s="144"/>
      <c r="B139" s="123"/>
      <c r="C139" s="123"/>
      <c r="D139" s="123"/>
      <c r="E139" s="123"/>
      <c r="F139" s="123"/>
    </row>
    <row r="140">
      <c r="A140" s="144"/>
      <c r="B140" s="123"/>
      <c r="C140" s="123"/>
      <c r="D140" s="123"/>
      <c r="E140" s="123"/>
      <c r="F140" s="123"/>
    </row>
    <row r="141">
      <c r="A141" s="144"/>
      <c r="B141" s="123"/>
      <c r="C141" s="123"/>
      <c r="D141" s="123"/>
      <c r="E141" s="123"/>
      <c r="F141" s="123"/>
    </row>
    <row r="142">
      <c r="A142" s="144"/>
      <c r="B142" s="123"/>
      <c r="C142" s="123"/>
      <c r="D142" s="123"/>
      <c r="E142" s="123"/>
      <c r="F142" s="123"/>
    </row>
    <row r="143">
      <c r="A143" s="144"/>
      <c r="B143" s="123"/>
      <c r="C143" s="123"/>
      <c r="D143" s="123"/>
      <c r="E143" s="123"/>
      <c r="F143" s="123"/>
    </row>
    <row r="144">
      <c r="A144" s="144"/>
      <c r="B144" s="123"/>
      <c r="C144" s="123"/>
      <c r="D144" s="123"/>
      <c r="E144" s="123"/>
      <c r="F144" s="123"/>
    </row>
    <row r="145">
      <c r="A145" s="144"/>
      <c r="B145" s="123"/>
      <c r="C145" s="123"/>
      <c r="D145" s="123"/>
      <c r="E145" s="123"/>
      <c r="F145" s="123"/>
    </row>
    <row r="146">
      <c r="A146" s="144"/>
      <c r="B146" s="123"/>
      <c r="C146" s="123"/>
      <c r="D146" s="123"/>
      <c r="E146" s="123"/>
      <c r="F146" s="123"/>
    </row>
    <row r="147">
      <c r="A147" s="144"/>
      <c r="B147" s="123"/>
      <c r="C147" s="123"/>
      <c r="D147" s="123"/>
      <c r="E147" s="123"/>
      <c r="F147" s="123"/>
    </row>
    <row r="148">
      <c r="A148" s="144"/>
      <c r="B148" s="123"/>
      <c r="C148" s="123"/>
      <c r="D148" s="123"/>
      <c r="E148" s="123"/>
      <c r="F148" s="123"/>
    </row>
    <row r="149">
      <c r="A149" s="144"/>
      <c r="B149" s="123"/>
      <c r="C149" s="123"/>
      <c r="D149" s="123"/>
      <c r="E149" s="123"/>
      <c r="F149" s="123"/>
    </row>
    <row r="150">
      <c r="A150" s="144"/>
      <c r="B150" s="123"/>
      <c r="C150" s="123"/>
      <c r="D150" s="123"/>
      <c r="E150" s="123"/>
      <c r="F150" s="123"/>
    </row>
    <row r="151">
      <c r="A151" s="144"/>
      <c r="B151" s="123"/>
      <c r="C151" s="123"/>
      <c r="D151" s="123"/>
      <c r="E151" s="123"/>
      <c r="F151" s="123"/>
    </row>
    <row r="152">
      <c r="A152" s="144"/>
      <c r="B152" s="123"/>
      <c r="C152" s="123"/>
      <c r="D152" s="123"/>
      <c r="E152" s="123"/>
      <c r="F152" s="123"/>
    </row>
    <row r="153">
      <c r="A153" s="144"/>
      <c r="B153" s="123"/>
      <c r="C153" s="123"/>
      <c r="D153" s="123"/>
      <c r="E153" s="123"/>
      <c r="F153" s="123"/>
    </row>
    <row r="154">
      <c r="A154" s="144"/>
      <c r="B154" s="123"/>
      <c r="C154" s="123"/>
      <c r="D154" s="123"/>
      <c r="E154" s="123"/>
      <c r="F154" s="123"/>
    </row>
    <row r="155">
      <c r="A155" s="144"/>
      <c r="B155" s="123"/>
      <c r="C155" s="123"/>
      <c r="D155" s="123"/>
      <c r="E155" s="123"/>
      <c r="F155" s="123"/>
    </row>
    <row r="156">
      <c r="A156" s="144"/>
      <c r="B156" s="123"/>
      <c r="C156" s="123"/>
      <c r="D156" s="123"/>
      <c r="E156" s="123"/>
      <c r="F156" s="123"/>
    </row>
    <row r="157">
      <c r="A157" s="144"/>
      <c r="B157" s="123"/>
      <c r="C157" s="123"/>
      <c r="D157" s="123"/>
      <c r="E157" s="123"/>
      <c r="F157" s="123"/>
    </row>
    <row r="158">
      <c r="A158" s="144"/>
      <c r="B158" s="123"/>
      <c r="C158" s="123"/>
      <c r="D158" s="123"/>
      <c r="E158" s="123"/>
      <c r="F158" s="123"/>
    </row>
    <row r="159">
      <c r="A159" s="144"/>
      <c r="B159" s="123"/>
      <c r="C159" s="123"/>
      <c r="D159" s="123"/>
      <c r="E159" s="123"/>
      <c r="F159" s="123"/>
    </row>
    <row r="160">
      <c r="A160" s="144"/>
      <c r="B160" s="123"/>
      <c r="C160" s="123"/>
      <c r="D160" s="123"/>
      <c r="E160" s="123"/>
      <c r="F160" s="123"/>
    </row>
    <row r="161">
      <c r="A161" s="144"/>
      <c r="B161" s="123"/>
      <c r="C161" s="123"/>
      <c r="D161" s="123"/>
      <c r="E161" s="123"/>
      <c r="F161" s="123"/>
    </row>
    <row r="162">
      <c r="A162" s="144"/>
      <c r="B162" s="123"/>
      <c r="C162" s="123"/>
      <c r="D162" s="123"/>
      <c r="E162" s="123"/>
      <c r="F162" s="123"/>
    </row>
    <row r="163">
      <c r="A163" s="144"/>
      <c r="B163" s="123"/>
      <c r="C163" s="123"/>
      <c r="D163" s="123"/>
      <c r="E163" s="123"/>
      <c r="F163" s="123"/>
    </row>
    <row r="164">
      <c r="A164" s="144"/>
      <c r="B164" s="123"/>
      <c r="C164" s="123"/>
      <c r="D164" s="123"/>
      <c r="E164" s="123"/>
      <c r="F164" s="123"/>
    </row>
    <row r="165">
      <c r="A165" s="144"/>
      <c r="B165" s="123"/>
      <c r="C165" s="123"/>
      <c r="D165" s="123"/>
      <c r="E165" s="123"/>
      <c r="F165" s="123"/>
    </row>
    <row r="166">
      <c r="A166" s="144"/>
      <c r="B166" s="123"/>
      <c r="C166" s="123"/>
      <c r="D166" s="123"/>
      <c r="E166" s="123"/>
      <c r="F166" s="123"/>
    </row>
    <row r="167">
      <c r="A167" s="144"/>
      <c r="B167" s="123"/>
      <c r="C167" s="123"/>
      <c r="D167" s="123"/>
      <c r="E167" s="123"/>
      <c r="F167" s="123"/>
    </row>
    <row r="168">
      <c r="A168" s="144"/>
      <c r="B168" s="123"/>
      <c r="C168" s="123"/>
      <c r="D168" s="123"/>
      <c r="E168" s="123"/>
      <c r="F168" s="123"/>
    </row>
    <row r="169">
      <c r="A169" s="144"/>
      <c r="B169" s="123"/>
      <c r="C169" s="123"/>
      <c r="D169" s="123"/>
      <c r="E169" s="123"/>
      <c r="F169" s="123"/>
    </row>
    <row r="170">
      <c r="A170" s="144"/>
      <c r="B170" s="123"/>
      <c r="C170" s="123"/>
      <c r="D170" s="123"/>
      <c r="E170" s="123"/>
      <c r="F170" s="123"/>
    </row>
    <row r="171">
      <c r="A171" s="144"/>
      <c r="B171" s="123"/>
      <c r="C171" s="123"/>
      <c r="D171" s="123"/>
      <c r="E171" s="123"/>
      <c r="F171" s="123"/>
    </row>
    <row r="172">
      <c r="A172" s="144"/>
      <c r="B172" s="123"/>
      <c r="C172" s="123"/>
      <c r="D172" s="123"/>
      <c r="E172" s="123"/>
      <c r="F172" s="123"/>
    </row>
    <row r="173">
      <c r="A173" s="144"/>
      <c r="B173" s="123"/>
      <c r="C173" s="123"/>
      <c r="D173" s="123"/>
      <c r="E173" s="123"/>
      <c r="F173" s="123"/>
    </row>
    <row r="174">
      <c r="A174" s="144"/>
      <c r="B174" s="123"/>
      <c r="C174" s="123"/>
      <c r="D174" s="123"/>
      <c r="E174" s="123"/>
      <c r="F174" s="123"/>
    </row>
    <row r="175">
      <c r="A175" s="144"/>
      <c r="B175" s="123"/>
      <c r="C175" s="123"/>
      <c r="D175" s="123"/>
      <c r="E175" s="123"/>
      <c r="F175" s="123"/>
    </row>
    <row r="176">
      <c r="A176" s="144"/>
      <c r="B176" s="123"/>
      <c r="C176" s="123"/>
      <c r="D176" s="123"/>
      <c r="E176" s="123"/>
      <c r="F176" s="123"/>
    </row>
    <row r="177">
      <c r="A177" s="144"/>
      <c r="B177" s="123"/>
      <c r="C177" s="123"/>
      <c r="D177" s="123"/>
      <c r="E177" s="123"/>
      <c r="F177" s="123"/>
    </row>
    <row r="178">
      <c r="A178" s="144"/>
      <c r="B178" s="123"/>
      <c r="C178" s="123"/>
      <c r="D178" s="123"/>
      <c r="E178" s="123"/>
      <c r="F178" s="123"/>
    </row>
    <row r="179">
      <c r="A179" s="144"/>
      <c r="B179" s="123"/>
      <c r="C179" s="123"/>
      <c r="D179" s="123"/>
      <c r="E179" s="123"/>
      <c r="F179" s="123"/>
    </row>
    <row r="180">
      <c r="A180" s="144"/>
      <c r="B180" s="123"/>
      <c r="C180" s="123"/>
      <c r="D180" s="123"/>
      <c r="E180" s="123"/>
      <c r="F180" s="123"/>
    </row>
    <row r="181">
      <c r="A181" s="144"/>
      <c r="B181" s="123"/>
      <c r="C181" s="123"/>
      <c r="D181" s="123"/>
      <c r="E181" s="123"/>
      <c r="F181" s="123"/>
    </row>
    <row r="182">
      <c r="A182" s="144"/>
      <c r="B182" s="123"/>
      <c r="C182" s="123"/>
      <c r="D182" s="123"/>
      <c r="E182" s="123"/>
      <c r="F182" s="123"/>
    </row>
    <row r="183">
      <c r="A183" s="144"/>
      <c r="B183" s="123"/>
      <c r="C183" s="123"/>
      <c r="D183" s="123"/>
      <c r="E183" s="123"/>
      <c r="F183" s="123"/>
    </row>
    <row r="184">
      <c r="A184" s="144"/>
      <c r="B184" s="123"/>
      <c r="C184" s="123"/>
      <c r="D184" s="123"/>
      <c r="E184" s="123"/>
      <c r="F184" s="123"/>
    </row>
    <row r="185">
      <c r="A185" s="144"/>
      <c r="B185" s="123"/>
      <c r="C185" s="123"/>
      <c r="D185" s="123"/>
      <c r="E185" s="123"/>
      <c r="F185" s="123"/>
    </row>
    <row r="186">
      <c r="A186" s="144"/>
      <c r="B186" s="123"/>
      <c r="C186" s="123"/>
      <c r="D186" s="123"/>
      <c r="E186" s="123"/>
      <c r="F186" s="123"/>
    </row>
    <row r="187">
      <c r="A187" s="144"/>
      <c r="B187" s="123"/>
      <c r="C187" s="123"/>
      <c r="D187" s="123"/>
      <c r="E187" s="123"/>
      <c r="F187" s="123"/>
    </row>
    <row r="188">
      <c r="A188" s="144"/>
      <c r="B188" s="123"/>
      <c r="C188" s="123"/>
      <c r="D188" s="123"/>
      <c r="E188" s="123"/>
      <c r="F188" s="123"/>
    </row>
    <row r="189">
      <c r="A189" s="144"/>
      <c r="B189" s="123"/>
      <c r="C189" s="123"/>
      <c r="D189" s="123"/>
      <c r="E189" s="123"/>
      <c r="F189" s="123"/>
    </row>
    <row r="190">
      <c r="A190" s="144"/>
      <c r="B190" s="123"/>
      <c r="C190" s="123"/>
      <c r="D190" s="123"/>
      <c r="E190" s="123"/>
      <c r="F190" s="123"/>
    </row>
    <row r="191">
      <c r="A191" s="144"/>
      <c r="B191" s="123"/>
      <c r="C191" s="123"/>
      <c r="D191" s="123"/>
      <c r="E191" s="123"/>
      <c r="F191" s="123"/>
    </row>
    <row r="192">
      <c r="A192" s="144"/>
      <c r="B192" s="123"/>
      <c r="C192" s="123"/>
      <c r="D192" s="123"/>
      <c r="E192" s="123"/>
      <c r="F192" s="123"/>
    </row>
    <row r="193">
      <c r="A193" s="144"/>
      <c r="B193" s="123"/>
      <c r="C193" s="123"/>
      <c r="D193" s="123"/>
      <c r="E193" s="123"/>
      <c r="F193" s="123"/>
    </row>
    <row r="194">
      <c r="A194" s="144"/>
      <c r="B194" s="123"/>
      <c r="C194" s="123"/>
      <c r="D194" s="123"/>
      <c r="E194" s="123"/>
      <c r="F194" s="123"/>
    </row>
    <row r="195">
      <c r="A195" s="144"/>
      <c r="B195" s="123"/>
      <c r="C195" s="123"/>
      <c r="D195" s="123"/>
      <c r="E195" s="123"/>
      <c r="F195" s="123"/>
    </row>
    <row r="196">
      <c r="A196" s="144"/>
      <c r="B196" s="123"/>
      <c r="C196" s="123"/>
      <c r="D196" s="123"/>
      <c r="E196" s="123"/>
      <c r="F196" s="123"/>
    </row>
    <row r="197">
      <c r="A197" s="144"/>
      <c r="B197" s="123"/>
      <c r="C197" s="123"/>
      <c r="D197" s="123"/>
      <c r="E197" s="123"/>
      <c r="F197" s="123"/>
    </row>
    <row r="198">
      <c r="A198" s="144"/>
      <c r="B198" s="123"/>
      <c r="C198" s="123"/>
      <c r="D198" s="123"/>
      <c r="E198" s="123"/>
      <c r="F198" s="123"/>
    </row>
    <row r="199">
      <c r="A199" s="144"/>
      <c r="B199" s="123"/>
      <c r="C199" s="123"/>
      <c r="D199" s="123"/>
      <c r="E199" s="123"/>
      <c r="F199" s="123"/>
    </row>
    <row r="200">
      <c r="A200" s="144"/>
      <c r="B200" s="123"/>
      <c r="C200" s="123"/>
      <c r="D200" s="123"/>
      <c r="E200" s="123"/>
      <c r="F200" s="123"/>
    </row>
    <row r="201">
      <c r="A201" s="144"/>
      <c r="B201" s="123"/>
      <c r="C201" s="123"/>
      <c r="D201" s="123"/>
      <c r="E201" s="123"/>
      <c r="F201" s="123"/>
    </row>
    <row r="202">
      <c r="A202" s="144"/>
      <c r="B202" s="123"/>
      <c r="C202" s="123"/>
      <c r="D202" s="123"/>
      <c r="E202" s="123"/>
      <c r="F202" s="123"/>
    </row>
    <row r="203">
      <c r="A203" s="144"/>
      <c r="B203" s="123"/>
      <c r="C203" s="123"/>
      <c r="D203" s="123"/>
      <c r="E203" s="123"/>
      <c r="F203" s="123"/>
    </row>
    <row r="204">
      <c r="A204" s="144"/>
      <c r="B204" s="123"/>
      <c r="C204" s="123"/>
      <c r="D204" s="123"/>
      <c r="E204" s="123"/>
      <c r="F204" s="123"/>
    </row>
    <row r="205">
      <c r="A205" s="144"/>
      <c r="B205" s="123"/>
      <c r="C205" s="123"/>
      <c r="D205" s="123"/>
      <c r="E205" s="123"/>
      <c r="F205" s="123"/>
    </row>
    <row r="206">
      <c r="A206" s="144"/>
      <c r="B206" s="123"/>
      <c r="C206" s="123"/>
      <c r="D206" s="123"/>
      <c r="E206" s="123"/>
      <c r="F206" s="123"/>
    </row>
    <row r="207">
      <c r="A207" s="144"/>
      <c r="B207" s="123"/>
      <c r="C207" s="123"/>
      <c r="D207" s="123"/>
      <c r="E207" s="123"/>
      <c r="F207" s="123"/>
    </row>
    <row r="208">
      <c r="A208" s="144"/>
      <c r="B208" s="123"/>
      <c r="C208" s="123"/>
      <c r="D208" s="123"/>
      <c r="E208" s="123"/>
      <c r="F208" s="123"/>
    </row>
    <row r="209">
      <c r="A209" s="144"/>
      <c r="B209" s="123"/>
      <c r="C209" s="123"/>
      <c r="D209" s="123"/>
      <c r="E209" s="123"/>
      <c r="F209" s="123"/>
    </row>
    <row r="210">
      <c r="A210" s="144"/>
      <c r="B210" s="123"/>
      <c r="C210" s="123"/>
      <c r="D210" s="123"/>
      <c r="E210" s="123"/>
      <c r="F210" s="123"/>
    </row>
    <row r="211">
      <c r="A211" s="144"/>
      <c r="B211" s="123"/>
      <c r="C211" s="123"/>
      <c r="D211" s="123"/>
      <c r="E211" s="123"/>
      <c r="F211" s="123"/>
    </row>
    <row r="212">
      <c r="A212" s="144"/>
      <c r="B212" s="123"/>
      <c r="C212" s="123"/>
      <c r="D212" s="123"/>
      <c r="E212" s="123"/>
      <c r="F212" s="123"/>
    </row>
    <row r="213">
      <c r="A213" s="144"/>
      <c r="B213" s="123"/>
      <c r="C213" s="123"/>
      <c r="D213" s="123"/>
      <c r="E213" s="123"/>
      <c r="F213" s="123"/>
    </row>
    <row r="214">
      <c r="A214" s="144"/>
      <c r="B214" s="123"/>
      <c r="C214" s="123"/>
      <c r="D214" s="123"/>
      <c r="E214" s="123"/>
      <c r="F214" s="123"/>
    </row>
    <row r="215">
      <c r="A215" s="144"/>
      <c r="B215" s="123"/>
      <c r="C215" s="123"/>
      <c r="D215" s="123"/>
      <c r="E215" s="123"/>
      <c r="F215" s="123"/>
    </row>
    <row r="216">
      <c r="A216" s="144"/>
      <c r="B216" s="123"/>
      <c r="C216" s="123"/>
      <c r="D216" s="123"/>
      <c r="E216" s="123"/>
      <c r="F216" s="123"/>
    </row>
    <row r="217">
      <c r="A217" s="144"/>
      <c r="B217" s="123"/>
      <c r="C217" s="123"/>
      <c r="D217" s="123"/>
      <c r="E217" s="123"/>
      <c r="F217" s="123"/>
    </row>
    <row r="218">
      <c r="A218" s="144"/>
      <c r="B218" s="123"/>
      <c r="C218" s="123"/>
      <c r="D218" s="123"/>
      <c r="E218" s="123"/>
      <c r="F218" s="123"/>
    </row>
    <row r="219">
      <c r="A219" s="144"/>
      <c r="B219" s="123"/>
      <c r="C219" s="123"/>
      <c r="D219" s="123"/>
      <c r="E219" s="123"/>
      <c r="F219" s="123"/>
    </row>
    <row r="220">
      <c r="A220" s="144"/>
      <c r="B220" s="123"/>
      <c r="C220" s="123"/>
      <c r="D220" s="123"/>
      <c r="E220" s="123"/>
      <c r="F220" s="123"/>
    </row>
    <row r="221">
      <c r="A221" s="144"/>
      <c r="B221" s="123"/>
      <c r="C221" s="123"/>
      <c r="D221" s="123"/>
      <c r="E221" s="123"/>
      <c r="F221" s="123"/>
    </row>
    <row r="222">
      <c r="A222" s="144"/>
      <c r="B222" s="123"/>
      <c r="C222" s="123"/>
      <c r="D222" s="123"/>
      <c r="E222" s="123"/>
      <c r="F222" s="123"/>
    </row>
    <row r="223">
      <c r="A223" s="144"/>
      <c r="B223" s="123"/>
      <c r="C223" s="123"/>
      <c r="D223" s="123"/>
      <c r="E223" s="123"/>
      <c r="F223" s="123"/>
    </row>
    <row r="224">
      <c r="A224" s="144"/>
      <c r="B224" s="123"/>
      <c r="C224" s="123"/>
      <c r="D224" s="123"/>
      <c r="E224" s="123"/>
      <c r="F224" s="123"/>
    </row>
    <row r="225">
      <c r="A225" s="144"/>
      <c r="B225" s="123"/>
      <c r="C225" s="123"/>
      <c r="D225" s="123"/>
      <c r="E225" s="123"/>
      <c r="F225" s="123"/>
    </row>
    <row r="226">
      <c r="A226" s="144"/>
      <c r="B226" s="123"/>
      <c r="C226" s="123"/>
      <c r="D226" s="123"/>
      <c r="E226" s="123"/>
      <c r="F226" s="123"/>
    </row>
    <row r="227">
      <c r="A227" s="144"/>
      <c r="B227" s="123"/>
      <c r="C227" s="123"/>
      <c r="D227" s="123"/>
      <c r="E227" s="123"/>
      <c r="F227" s="123"/>
    </row>
    <row r="228">
      <c r="A228" s="144"/>
      <c r="B228" s="123"/>
      <c r="C228" s="123"/>
      <c r="D228" s="123"/>
      <c r="E228" s="123"/>
      <c r="F228" s="123"/>
    </row>
    <row r="229">
      <c r="A229" s="144"/>
      <c r="B229" s="123"/>
      <c r="C229" s="123"/>
      <c r="D229" s="123"/>
      <c r="E229" s="123"/>
      <c r="F229" s="123"/>
    </row>
    <row r="230">
      <c r="A230" s="144"/>
      <c r="B230" s="123"/>
      <c r="C230" s="123"/>
      <c r="D230" s="123"/>
      <c r="E230" s="123"/>
      <c r="F230" s="123"/>
    </row>
    <row r="231">
      <c r="A231" s="144"/>
      <c r="B231" s="123"/>
      <c r="C231" s="123"/>
      <c r="D231" s="123"/>
      <c r="E231" s="123"/>
      <c r="F231" s="123"/>
    </row>
    <row r="232">
      <c r="A232" s="144"/>
      <c r="B232" s="123"/>
      <c r="C232" s="123"/>
      <c r="D232" s="123"/>
      <c r="E232" s="123"/>
      <c r="F232" s="123"/>
    </row>
    <row r="233">
      <c r="A233" s="144"/>
      <c r="B233" s="123"/>
      <c r="C233" s="123"/>
      <c r="D233" s="123"/>
      <c r="E233" s="123"/>
      <c r="F233" s="123"/>
    </row>
    <row r="234">
      <c r="A234" s="144"/>
      <c r="B234" s="123"/>
      <c r="C234" s="123"/>
      <c r="D234" s="123"/>
      <c r="E234" s="123"/>
      <c r="F234" s="123"/>
    </row>
    <row r="235">
      <c r="A235" s="144"/>
      <c r="B235" s="123"/>
      <c r="C235" s="123"/>
      <c r="D235" s="123"/>
      <c r="E235" s="123"/>
      <c r="F235" s="123"/>
    </row>
    <row r="236">
      <c r="A236" s="144"/>
      <c r="B236" s="123"/>
      <c r="C236" s="123"/>
      <c r="D236" s="123"/>
      <c r="E236" s="123"/>
      <c r="F236" s="123"/>
    </row>
    <row r="237">
      <c r="A237" s="144"/>
      <c r="B237" s="123"/>
      <c r="C237" s="123"/>
      <c r="D237" s="123"/>
      <c r="E237" s="123"/>
      <c r="F237" s="123"/>
    </row>
    <row r="238">
      <c r="A238" s="144"/>
      <c r="B238" s="123"/>
      <c r="C238" s="123"/>
      <c r="D238" s="123"/>
      <c r="E238" s="123"/>
      <c r="F238" s="123"/>
    </row>
    <row r="239">
      <c r="A239" s="144"/>
      <c r="B239" s="123"/>
      <c r="C239" s="123"/>
      <c r="D239" s="123"/>
      <c r="E239" s="123"/>
      <c r="F239" s="123"/>
    </row>
    <row r="240">
      <c r="A240" s="144"/>
      <c r="B240" s="123"/>
      <c r="C240" s="123"/>
      <c r="D240" s="123"/>
      <c r="E240" s="123"/>
      <c r="F240" s="123"/>
    </row>
    <row r="241">
      <c r="A241" s="144"/>
      <c r="B241" s="123"/>
      <c r="C241" s="123"/>
      <c r="D241" s="123"/>
      <c r="E241" s="123"/>
      <c r="F241" s="123"/>
    </row>
    <row r="242">
      <c r="A242" s="144"/>
      <c r="B242" s="123"/>
      <c r="C242" s="123"/>
      <c r="D242" s="123"/>
      <c r="E242" s="123"/>
      <c r="F242" s="123"/>
    </row>
    <row r="243">
      <c r="A243" s="144"/>
      <c r="B243" s="123"/>
      <c r="C243" s="123"/>
      <c r="D243" s="123"/>
      <c r="E243" s="123"/>
      <c r="F243" s="123"/>
    </row>
    <row r="244">
      <c r="A244" s="144"/>
      <c r="B244" s="123"/>
      <c r="C244" s="123"/>
      <c r="D244" s="123"/>
      <c r="E244" s="123"/>
      <c r="F244" s="123"/>
    </row>
    <row r="245">
      <c r="A245" s="144"/>
      <c r="B245" s="123"/>
      <c r="C245" s="123"/>
      <c r="D245" s="123"/>
      <c r="E245" s="123"/>
      <c r="F245" s="123"/>
    </row>
    <row r="246">
      <c r="A246" s="144"/>
      <c r="B246" s="123"/>
      <c r="C246" s="123"/>
      <c r="D246" s="123"/>
      <c r="E246" s="123"/>
      <c r="F246" s="123"/>
    </row>
    <row r="247">
      <c r="A247" s="144"/>
      <c r="B247" s="123"/>
      <c r="C247" s="123"/>
      <c r="D247" s="123"/>
      <c r="E247" s="123"/>
      <c r="F247" s="123"/>
    </row>
    <row r="248">
      <c r="A248" s="144"/>
      <c r="B248" s="123"/>
      <c r="C248" s="123"/>
      <c r="D248" s="123"/>
      <c r="E248" s="123"/>
      <c r="F248" s="123"/>
    </row>
    <row r="249">
      <c r="A249" s="144"/>
      <c r="B249" s="123"/>
      <c r="C249" s="123"/>
      <c r="D249" s="123"/>
      <c r="E249" s="123"/>
      <c r="F249" s="123"/>
    </row>
    <row r="250">
      <c r="A250" s="144"/>
      <c r="B250" s="123"/>
      <c r="C250" s="123"/>
      <c r="D250" s="123"/>
      <c r="E250" s="123"/>
      <c r="F250" s="123"/>
    </row>
    <row r="251">
      <c r="A251" s="144"/>
      <c r="B251" s="123"/>
      <c r="C251" s="123"/>
      <c r="D251" s="123"/>
      <c r="E251" s="123"/>
      <c r="F251" s="123"/>
    </row>
    <row r="252">
      <c r="A252" s="144"/>
      <c r="B252" s="123"/>
      <c r="C252" s="123"/>
      <c r="D252" s="123"/>
      <c r="E252" s="123"/>
      <c r="F252" s="123"/>
    </row>
    <row r="253">
      <c r="A253" s="144"/>
      <c r="B253" s="123"/>
      <c r="C253" s="123"/>
      <c r="D253" s="123"/>
      <c r="E253" s="123"/>
      <c r="F253" s="123"/>
    </row>
    <row r="254">
      <c r="A254" s="144"/>
      <c r="B254" s="123"/>
      <c r="C254" s="123"/>
      <c r="D254" s="123"/>
      <c r="E254" s="123"/>
      <c r="F254" s="123"/>
    </row>
    <row r="255">
      <c r="A255" s="144"/>
      <c r="B255" s="123"/>
      <c r="C255" s="123"/>
      <c r="D255" s="123"/>
      <c r="E255" s="123"/>
      <c r="F255" s="123"/>
    </row>
    <row r="256">
      <c r="A256" s="144"/>
      <c r="B256" s="123"/>
      <c r="C256" s="123"/>
      <c r="D256" s="123"/>
      <c r="E256" s="123"/>
      <c r="F256" s="123"/>
    </row>
    <row r="257">
      <c r="A257" s="144"/>
      <c r="B257" s="123"/>
      <c r="C257" s="123"/>
      <c r="D257" s="123"/>
      <c r="E257" s="123"/>
      <c r="F257" s="123"/>
    </row>
    <row r="258">
      <c r="A258" s="144"/>
      <c r="B258" s="123"/>
      <c r="C258" s="123"/>
      <c r="D258" s="123"/>
      <c r="E258" s="123"/>
      <c r="F258" s="123"/>
    </row>
    <row r="259">
      <c r="A259" s="144"/>
      <c r="B259" s="123"/>
      <c r="C259" s="123"/>
      <c r="D259" s="123"/>
      <c r="E259" s="123"/>
      <c r="F259" s="123"/>
    </row>
    <row r="260">
      <c r="A260" s="144"/>
      <c r="B260" s="123"/>
      <c r="C260" s="123"/>
      <c r="D260" s="123"/>
      <c r="E260" s="123"/>
      <c r="F260" s="123"/>
    </row>
    <row r="261">
      <c r="A261" s="144"/>
      <c r="B261" s="123"/>
      <c r="C261" s="123"/>
      <c r="D261" s="123"/>
      <c r="E261" s="123"/>
      <c r="F261" s="123"/>
    </row>
    <row r="262">
      <c r="A262" s="144"/>
      <c r="B262" s="123"/>
      <c r="C262" s="123"/>
      <c r="D262" s="123"/>
      <c r="E262" s="123"/>
      <c r="F262" s="123"/>
    </row>
    <row r="263">
      <c r="A263" s="144"/>
      <c r="B263" s="123"/>
      <c r="C263" s="123"/>
      <c r="D263" s="123"/>
      <c r="E263" s="123"/>
      <c r="F263" s="123"/>
    </row>
    <row r="264">
      <c r="A264" s="144"/>
      <c r="B264" s="123"/>
      <c r="C264" s="123"/>
      <c r="D264" s="123"/>
      <c r="E264" s="123"/>
      <c r="F264" s="123"/>
    </row>
    <row r="265">
      <c r="A265" s="144"/>
      <c r="B265" s="123"/>
      <c r="C265" s="123"/>
      <c r="D265" s="123"/>
      <c r="E265" s="123"/>
      <c r="F265" s="123"/>
    </row>
    <row r="266">
      <c r="A266" s="144"/>
      <c r="B266" s="123"/>
      <c r="C266" s="123"/>
      <c r="D266" s="123"/>
      <c r="E266" s="123"/>
      <c r="F266" s="123"/>
    </row>
    <row r="267">
      <c r="A267" s="144"/>
      <c r="B267" s="123"/>
      <c r="C267" s="123"/>
      <c r="D267" s="123"/>
      <c r="E267" s="123"/>
      <c r="F267" s="123"/>
    </row>
    <row r="268">
      <c r="A268" s="144"/>
      <c r="B268" s="123"/>
      <c r="C268" s="123"/>
      <c r="D268" s="123"/>
      <c r="E268" s="123"/>
      <c r="F268" s="123"/>
    </row>
    <row r="269">
      <c r="A269" s="144"/>
      <c r="B269" s="123"/>
      <c r="C269" s="123"/>
      <c r="D269" s="123"/>
      <c r="E269" s="123"/>
      <c r="F269" s="123"/>
    </row>
    <row r="270">
      <c r="A270" s="144"/>
      <c r="B270" s="123"/>
      <c r="C270" s="123"/>
      <c r="D270" s="123"/>
      <c r="E270" s="123"/>
      <c r="F270" s="123"/>
    </row>
    <row r="271">
      <c r="A271" s="144"/>
      <c r="B271" s="123"/>
      <c r="C271" s="123"/>
      <c r="D271" s="123"/>
      <c r="E271" s="123"/>
      <c r="F271" s="123"/>
    </row>
    <row r="272">
      <c r="A272" s="144"/>
      <c r="B272" s="123"/>
      <c r="C272" s="123"/>
      <c r="D272" s="123"/>
      <c r="E272" s="123"/>
      <c r="F272" s="123"/>
    </row>
    <row r="273">
      <c r="A273" s="144"/>
      <c r="B273" s="123"/>
      <c r="C273" s="123"/>
      <c r="D273" s="123"/>
      <c r="E273" s="123"/>
      <c r="F273" s="123"/>
    </row>
    <row r="274">
      <c r="A274" s="144"/>
      <c r="B274" s="123"/>
      <c r="C274" s="123"/>
      <c r="D274" s="123"/>
      <c r="E274" s="123"/>
      <c r="F274" s="123"/>
    </row>
    <row r="275">
      <c r="A275" s="144"/>
      <c r="B275" s="123"/>
      <c r="C275" s="123"/>
      <c r="D275" s="123"/>
      <c r="E275" s="123"/>
      <c r="F275" s="123"/>
    </row>
    <row r="276">
      <c r="A276" s="144"/>
      <c r="B276" s="123"/>
      <c r="C276" s="123"/>
      <c r="D276" s="123"/>
      <c r="E276" s="123"/>
      <c r="F276" s="123"/>
    </row>
    <row r="277">
      <c r="A277" s="144"/>
      <c r="B277" s="123"/>
      <c r="C277" s="123"/>
      <c r="D277" s="123"/>
      <c r="E277" s="123"/>
      <c r="F277" s="123"/>
    </row>
    <row r="278">
      <c r="A278" s="144"/>
      <c r="B278" s="123"/>
      <c r="C278" s="123"/>
      <c r="D278" s="123"/>
      <c r="E278" s="123"/>
      <c r="F278" s="123"/>
    </row>
    <row r="279">
      <c r="A279" s="144"/>
      <c r="B279" s="123"/>
      <c r="C279" s="123"/>
      <c r="D279" s="123"/>
      <c r="E279" s="123"/>
      <c r="F279" s="123"/>
    </row>
    <row r="280">
      <c r="A280" s="144"/>
      <c r="B280" s="123"/>
      <c r="C280" s="123"/>
      <c r="D280" s="123"/>
      <c r="E280" s="123"/>
      <c r="F280" s="123"/>
    </row>
    <row r="281">
      <c r="A281" s="144"/>
      <c r="B281" s="123"/>
      <c r="C281" s="123"/>
      <c r="D281" s="123"/>
      <c r="E281" s="123"/>
      <c r="F281" s="123"/>
    </row>
    <row r="282">
      <c r="A282" s="144"/>
      <c r="B282" s="123"/>
      <c r="C282" s="123"/>
      <c r="D282" s="123"/>
      <c r="E282" s="123"/>
      <c r="F282" s="123"/>
    </row>
    <row r="283">
      <c r="A283" s="144"/>
      <c r="B283" s="123"/>
      <c r="C283" s="123"/>
      <c r="D283" s="123"/>
      <c r="E283" s="123"/>
      <c r="F283" s="123"/>
    </row>
    <row r="284">
      <c r="A284" s="144"/>
      <c r="B284" s="123"/>
      <c r="C284" s="123"/>
      <c r="D284" s="123"/>
      <c r="E284" s="123"/>
      <c r="F284" s="123"/>
    </row>
    <row r="285">
      <c r="A285" s="144"/>
      <c r="B285" s="123"/>
      <c r="C285" s="123"/>
      <c r="D285" s="123"/>
      <c r="E285" s="123"/>
      <c r="F285" s="123"/>
    </row>
    <row r="286">
      <c r="A286" s="144"/>
      <c r="B286" s="123"/>
      <c r="C286" s="123"/>
      <c r="D286" s="123"/>
      <c r="E286" s="123"/>
      <c r="F286" s="123"/>
    </row>
    <row r="287">
      <c r="A287" s="144"/>
      <c r="B287" s="123"/>
      <c r="C287" s="123"/>
      <c r="D287" s="123"/>
      <c r="E287" s="123"/>
      <c r="F287" s="123"/>
    </row>
    <row r="288">
      <c r="A288" s="144"/>
      <c r="B288" s="123"/>
      <c r="C288" s="123"/>
      <c r="D288" s="123"/>
      <c r="E288" s="123"/>
      <c r="F288" s="123"/>
    </row>
    <row r="289">
      <c r="A289" s="144"/>
      <c r="B289" s="123"/>
      <c r="C289" s="123"/>
      <c r="D289" s="123"/>
      <c r="E289" s="123"/>
      <c r="F289" s="123"/>
    </row>
    <row r="290">
      <c r="A290" s="144"/>
      <c r="B290" s="123"/>
      <c r="C290" s="123"/>
      <c r="D290" s="123"/>
      <c r="E290" s="123"/>
      <c r="F290" s="123"/>
    </row>
    <row r="291">
      <c r="A291" s="144"/>
      <c r="B291" s="123"/>
      <c r="C291" s="123"/>
      <c r="D291" s="123"/>
      <c r="E291" s="123"/>
      <c r="F291" s="123"/>
    </row>
    <row r="292">
      <c r="A292" s="144"/>
      <c r="B292" s="123"/>
      <c r="C292" s="123"/>
      <c r="D292" s="123"/>
      <c r="E292" s="123"/>
      <c r="F292" s="123"/>
    </row>
    <row r="293">
      <c r="A293" s="144"/>
      <c r="B293" s="123"/>
      <c r="C293" s="123"/>
      <c r="D293" s="123"/>
      <c r="E293" s="123"/>
      <c r="F293" s="123"/>
    </row>
    <row r="294">
      <c r="A294" s="144"/>
      <c r="B294" s="123"/>
      <c r="C294" s="123"/>
      <c r="D294" s="123"/>
      <c r="E294" s="123"/>
      <c r="F294" s="123"/>
    </row>
    <row r="295">
      <c r="A295" s="144"/>
      <c r="B295" s="123"/>
      <c r="C295" s="123"/>
      <c r="D295" s="123"/>
      <c r="E295" s="123"/>
      <c r="F295" s="123"/>
    </row>
    <row r="296">
      <c r="A296" s="144"/>
      <c r="B296" s="123"/>
      <c r="C296" s="123"/>
      <c r="D296" s="123"/>
      <c r="E296" s="123"/>
      <c r="F296" s="123"/>
    </row>
    <row r="297">
      <c r="A297" s="144"/>
      <c r="B297" s="123"/>
      <c r="C297" s="123"/>
      <c r="D297" s="123"/>
      <c r="E297" s="123"/>
      <c r="F297" s="123"/>
    </row>
    <row r="298">
      <c r="A298" s="144"/>
      <c r="B298" s="123"/>
      <c r="C298" s="123"/>
      <c r="D298" s="123"/>
      <c r="E298" s="123"/>
      <c r="F298" s="123"/>
    </row>
    <row r="299">
      <c r="A299" s="144"/>
      <c r="B299" s="123"/>
      <c r="C299" s="123"/>
      <c r="D299" s="123"/>
      <c r="E299" s="123"/>
      <c r="F299" s="123"/>
    </row>
    <row r="300">
      <c r="A300" s="144"/>
      <c r="B300" s="123"/>
      <c r="C300" s="123"/>
      <c r="D300" s="123"/>
      <c r="E300" s="123"/>
      <c r="F300" s="123"/>
    </row>
    <row r="301">
      <c r="A301" s="144"/>
      <c r="B301" s="123"/>
      <c r="C301" s="123"/>
      <c r="D301" s="123"/>
      <c r="E301" s="123"/>
      <c r="F301" s="123"/>
    </row>
    <row r="302">
      <c r="A302" s="144"/>
      <c r="B302" s="123"/>
      <c r="C302" s="123"/>
      <c r="D302" s="123"/>
      <c r="E302" s="123"/>
      <c r="F302" s="123"/>
    </row>
    <row r="303">
      <c r="A303" s="144"/>
      <c r="B303" s="123"/>
      <c r="C303" s="123"/>
      <c r="D303" s="123"/>
      <c r="E303" s="123"/>
      <c r="F303" s="123"/>
    </row>
    <row r="304">
      <c r="A304" s="144"/>
      <c r="B304" s="123"/>
      <c r="C304" s="123"/>
      <c r="D304" s="123"/>
      <c r="E304" s="123"/>
      <c r="F304" s="123"/>
    </row>
    <row r="305">
      <c r="A305" s="144"/>
      <c r="B305" s="123"/>
      <c r="C305" s="123"/>
      <c r="D305" s="123"/>
      <c r="E305" s="123"/>
      <c r="F305" s="123"/>
    </row>
    <row r="306">
      <c r="A306" s="144"/>
      <c r="B306" s="123"/>
      <c r="C306" s="123"/>
      <c r="D306" s="123"/>
      <c r="E306" s="123"/>
      <c r="F306" s="123"/>
    </row>
    <row r="307">
      <c r="A307" s="144"/>
      <c r="B307" s="123"/>
      <c r="C307" s="123"/>
      <c r="D307" s="123"/>
      <c r="E307" s="123"/>
      <c r="F307" s="123"/>
    </row>
    <row r="308">
      <c r="A308" s="144"/>
      <c r="B308" s="123"/>
      <c r="C308" s="123"/>
      <c r="D308" s="123"/>
      <c r="E308" s="123"/>
      <c r="F308" s="123"/>
    </row>
    <row r="309">
      <c r="A309" s="144"/>
      <c r="B309" s="123"/>
      <c r="C309" s="123"/>
      <c r="D309" s="123"/>
      <c r="E309" s="123"/>
      <c r="F309" s="123"/>
    </row>
    <row r="310">
      <c r="A310" s="144"/>
      <c r="B310" s="123"/>
      <c r="C310" s="123"/>
      <c r="D310" s="123"/>
      <c r="E310" s="123"/>
      <c r="F310" s="123"/>
    </row>
    <row r="311">
      <c r="A311" s="144"/>
      <c r="B311" s="123"/>
      <c r="C311" s="123"/>
      <c r="D311" s="123"/>
      <c r="E311" s="123"/>
      <c r="F311" s="123"/>
    </row>
    <row r="312">
      <c r="A312" s="144"/>
      <c r="B312" s="123"/>
      <c r="C312" s="123"/>
      <c r="D312" s="123"/>
      <c r="E312" s="123"/>
      <c r="F312" s="123"/>
    </row>
    <row r="313">
      <c r="A313" s="144"/>
      <c r="B313" s="123"/>
      <c r="C313" s="123"/>
      <c r="D313" s="123"/>
      <c r="E313" s="123"/>
      <c r="F313" s="123"/>
    </row>
    <row r="314">
      <c r="A314" s="144"/>
      <c r="B314" s="123"/>
      <c r="C314" s="123"/>
      <c r="D314" s="123"/>
      <c r="E314" s="123"/>
      <c r="F314" s="123"/>
    </row>
    <row r="315">
      <c r="A315" s="144"/>
      <c r="B315" s="123"/>
      <c r="C315" s="123"/>
      <c r="D315" s="123"/>
      <c r="E315" s="123"/>
      <c r="F315" s="123"/>
    </row>
    <row r="316">
      <c r="A316" s="144"/>
      <c r="B316" s="123"/>
      <c r="C316" s="123"/>
      <c r="D316" s="123"/>
      <c r="E316" s="123"/>
      <c r="F316" s="123"/>
    </row>
    <row r="317">
      <c r="A317" s="144"/>
      <c r="B317" s="123"/>
      <c r="C317" s="123"/>
      <c r="D317" s="123"/>
      <c r="E317" s="123"/>
      <c r="F317" s="123"/>
    </row>
    <row r="318">
      <c r="A318" s="144"/>
      <c r="B318" s="123"/>
      <c r="C318" s="123"/>
      <c r="D318" s="123"/>
      <c r="E318" s="123"/>
      <c r="F318" s="123"/>
    </row>
    <row r="319">
      <c r="A319" s="144"/>
      <c r="B319" s="123"/>
      <c r="C319" s="123"/>
      <c r="D319" s="123"/>
      <c r="E319" s="123"/>
      <c r="F319" s="123"/>
    </row>
    <row r="320">
      <c r="A320" s="144"/>
      <c r="B320" s="123"/>
      <c r="C320" s="123"/>
      <c r="D320" s="123"/>
      <c r="E320" s="123"/>
      <c r="F320" s="123"/>
    </row>
    <row r="321">
      <c r="A321" s="144"/>
      <c r="B321" s="123"/>
      <c r="C321" s="123"/>
      <c r="D321" s="123"/>
      <c r="E321" s="123"/>
      <c r="F321" s="123"/>
    </row>
    <row r="322">
      <c r="A322" s="144"/>
      <c r="B322" s="123"/>
      <c r="C322" s="123"/>
      <c r="D322" s="123"/>
      <c r="E322" s="123"/>
      <c r="F322" s="123"/>
    </row>
    <row r="323">
      <c r="A323" s="144"/>
      <c r="B323" s="123"/>
      <c r="C323" s="123"/>
      <c r="D323" s="123"/>
      <c r="E323" s="123"/>
      <c r="F323" s="123"/>
    </row>
    <row r="324">
      <c r="A324" s="144"/>
      <c r="B324" s="123"/>
      <c r="C324" s="123"/>
      <c r="D324" s="123"/>
      <c r="E324" s="123"/>
      <c r="F324" s="123"/>
    </row>
    <row r="325">
      <c r="A325" s="144"/>
      <c r="B325" s="123"/>
      <c r="C325" s="123"/>
      <c r="D325" s="123"/>
      <c r="E325" s="123"/>
      <c r="F325" s="123"/>
    </row>
    <row r="326">
      <c r="A326" s="144"/>
      <c r="B326" s="123"/>
      <c r="C326" s="123"/>
      <c r="D326" s="123"/>
      <c r="E326" s="123"/>
      <c r="F326" s="123"/>
    </row>
    <row r="327">
      <c r="A327" s="144"/>
      <c r="B327" s="123"/>
      <c r="C327" s="123"/>
      <c r="D327" s="123"/>
      <c r="E327" s="123"/>
      <c r="F327" s="123"/>
    </row>
    <row r="328">
      <c r="A328" s="144"/>
      <c r="B328" s="123"/>
      <c r="C328" s="123"/>
      <c r="D328" s="123"/>
      <c r="E328" s="123"/>
      <c r="F328" s="123"/>
    </row>
    <row r="329">
      <c r="A329" s="144"/>
      <c r="B329" s="123"/>
      <c r="C329" s="123"/>
      <c r="D329" s="123"/>
      <c r="E329" s="123"/>
      <c r="F329" s="123"/>
    </row>
    <row r="330">
      <c r="A330" s="144"/>
      <c r="B330" s="123"/>
      <c r="C330" s="123"/>
      <c r="D330" s="123"/>
      <c r="E330" s="123"/>
      <c r="F330" s="123"/>
    </row>
    <row r="331">
      <c r="A331" s="144"/>
      <c r="B331" s="123"/>
      <c r="C331" s="123"/>
      <c r="D331" s="123"/>
      <c r="E331" s="123"/>
      <c r="F331" s="123"/>
    </row>
    <row r="332">
      <c r="A332" s="144"/>
      <c r="B332" s="123"/>
      <c r="C332" s="123"/>
      <c r="D332" s="123"/>
      <c r="E332" s="123"/>
      <c r="F332" s="123"/>
    </row>
    <row r="333">
      <c r="A333" s="144"/>
      <c r="B333" s="123"/>
      <c r="C333" s="123"/>
      <c r="D333" s="123"/>
      <c r="E333" s="123"/>
      <c r="F333" s="123"/>
    </row>
    <row r="334">
      <c r="A334" s="144"/>
      <c r="B334" s="123"/>
      <c r="C334" s="123"/>
      <c r="D334" s="123"/>
      <c r="E334" s="123"/>
      <c r="F334" s="123"/>
    </row>
    <row r="335">
      <c r="A335" s="144"/>
      <c r="B335" s="123"/>
      <c r="C335" s="123"/>
      <c r="D335" s="123"/>
      <c r="E335" s="123"/>
      <c r="F335" s="123"/>
    </row>
    <row r="336">
      <c r="A336" s="144"/>
      <c r="B336" s="123"/>
      <c r="C336" s="123"/>
      <c r="D336" s="123"/>
      <c r="E336" s="123"/>
      <c r="F336" s="123"/>
    </row>
    <row r="337">
      <c r="A337" s="144"/>
      <c r="B337" s="123"/>
      <c r="C337" s="123"/>
      <c r="D337" s="123"/>
      <c r="E337" s="123"/>
      <c r="F337" s="123"/>
    </row>
    <row r="338">
      <c r="A338" s="144"/>
      <c r="B338" s="123"/>
      <c r="C338" s="123"/>
      <c r="D338" s="123"/>
      <c r="E338" s="123"/>
      <c r="F338" s="123"/>
    </row>
    <row r="339">
      <c r="A339" s="144"/>
      <c r="B339" s="123"/>
      <c r="C339" s="123"/>
      <c r="D339" s="123"/>
      <c r="E339" s="123"/>
      <c r="F339" s="123"/>
    </row>
    <row r="340">
      <c r="A340" s="144"/>
      <c r="B340" s="123"/>
      <c r="C340" s="123"/>
      <c r="D340" s="123"/>
      <c r="E340" s="123"/>
      <c r="F340" s="123"/>
    </row>
    <row r="341">
      <c r="A341" s="144"/>
      <c r="B341" s="123"/>
      <c r="C341" s="123"/>
      <c r="D341" s="123"/>
      <c r="E341" s="123"/>
      <c r="F341" s="123"/>
    </row>
    <row r="342">
      <c r="A342" s="144"/>
      <c r="B342" s="123"/>
      <c r="C342" s="123"/>
      <c r="D342" s="123"/>
      <c r="E342" s="123"/>
      <c r="F342" s="123"/>
    </row>
    <row r="343">
      <c r="A343" s="144"/>
      <c r="B343" s="123"/>
      <c r="C343" s="123"/>
      <c r="D343" s="123"/>
      <c r="E343" s="123"/>
      <c r="F343" s="123"/>
    </row>
    <row r="344">
      <c r="A344" s="144"/>
      <c r="B344" s="123"/>
      <c r="C344" s="123"/>
      <c r="D344" s="123"/>
      <c r="E344" s="123"/>
      <c r="F344" s="123"/>
    </row>
    <row r="345">
      <c r="A345" s="144"/>
      <c r="B345" s="123"/>
      <c r="C345" s="123"/>
      <c r="D345" s="123"/>
      <c r="E345" s="123"/>
      <c r="F345" s="123"/>
    </row>
    <row r="346">
      <c r="A346" s="144"/>
      <c r="B346" s="123"/>
      <c r="C346" s="123"/>
      <c r="D346" s="123"/>
      <c r="E346" s="123"/>
      <c r="F346" s="123"/>
    </row>
    <row r="347">
      <c r="A347" s="144"/>
      <c r="B347" s="123"/>
      <c r="C347" s="123"/>
      <c r="D347" s="123"/>
      <c r="E347" s="123"/>
      <c r="F347" s="123"/>
    </row>
    <row r="348">
      <c r="A348" s="144"/>
      <c r="B348" s="123"/>
      <c r="C348" s="123"/>
      <c r="D348" s="123"/>
      <c r="E348" s="123"/>
      <c r="F348" s="123"/>
    </row>
    <row r="349">
      <c r="A349" s="144"/>
      <c r="B349" s="123"/>
      <c r="C349" s="123"/>
      <c r="D349" s="123"/>
      <c r="E349" s="123"/>
      <c r="F349" s="123"/>
    </row>
    <row r="350">
      <c r="A350" s="144"/>
      <c r="B350" s="123"/>
      <c r="C350" s="123"/>
      <c r="D350" s="123"/>
      <c r="E350" s="123"/>
      <c r="F350" s="123"/>
    </row>
    <row r="351">
      <c r="A351" s="144"/>
      <c r="B351" s="123"/>
      <c r="C351" s="123"/>
      <c r="D351" s="123"/>
      <c r="E351" s="123"/>
      <c r="F351" s="123"/>
    </row>
    <row r="352">
      <c r="A352" s="144"/>
      <c r="B352" s="123"/>
      <c r="C352" s="123"/>
      <c r="D352" s="123"/>
      <c r="E352" s="123"/>
      <c r="F352" s="123"/>
    </row>
    <row r="353">
      <c r="A353" s="144"/>
      <c r="B353" s="123"/>
      <c r="C353" s="123"/>
      <c r="D353" s="123"/>
      <c r="E353" s="123"/>
      <c r="F353" s="123"/>
    </row>
    <row r="354">
      <c r="A354" s="144"/>
      <c r="B354" s="123"/>
      <c r="C354" s="123"/>
      <c r="D354" s="123"/>
      <c r="E354" s="123"/>
      <c r="F354" s="123"/>
    </row>
    <row r="355">
      <c r="A355" s="144"/>
      <c r="B355" s="123"/>
      <c r="C355" s="123"/>
      <c r="D355" s="123"/>
      <c r="E355" s="123"/>
      <c r="F355" s="123"/>
    </row>
    <row r="356">
      <c r="A356" s="144"/>
      <c r="B356" s="123"/>
      <c r="C356" s="123"/>
      <c r="D356" s="123"/>
      <c r="E356" s="123"/>
      <c r="F356" s="123"/>
    </row>
    <row r="357">
      <c r="A357" s="144"/>
      <c r="B357" s="123"/>
      <c r="C357" s="123"/>
      <c r="D357" s="123"/>
      <c r="E357" s="123"/>
      <c r="F357" s="123"/>
    </row>
    <row r="358">
      <c r="A358" s="144"/>
      <c r="B358" s="123"/>
      <c r="C358" s="123"/>
      <c r="D358" s="123"/>
      <c r="E358" s="123"/>
      <c r="F358" s="123"/>
    </row>
    <row r="359">
      <c r="A359" s="144"/>
      <c r="B359" s="123"/>
      <c r="C359" s="123"/>
      <c r="D359" s="123"/>
      <c r="E359" s="123"/>
      <c r="F359" s="123"/>
    </row>
    <row r="360">
      <c r="A360" s="144"/>
      <c r="B360" s="123"/>
      <c r="C360" s="123"/>
      <c r="D360" s="123"/>
      <c r="E360" s="123"/>
      <c r="F360" s="123"/>
    </row>
    <row r="361">
      <c r="A361" s="144"/>
      <c r="B361" s="123"/>
      <c r="C361" s="123"/>
      <c r="D361" s="123"/>
      <c r="E361" s="123"/>
      <c r="F361" s="123"/>
    </row>
    <row r="362">
      <c r="A362" s="144"/>
      <c r="B362" s="123"/>
      <c r="C362" s="123"/>
      <c r="D362" s="123"/>
      <c r="E362" s="123"/>
      <c r="F362" s="123"/>
    </row>
    <row r="363">
      <c r="A363" s="144"/>
      <c r="B363" s="123"/>
      <c r="C363" s="123"/>
      <c r="D363" s="123"/>
      <c r="E363" s="123"/>
      <c r="F363" s="123"/>
    </row>
    <row r="364">
      <c r="A364" s="144"/>
      <c r="B364" s="123"/>
      <c r="C364" s="123"/>
      <c r="D364" s="123"/>
      <c r="E364" s="123"/>
      <c r="F364" s="123"/>
    </row>
    <row r="365">
      <c r="A365" s="144"/>
      <c r="B365" s="123"/>
      <c r="C365" s="123"/>
      <c r="D365" s="123"/>
      <c r="E365" s="123"/>
      <c r="F365" s="123"/>
    </row>
    <row r="366">
      <c r="A366" s="144"/>
      <c r="B366" s="123"/>
      <c r="C366" s="123"/>
      <c r="D366" s="123"/>
      <c r="E366" s="123"/>
      <c r="F366" s="123"/>
    </row>
    <row r="367">
      <c r="A367" s="144"/>
      <c r="B367" s="123"/>
      <c r="C367" s="123"/>
      <c r="D367" s="123"/>
      <c r="E367" s="123"/>
      <c r="F367" s="123"/>
    </row>
    <row r="368">
      <c r="A368" s="144"/>
      <c r="B368" s="123"/>
      <c r="C368" s="123"/>
      <c r="D368" s="123"/>
      <c r="E368" s="123"/>
      <c r="F368" s="123"/>
    </row>
    <row r="369">
      <c r="A369" s="144"/>
      <c r="B369" s="123"/>
      <c r="C369" s="123"/>
      <c r="D369" s="123"/>
      <c r="E369" s="123"/>
      <c r="F369" s="123"/>
    </row>
    <row r="370">
      <c r="A370" s="144"/>
      <c r="B370" s="123"/>
      <c r="C370" s="123"/>
      <c r="D370" s="123"/>
      <c r="E370" s="123"/>
      <c r="F370" s="123"/>
    </row>
    <row r="371">
      <c r="A371" s="144"/>
      <c r="B371" s="123"/>
      <c r="C371" s="123"/>
      <c r="D371" s="123"/>
      <c r="E371" s="123"/>
      <c r="F371" s="123"/>
    </row>
    <row r="372">
      <c r="A372" s="144"/>
      <c r="B372" s="123"/>
      <c r="C372" s="123"/>
      <c r="D372" s="123"/>
      <c r="E372" s="123"/>
      <c r="F372" s="123"/>
    </row>
    <row r="373">
      <c r="A373" s="144"/>
      <c r="B373" s="123"/>
      <c r="C373" s="123"/>
      <c r="D373" s="123"/>
      <c r="E373" s="123"/>
      <c r="F373" s="123"/>
    </row>
    <row r="374">
      <c r="A374" s="144"/>
      <c r="B374" s="123"/>
      <c r="C374" s="123"/>
      <c r="D374" s="123"/>
      <c r="E374" s="123"/>
      <c r="F374" s="123"/>
    </row>
    <row r="375">
      <c r="A375" s="144"/>
      <c r="B375" s="123"/>
      <c r="C375" s="123"/>
      <c r="D375" s="123"/>
      <c r="E375" s="123"/>
      <c r="F375" s="123"/>
    </row>
    <row r="376">
      <c r="A376" s="144"/>
      <c r="B376" s="123"/>
      <c r="C376" s="123"/>
      <c r="D376" s="123"/>
      <c r="E376" s="123"/>
      <c r="F376" s="123"/>
    </row>
    <row r="377">
      <c r="A377" s="144"/>
      <c r="B377" s="123"/>
      <c r="C377" s="123"/>
      <c r="D377" s="123"/>
      <c r="E377" s="123"/>
      <c r="F377" s="123"/>
    </row>
    <row r="378">
      <c r="A378" s="144"/>
      <c r="B378" s="123"/>
      <c r="C378" s="123"/>
      <c r="D378" s="123"/>
      <c r="E378" s="123"/>
      <c r="F378" s="123"/>
    </row>
    <row r="379">
      <c r="A379" s="144"/>
      <c r="B379" s="123"/>
      <c r="C379" s="123"/>
      <c r="D379" s="123"/>
      <c r="E379" s="123"/>
      <c r="F379" s="123"/>
    </row>
    <row r="380">
      <c r="A380" s="144"/>
      <c r="B380" s="123"/>
      <c r="C380" s="123"/>
      <c r="D380" s="123"/>
      <c r="E380" s="123"/>
      <c r="F380" s="123"/>
    </row>
    <row r="381">
      <c r="A381" s="144"/>
      <c r="B381" s="123"/>
      <c r="C381" s="123"/>
      <c r="D381" s="123"/>
      <c r="E381" s="123"/>
      <c r="F381" s="123"/>
    </row>
    <row r="382">
      <c r="A382" s="144"/>
      <c r="B382" s="123"/>
      <c r="C382" s="123"/>
      <c r="D382" s="123"/>
      <c r="E382" s="123"/>
      <c r="F382" s="123"/>
    </row>
    <row r="383">
      <c r="A383" s="144"/>
      <c r="B383" s="123"/>
      <c r="C383" s="123"/>
      <c r="D383" s="123"/>
      <c r="E383" s="123"/>
      <c r="F383" s="123"/>
    </row>
    <row r="384">
      <c r="A384" s="144"/>
      <c r="B384" s="123"/>
      <c r="C384" s="123"/>
      <c r="D384" s="123"/>
      <c r="E384" s="123"/>
      <c r="F384" s="123"/>
    </row>
    <row r="385">
      <c r="A385" s="144"/>
      <c r="B385" s="123"/>
      <c r="C385" s="123"/>
      <c r="D385" s="123"/>
      <c r="E385" s="123"/>
      <c r="F385" s="123"/>
    </row>
    <row r="386">
      <c r="A386" s="144"/>
      <c r="B386" s="123"/>
      <c r="C386" s="123"/>
      <c r="D386" s="123"/>
      <c r="E386" s="123"/>
      <c r="F386" s="123"/>
    </row>
    <row r="387">
      <c r="A387" s="144"/>
      <c r="B387" s="123"/>
      <c r="C387" s="123"/>
      <c r="D387" s="123"/>
      <c r="E387" s="123"/>
      <c r="F387" s="123"/>
    </row>
    <row r="388">
      <c r="A388" s="144"/>
      <c r="B388" s="123"/>
      <c r="C388" s="123"/>
      <c r="D388" s="123"/>
      <c r="E388" s="123"/>
      <c r="F388" s="123"/>
    </row>
    <row r="389">
      <c r="A389" s="144"/>
      <c r="B389" s="123"/>
      <c r="C389" s="123"/>
      <c r="D389" s="123"/>
      <c r="E389" s="123"/>
      <c r="F389" s="123"/>
    </row>
    <row r="390">
      <c r="A390" s="144"/>
      <c r="B390" s="123"/>
      <c r="C390" s="123"/>
      <c r="D390" s="123"/>
      <c r="E390" s="123"/>
      <c r="F390" s="123"/>
    </row>
    <row r="391">
      <c r="A391" s="144"/>
      <c r="B391" s="123"/>
      <c r="C391" s="123"/>
      <c r="D391" s="123"/>
      <c r="E391" s="123"/>
      <c r="F391" s="123"/>
    </row>
    <row r="392">
      <c r="A392" s="144"/>
      <c r="B392" s="123"/>
      <c r="C392" s="123"/>
      <c r="D392" s="123"/>
      <c r="E392" s="123"/>
      <c r="F392" s="123"/>
    </row>
    <row r="393">
      <c r="A393" s="144"/>
      <c r="B393" s="123"/>
      <c r="C393" s="123"/>
      <c r="D393" s="123"/>
      <c r="E393" s="123"/>
      <c r="F393" s="123"/>
    </row>
    <row r="394">
      <c r="A394" s="144"/>
      <c r="B394" s="123"/>
      <c r="C394" s="123"/>
      <c r="D394" s="123"/>
      <c r="E394" s="123"/>
      <c r="F394" s="123"/>
    </row>
    <row r="395">
      <c r="A395" s="144"/>
      <c r="B395" s="123"/>
      <c r="C395" s="123"/>
      <c r="D395" s="123"/>
      <c r="E395" s="123"/>
      <c r="F395" s="123"/>
    </row>
    <row r="396">
      <c r="A396" s="144"/>
      <c r="B396" s="123"/>
      <c r="C396" s="123"/>
      <c r="D396" s="123"/>
      <c r="E396" s="123"/>
      <c r="F396" s="123"/>
    </row>
    <row r="397">
      <c r="A397" s="144"/>
      <c r="B397" s="123"/>
      <c r="C397" s="123"/>
      <c r="D397" s="123"/>
      <c r="E397" s="123"/>
      <c r="F397" s="123"/>
    </row>
    <row r="398">
      <c r="A398" s="144"/>
      <c r="B398" s="123"/>
      <c r="C398" s="123"/>
      <c r="D398" s="123"/>
      <c r="E398" s="123"/>
      <c r="F398" s="123"/>
    </row>
    <row r="399">
      <c r="A399" s="144"/>
      <c r="B399" s="123"/>
      <c r="C399" s="123"/>
      <c r="D399" s="123"/>
      <c r="E399" s="123"/>
      <c r="F399" s="123"/>
    </row>
    <row r="400">
      <c r="A400" s="144"/>
      <c r="B400" s="123"/>
      <c r="C400" s="123"/>
      <c r="D400" s="123"/>
      <c r="E400" s="123"/>
      <c r="F400" s="123"/>
    </row>
    <row r="401">
      <c r="A401" s="144"/>
      <c r="B401" s="123"/>
      <c r="C401" s="123"/>
      <c r="D401" s="123"/>
      <c r="E401" s="123"/>
      <c r="F401" s="123"/>
    </row>
    <row r="402">
      <c r="A402" s="144"/>
      <c r="B402" s="123"/>
      <c r="C402" s="123"/>
      <c r="D402" s="123"/>
      <c r="E402" s="123"/>
      <c r="F402" s="123"/>
    </row>
    <row r="403">
      <c r="A403" s="144"/>
      <c r="B403" s="123"/>
      <c r="C403" s="123"/>
      <c r="D403" s="123"/>
      <c r="E403" s="123"/>
      <c r="F403" s="123"/>
    </row>
    <row r="404">
      <c r="A404" s="144"/>
      <c r="B404" s="123"/>
      <c r="C404" s="123"/>
      <c r="D404" s="123"/>
      <c r="E404" s="123"/>
      <c r="F404" s="123"/>
    </row>
    <row r="405">
      <c r="A405" s="144"/>
      <c r="B405" s="123"/>
      <c r="C405" s="123"/>
      <c r="D405" s="123"/>
      <c r="E405" s="123"/>
      <c r="F405" s="123"/>
    </row>
    <row r="406">
      <c r="A406" s="144"/>
      <c r="B406" s="123"/>
      <c r="C406" s="123"/>
      <c r="D406" s="123"/>
      <c r="E406" s="123"/>
      <c r="F406" s="123"/>
    </row>
    <row r="407">
      <c r="A407" s="144"/>
      <c r="B407" s="123"/>
      <c r="C407" s="123"/>
      <c r="D407" s="123"/>
      <c r="E407" s="123"/>
      <c r="F407" s="123"/>
    </row>
    <row r="408">
      <c r="A408" s="144"/>
      <c r="B408" s="123"/>
      <c r="C408" s="123"/>
      <c r="D408" s="123"/>
      <c r="E408" s="123"/>
      <c r="F408" s="123"/>
    </row>
    <row r="409">
      <c r="A409" s="144"/>
      <c r="B409" s="123"/>
      <c r="C409" s="123"/>
      <c r="D409" s="123"/>
      <c r="E409" s="123"/>
      <c r="F409" s="123"/>
    </row>
    <row r="410">
      <c r="A410" s="144"/>
      <c r="B410" s="123"/>
      <c r="C410" s="123"/>
      <c r="D410" s="123"/>
      <c r="E410" s="123"/>
      <c r="F410" s="123"/>
    </row>
    <row r="411">
      <c r="A411" s="144"/>
      <c r="B411" s="123"/>
      <c r="C411" s="123"/>
      <c r="D411" s="123"/>
      <c r="E411" s="123"/>
      <c r="F411" s="123"/>
    </row>
    <row r="412">
      <c r="A412" s="144"/>
      <c r="B412" s="123"/>
      <c r="C412" s="123"/>
      <c r="D412" s="123"/>
      <c r="E412" s="123"/>
      <c r="F412" s="123"/>
    </row>
    <row r="413">
      <c r="A413" s="144"/>
      <c r="B413" s="123"/>
      <c r="C413" s="123"/>
      <c r="D413" s="123"/>
      <c r="E413" s="123"/>
      <c r="F413" s="123"/>
    </row>
    <row r="414">
      <c r="A414" s="144"/>
      <c r="B414" s="123"/>
      <c r="C414" s="123"/>
      <c r="D414" s="123"/>
      <c r="E414" s="123"/>
      <c r="F414" s="123"/>
    </row>
    <row r="415">
      <c r="A415" s="144"/>
      <c r="B415" s="123"/>
      <c r="C415" s="123"/>
      <c r="D415" s="123"/>
      <c r="E415" s="123"/>
      <c r="F415" s="123"/>
    </row>
    <row r="416">
      <c r="A416" s="144"/>
      <c r="B416" s="123"/>
      <c r="C416" s="123"/>
      <c r="D416" s="123"/>
      <c r="E416" s="123"/>
      <c r="F416" s="123"/>
    </row>
    <row r="417">
      <c r="A417" s="144"/>
      <c r="B417" s="123"/>
      <c r="C417" s="123"/>
      <c r="D417" s="123"/>
      <c r="E417" s="123"/>
      <c r="F417" s="123"/>
    </row>
    <row r="418">
      <c r="A418" s="144"/>
      <c r="B418" s="123"/>
      <c r="C418" s="123"/>
      <c r="D418" s="123"/>
      <c r="E418" s="123"/>
      <c r="F418" s="123"/>
    </row>
    <row r="419">
      <c r="A419" s="144"/>
      <c r="B419" s="123"/>
      <c r="C419" s="123"/>
      <c r="D419" s="123"/>
      <c r="E419" s="123"/>
      <c r="F419" s="123"/>
    </row>
    <row r="420">
      <c r="A420" s="144"/>
      <c r="B420" s="123"/>
      <c r="C420" s="123"/>
      <c r="D420" s="123"/>
      <c r="E420" s="123"/>
      <c r="F420" s="123"/>
    </row>
    <row r="421">
      <c r="A421" s="144"/>
      <c r="B421" s="123"/>
      <c r="C421" s="123"/>
      <c r="D421" s="123"/>
      <c r="E421" s="123"/>
      <c r="F421" s="123"/>
    </row>
    <row r="422">
      <c r="A422" s="144"/>
      <c r="B422" s="123"/>
      <c r="C422" s="123"/>
      <c r="D422" s="123"/>
      <c r="E422" s="123"/>
      <c r="F422" s="123"/>
    </row>
    <row r="423">
      <c r="A423" s="144"/>
      <c r="B423" s="123"/>
      <c r="C423" s="123"/>
      <c r="D423" s="123"/>
      <c r="E423" s="123"/>
      <c r="F423" s="123"/>
    </row>
    <row r="424">
      <c r="A424" s="144"/>
      <c r="B424" s="123"/>
      <c r="C424" s="123"/>
      <c r="D424" s="123"/>
      <c r="E424" s="123"/>
      <c r="F424" s="123"/>
    </row>
    <row r="425">
      <c r="A425" s="144"/>
      <c r="B425" s="123"/>
      <c r="C425" s="123"/>
      <c r="D425" s="123"/>
      <c r="E425" s="123"/>
      <c r="F425" s="123"/>
    </row>
    <row r="426">
      <c r="A426" s="144"/>
      <c r="B426" s="123"/>
      <c r="C426" s="123"/>
      <c r="D426" s="123"/>
      <c r="E426" s="123"/>
      <c r="F426" s="123"/>
    </row>
    <row r="427">
      <c r="A427" s="144"/>
      <c r="B427" s="123"/>
      <c r="C427" s="123"/>
      <c r="D427" s="123"/>
      <c r="E427" s="123"/>
      <c r="F427" s="123"/>
    </row>
    <row r="428">
      <c r="A428" s="144"/>
      <c r="B428" s="123"/>
      <c r="C428" s="123"/>
      <c r="D428" s="123"/>
      <c r="E428" s="123"/>
      <c r="F428" s="123"/>
    </row>
    <row r="429">
      <c r="A429" s="144"/>
      <c r="B429" s="123"/>
      <c r="C429" s="123"/>
      <c r="D429" s="123"/>
      <c r="E429" s="123"/>
      <c r="F429" s="123"/>
    </row>
    <row r="430">
      <c r="A430" s="144"/>
      <c r="B430" s="123"/>
      <c r="C430" s="123"/>
      <c r="D430" s="123"/>
      <c r="E430" s="123"/>
      <c r="F430" s="123"/>
    </row>
    <row r="431">
      <c r="A431" s="144"/>
      <c r="B431" s="123"/>
      <c r="C431" s="123"/>
      <c r="D431" s="123"/>
      <c r="E431" s="123"/>
      <c r="F431" s="123"/>
    </row>
    <row r="432">
      <c r="A432" s="144"/>
      <c r="B432" s="123"/>
      <c r="C432" s="123"/>
      <c r="D432" s="123"/>
      <c r="E432" s="123"/>
      <c r="F432" s="123"/>
    </row>
    <row r="433">
      <c r="A433" s="144"/>
      <c r="B433" s="123"/>
      <c r="C433" s="123"/>
      <c r="D433" s="123"/>
      <c r="E433" s="123"/>
      <c r="F433" s="123"/>
    </row>
    <row r="434">
      <c r="A434" s="144"/>
      <c r="B434" s="123"/>
      <c r="C434" s="123"/>
      <c r="D434" s="123"/>
      <c r="E434" s="123"/>
      <c r="F434" s="123"/>
    </row>
    <row r="435">
      <c r="A435" s="144"/>
      <c r="B435" s="123"/>
      <c r="C435" s="123"/>
      <c r="D435" s="123"/>
      <c r="E435" s="123"/>
      <c r="F435" s="123"/>
    </row>
    <row r="436">
      <c r="A436" s="144"/>
      <c r="B436" s="123"/>
      <c r="C436" s="123"/>
      <c r="D436" s="123"/>
      <c r="E436" s="123"/>
      <c r="F436" s="123"/>
    </row>
    <row r="437">
      <c r="A437" s="144"/>
      <c r="B437" s="123"/>
      <c r="C437" s="123"/>
      <c r="D437" s="123"/>
      <c r="E437" s="123"/>
      <c r="F437" s="123"/>
    </row>
    <row r="438">
      <c r="A438" s="144"/>
      <c r="B438" s="123"/>
      <c r="C438" s="123"/>
      <c r="D438" s="123"/>
      <c r="E438" s="123"/>
      <c r="F438" s="123"/>
    </row>
    <row r="439">
      <c r="A439" s="144"/>
      <c r="B439" s="123"/>
      <c r="C439" s="123"/>
      <c r="D439" s="123"/>
      <c r="E439" s="123"/>
      <c r="F439" s="123"/>
    </row>
    <row r="440">
      <c r="A440" s="144"/>
      <c r="B440" s="123"/>
      <c r="C440" s="123"/>
      <c r="D440" s="123"/>
      <c r="E440" s="123"/>
      <c r="F440" s="123"/>
    </row>
    <row r="441">
      <c r="A441" s="144"/>
      <c r="B441" s="123"/>
      <c r="C441" s="123"/>
      <c r="D441" s="123"/>
      <c r="E441" s="123"/>
      <c r="F441" s="123"/>
    </row>
    <row r="442">
      <c r="A442" s="144"/>
      <c r="B442" s="123"/>
      <c r="C442" s="123"/>
      <c r="D442" s="123"/>
      <c r="E442" s="123"/>
      <c r="F442" s="123"/>
    </row>
    <row r="443">
      <c r="A443" s="144"/>
      <c r="B443" s="123"/>
      <c r="C443" s="123"/>
      <c r="D443" s="123"/>
      <c r="E443" s="123"/>
      <c r="F443" s="123"/>
    </row>
    <row r="444">
      <c r="A444" s="144"/>
      <c r="B444" s="123"/>
      <c r="C444" s="123"/>
      <c r="D444" s="123"/>
      <c r="E444" s="123"/>
      <c r="F444" s="123"/>
    </row>
    <row r="445">
      <c r="A445" s="144"/>
      <c r="B445" s="123"/>
      <c r="C445" s="123"/>
      <c r="D445" s="123"/>
      <c r="E445" s="123"/>
      <c r="F445" s="123"/>
    </row>
    <row r="446">
      <c r="A446" s="144"/>
      <c r="B446" s="123"/>
      <c r="C446" s="123"/>
      <c r="D446" s="123"/>
      <c r="E446" s="123"/>
      <c r="F446" s="123"/>
    </row>
    <row r="447">
      <c r="A447" s="144"/>
      <c r="B447" s="123"/>
      <c r="C447" s="123"/>
      <c r="D447" s="123"/>
      <c r="E447" s="123"/>
      <c r="F447" s="123"/>
    </row>
    <row r="448">
      <c r="A448" s="144"/>
      <c r="B448" s="123"/>
      <c r="C448" s="123"/>
      <c r="D448" s="123"/>
      <c r="E448" s="123"/>
      <c r="F448" s="123"/>
    </row>
    <row r="449">
      <c r="A449" s="144"/>
      <c r="B449" s="123"/>
      <c r="C449" s="123"/>
      <c r="D449" s="123"/>
      <c r="E449" s="123"/>
      <c r="F449" s="123"/>
    </row>
    <row r="450">
      <c r="A450" s="144"/>
      <c r="B450" s="123"/>
      <c r="C450" s="123"/>
      <c r="D450" s="123"/>
      <c r="E450" s="123"/>
      <c r="F450" s="123"/>
    </row>
    <row r="451">
      <c r="A451" s="144"/>
      <c r="B451" s="123"/>
      <c r="C451" s="123"/>
      <c r="D451" s="123"/>
      <c r="E451" s="123"/>
      <c r="F451" s="123"/>
    </row>
    <row r="452">
      <c r="A452" s="144"/>
      <c r="B452" s="123"/>
      <c r="C452" s="123"/>
      <c r="D452" s="123"/>
      <c r="E452" s="123"/>
      <c r="F452" s="123"/>
    </row>
    <row r="453">
      <c r="A453" s="144"/>
      <c r="B453" s="123"/>
      <c r="C453" s="123"/>
      <c r="D453" s="123"/>
      <c r="E453" s="123"/>
      <c r="F453" s="123"/>
    </row>
    <row r="454">
      <c r="A454" s="144"/>
      <c r="B454" s="123"/>
      <c r="C454" s="123"/>
      <c r="D454" s="123"/>
      <c r="E454" s="123"/>
      <c r="F454" s="123"/>
    </row>
    <row r="455">
      <c r="A455" s="144"/>
      <c r="B455" s="123"/>
      <c r="C455" s="123"/>
      <c r="D455" s="123"/>
      <c r="E455" s="123"/>
      <c r="F455" s="123"/>
    </row>
    <row r="456">
      <c r="A456" s="144"/>
      <c r="B456" s="123"/>
      <c r="C456" s="123"/>
      <c r="D456" s="123"/>
      <c r="E456" s="123"/>
      <c r="F456" s="123"/>
    </row>
    <row r="457">
      <c r="A457" s="144"/>
      <c r="B457" s="123"/>
      <c r="C457" s="123"/>
      <c r="D457" s="123"/>
      <c r="E457" s="123"/>
      <c r="F457" s="123"/>
    </row>
    <row r="458">
      <c r="A458" s="144"/>
      <c r="B458" s="123"/>
      <c r="C458" s="123"/>
      <c r="D458" s="123"/>
      <c r="E458" s="123"/>
      <c r="F458" s="123"/>
    </row>
    <row r="459">
      <c r="A459" s="144"/>
      <c r="B459" s="123"/>
      <c r="C459" s="123"/>
      <c r="D459" s="123"/>
      <c r="E459" s="123"/>
      <c r="F459" s="123"/>
    </row>
    <row r="460">
      <c r="A460" s="144"/>
      <c r="B460" s="123"/>
      <c r="C460" s="123"/>
      <c r="D460" s="123"/>
      <c r="E460" s="123"/>
      <c r="F460" s="123"/>
    </row>
    <row r="461">
      <c r="A461" s="144"/>
      <c r="B461" s="123"/>
      <c r="C461" s="123"/>
      <c r="D461" s="123"/>
      <c r="E461" s="123"/>
      <c r="F461" s="123"/>
    </row>
    <row r="462">
      <c r="A462" s="144"/>
      <c r="B462" s="123"/>
      <c r="C462" s="123"/>
      <c r="D462" s="123"/>
      <c r="E462" s="123"/>
      <c r="F462" s="123"/>
    </row>
    <row r="463">
      <c r="A463" s="144"/>
      <c r="B463" s="123"/>
      <c r="C463" s="123"/>
      <c r="D463" s="123"/>
      <c r="E463" s="123"/>
      <c r="F463" s="123"/>
    </row>
    <row r="464">
      <c r="A464" s="144"/>
      <c r="B464" s="123"/>
      <c r="C464" s="123"/>
      <c r="D464" s="123"/>
      <c r="E464" s="123"/>
      <c r="F464" s="123"/>
    </row>
    <row r="465">
      <c r="A465" s="144"/>
      <c r="B465" s="123"/>
      <c r="C465" s="123"/>
      <c r="D465" s="123"/>
      <c r="E465" s="123"/>
      <c r="F465" s="123"/>
    </row>
    <row r="466">
      <c r="A466" s="144"/>
      <c r="B466" s="123"/>
      <c r="C466" s="123"/>
      <c r="D466" s="123"/>
      <c r="E466" s="123"/>
      <c r="F466" s="123"/>
    </row>
    <row r="467">
      <c r="A467" s="144"/>
      <c r="B467" s="123"/>
      <c r="C467" s="123"/>
      <c r="D467" s="123"/>
      <c r="E467" s="123"/>
      <c r="F467" s="123"/>
    </row>
    <row r="468">
      <c r="A468" s="144"/>
      <c r="B468" s="123"/>
      <c r="C468" s="123"/>
      <c r="D468" s="123"/>
      <c r="E468" s="123"/>
      <c r="F468" s="123"/>
    </row>
    <row r="469">
      <c r="A469" s="144"/>
      <c r="B469" s="123"/>
      <c r="C469" s="123"/>
      <c r="D469" s="123"/>
      <c r="E469" s="123"/>
      <c r="F469" s="123"/>
    </row>
    <row r="470">
      <c r="A470" s="144"/>
      <c r="B470" s="123"/>
      <c r="C470" s="123"/>
      <c r="D470" s="123"/>
      <c r="E470" s="123"/>
      <c r="F470" s="123"/>
    </row>
    <row r="471">
      <c r="A471" s="144"/>
      <c r="B471" s="123"/>
      <c r="C471" s="123"/>
      <c r="D471" s="123"/>
      <c r="E471" s="123"/>
      <c r="F471" s="123"/>
    </row>
    <row r="472">
      <c r="A472" s="144"/>
      <c r="B472" s="123"/>
      <c r="C472" s="123"/>
      <c r="D472" s="123"/>
      <c r="E472" s="123"/>
      <c r="F472" s="123"/>
    </row>
    <row r="473">
      <c r="A473" s="144"/>
      <c r="B473" s="123"/>
      <c r="C473" s="123"/>
      <c r="D473" s="123"/>
      <c r="E473" s="123"/>
      <c r="F473" s="123"/>
    </row>
    <row r="474">
      <c r="A474" s="144"/>
      <c r="B474" s="123"/>
      <c r="C474" s="123"/>
      <c r="D474" s="123"/>
      <c r="E474" s="123"/>
      <c r="F474" s="123"/>
    </row>
    <row r="475">
      <c r="A475" s="144"/>
      <c r="B475" s="123"/>
      <c r="C475" s="123"/>
      <c r="D475" s="123"/>
      <c r="E475" s="123"/>
      <c r="F475" s="123"/>
    </row>
    <row r="476">
      <c r="A476" s="144"/>
      <c r="B476" s="123"/>
      <c r="C476" s="123"/>
      <c r="D476" s="123"/>
      <c r="E476" s="123"/>
      <c r="F476" s="123"/>
    </row>
    <row r="477">
      <c r="A477" s="144"/>
      <c r="B477" s="123"/>
      <c r="C477" s="123"/>
      <c r="D477" s="123"/>
      <c r="E477" s="123"/>
      <c r="F477" s="123"/>
    </row>
    <row r="478">
      <c r="A478" s="144"/>
      <c r="B478" s="123"/>
      <c r="C478" s="123"/>
      <c r="D478" s="123"/>
      <c r="E478" s="123"/>
      <c r="F478" s="123"/>
    </row>
    <row r="479">
      <c r="A479" s="144"/>
      <c r="B479" s="123"/>
      <c r="C479" s="123"/>
      <c r="D479" s="123"/>
      <c r="E479" s="123"/>
      <c r="F479" s="123"/>
    </row>
    <row r="480">
      <c r="A480" s="144"/>
      <c r="B480" s="123"/>
      <c r="C480" s="123"/>
      <c r="D480" s="123"/>
      <c r="E480" s="123"/>
      <c r="F480" s="123"/>
    </row>
    <row r="481">
      <c r="A481" s="144"/>
      <c r="B481" s="123"/>
      <c r="C481" s="123"/>
      <c r="D481" s="123"/>
      <c r="E481" s="123"/>
      <c r="F481" s="123"/>
    </row>
    <row r="482">
      <c r="A482" s="144"/>
      <c r="B482" s="123"/>
      <c r="C482" s="123"/>
      <c r="D482" s="123"/>
      <c r="E482" s="123"/>
      <c r="F482" s="123"/>
    </row>
    <row r="483">
      <c r="A483" s="144"/>
      <c r="B483" s="123"/>
      <c r="C483" s="123"/>
      <c r="D483" s="123"/>
      <c r="E483" s="123"/>
      <c r="F483" s="123"/>
    </row>
    <row r="484">
      <c r="A484" s="144"/>
      <c r="B484" s="123"/>
      <c r="C484" s="123"/>
      <c r="D484" s="123"/>
      <c r="E484" s="123"/>
      <c r="F484" s="123"/>
    </row>
    <row r="485">
      <c r="A485" s="144"/>
      <c r="B485" s="123"/>
      <c r="C485" s="123"/>
      <c r="D485" s="123"/>
      <c r="E485" s="123"/>
      <c r="F485" s="123"/>
    </row>
    <row r="486">
      <c r="A486" s="144"/>
      <c r="B486" s="123"/>
      <c r="C486" s="123"/>
      <c r="D486" s="123"/>
      <c r="E486" s="123"/>
      <c r="F486" s="123"/>
    </row>
    <row r="487">
      <c r="A487" s="144"/>
      <c r="B487" s="123"/>
      <c r="C487" s="123"/>
      <c r="D487" s="123"/>
      <c r="E487" s="123"/>
      <c r="F487" s="123"/>
    </row>
    <row r="488">
      <c r="A488" s="144"/>
      <c r="B488" s="123"/>
      <c r="C488" s="123"/>
      <c r="D488" s="123"/>
      <c r="E488" s="123"/>
      <c r="F488" s="123"/>
    </row>
    <row r="489">
      <c r="A489" s="144"/>
      <c r="B489" s="123"/>
      <c r="C489" s="123"/>
      <c r="D489" s="123"/>
      <c r="E489" s="123"/>
      <c r="F489" s="123"/>
    </row>
    <row r="490">
      <c r="A490" s="144"/>
      <c r="B490" s="123"/>
      <c r="C490" s="123"/>
      <c r="D490" s="123"/>
      <c r="E490" s="123"/>
      <c r="F490" s="123"/>
    </row>
    <row r="491">
      <c r="A491" s="144"/>
      <c r="B491" s="123"/>
      <c r="C491" s="123"/>
      <c r="D491" s="123"/>
      <c r="E491" s="123"/>
      <c r="F491" s="123"/>
    </row>
    <row r="492">
      <c r="A492" s="144"/>
      <c r="B492" s="123"/>
      <c r="C492" s="123"/>
      <c r="D492" s="123"/>
      <c r="E492" s="123"/>
      <c r="F492" s="123"/>
    </row>
    <row r="493">
      <c r="A493" s="144"/>
      <c r="B493" s="123"/>
      <c r="C493" s="123"/>
      <c r="D493" s="123"/>
      <c r="E493" s="123"/>
      <c r="F493" s="123"/>
    </row>
    <row r="494">
      <c r="A494" s="144"/>
      <c r="B494" s="123"/>
      <c r="C494" s="123"/>
      <c r="D494" s="123"/>
      <c r="E494" s="123"/>
      <c r="F494" s="123"/>
    </row>
    <row r="495">
      <c r="A495" s="144"/>
      <c r="B495" s="123"/>
      <c r="C495" s="123"/>
      <c r="D495" s="123"/>
      <c r="E495" s="123"/>
      <c r="F495" s="123"/>
    </row>
    <row r="496">
      <c r="A496" s="144"/>
      <c r="B496" s="123"/>
      <c r="C496" s="123"/>
      <c r="D496" s="123"/>
      <c r="E496" s="123"/>
      <c r="F496" s="123"/>
    </row>
    <row r="497">
      <c r="A497" s="144"/>
      <c r="B497" s="123"/>
      <c r="C497" s="123"/>
      <c r="D497" s="123"/>
      <c r="E497" s="123"/>
      <c r="F497" s="123"/>
    </row>
    <row r="498">
      <c r="A498" s="144"/>
      <c r="B498" s="123"/>
      <c r="C498" s="123"/>
      <c r="D498" s="123"/>
      <c r="E498" s="123"/>
      <c r="F498" s="123"/>
    </row>
    <row r="499">
      <c r="A499" s="144"/>
      <c r="B499" s="123"/>
      <c r="C499" s="123"/>
      <c r="D499" s="123"/>
      <c r="E499" s="123"/>
      <c r="F499" s="123"/>
    </row>
    <row r="500">
      <c r="A500" s="144"/>
      <c r="B500" s="123"/>
      <c r="C500" s="123"/>
      <c r="D500" s="123"/>
      <c r="E500" s="123"/>
      <c r="F500" s="123"/>
    </row>
    <row r="501">
      <c r="A501" s="144"/>
      <c r="B501" s="123"/>
      <c r="C501" s="123"/>
      <c r="D501" s="123"/>
      <c r="E501" s="123"/>
      <c r="F501" s="123"/>
    </row>
    <row r="502">
      <c r="A502" s="144"/>
      <c r="B502" s="123"/>
      <c r="C502" s="123"/>
      <c r="D502" s="123"/>
      <c r="E502" s="123"/>
      <c r="F502" s="123"/>
    </row>
    <row r="503">
      <c r="A503" s="144"/>
      <c r="B503" s="123"/>
      <c r="C503" s="123"/>
      <c r="D503" s="123"/>
      <c r="E503" s="123"/>
      <c r="F503" s="123"/>
    </row>
    <row r="504">
      <c r="A504" s="144"/>
      <c r="B504" s="123"/>
      <c r="C504" s="123"/>
      <c r="D504" s="123"/>
      <c r="E504" s="123"/>
      <c r="F504" s="123"/>
    </row>
    <row r="505">
      <c r="A505" s="144"/>
      <c r="B505" s="123"/>
      <c r="C505" s="123"/>
      <c r="D505" s="123"/>
      <c r="E505" s="123"/>
      <c r="F505" s="123"/>
    </row>
    <row r="506">
      <c r="A506" s="144"/>
      <c r="B506" s="123"/>
      <c r="C506" s="123"/>
      <c r="D506" s="123"/>
      <c r="E506" s="123"/>
      <c r="F506" s="123"/>
    </row>
    <row r="507">
      <c r="A507" s="144"/>
      <c r="B507" s="123"/>
      <c r="C507" s="123"/>
      <c r="D507" s="123"/>
      <c r="E507" s="123"/>
      <c r="F507" s="123"/>
    </row>
    <row r="508">
      <c r="A508" s="144"/>
      <c r="B508" s="123"/>
      <c r="C508" s="123"/>
      <c r="D508" s="123"/>
      <c r="E508" s="123"/>
      <c r="F508" s="123"/>
    </row>
    <row r="509">
      <c r="A509" s="144"/>
      <c r="B509" s="123"/>
      <c r="C509" s="123"/>
      <c r="D509" s="123"/>
      <c r="E509" s="123"/>
      <c r="F509" s="123"/>
    </row>
    <row r="510">
      <c r="A510" s="144"/>
      <c r="B510" s="123"/>
      <c r="C510" s="123"/>
      <c r="D510" s="123"/>
      <c r="E510" s="123"/>
      <c r="F510" s="123"/>
    </row>
    <row r="511">
      <c r="A511" s="144"/>
      <c r="B511" s="123"/>
      <c r="C511" s="123"/>
      <c r="D511" s="123"/>
      <c r="E511" s="123"/>
      <c r="F511" s="123"/>
    </row>
    <row r="512">
      <c r="A512" s="144"/>
      <c r="B512" s="123"/>
      <c r="C512" s="123"/>
      <c r="D512" s="123"/>
      <c r="E512" s="123"/>
      <c r="F512" s="123"/>
    </row>
    <row r="513">
      <c r="A513" s="144"/>
      <c r="B513" s="123"/>
      <c r="C513" s="123"/>
      <c r="D513" s="123"/>
      <c r="E513" s="123"/>
      <c r="F513" s="123"/>
    </row>
    <row r="514">
      <c r="A514" s="144"/>
      <c r="B514" s="123"/>
      <c r="C514" s="123"/>
      <c r="D514" s="123"/>
      <c r="E514" s="123"/>
      <c r="F514" s="123"/>
    </row>
    <row r="515">
      <c r="A515" s="144"/>
      <c r="B515" s="123"/>
      <c r="C515" s="123"/>
      <c r="D515" s="123"/>
      <c r="E515" s="123"/>
      <c r="F515" s="123"/>
    </row>
    <row r="516">
      <c r="A516" s="144"/>
      <c r="B516" s="123"/>
      <c r="C516" s="123"/>
      <c r="D516" s="123"/>
      <c r="E516" s="123"/>
      <c r="F516" s="123"/>
    </row>
    <row r="517">
      <c r="A517" s="144"/>
      <c r="B517" s="123"/>
      <c r="C517" s="123"/>
      <c r="D517" s="123"/>
      <c r="E517" s="123"/>
      <c r="F517" s="123"/>
    </row>
    <row r="518">
      <c r="A518" s="144"/>
      <c r="B518" s="123"/>
      <c r="C518" s="123"/>
      <c r="D518" s="123"/>
      <c r="E518" s="123"/>
      <c r="F518" s="123"/>
    </row>
    <row r="519">
      <c r="A519" s="144"/>
      <c r="B519" s="123"/>
      <c r="C519" s="123"/>
      <c r="D519" s="123"/>
      <c r="E519" s="123"/>
      <c r="F519" s="123"/>
    </row>
    <row r="520">
      <c r="A520" s="144"/>
      <c r="B520" s="123"/>
      <c r="C520" s="123"/>
      <c r="D520" s="123"/>
      <c r="E520" s="123"/>
      <c r="F520" s="123"/>
    </row>
    <row r="521">
      <c r="A521" s="144"/>
      <c r="B521" s="123"/>
      <c r="C521" s="123"/>
      <c r="D521" s="123"/>
      <c r="E521" s="123"/>
      <c r="F521" s="123"/>
    </row>
    <row r="522">
      <c r="A522" s="144"/>
      <c r="B522" s="123"/>
      <c r="C522" s="123"/>
      <c r="D522" s="123"/>
      <c r="E522" s="123"/>
      <c r="F522" s="123"/>
    </row>
    <row r="523">
      <c r="A523" s="144"/>
      <c r="B523" s="123"/>
      <c r="C523" s="123"/>
      <c r="D523" s="123"/>
      <c r="E523" s="123"/>
      <c r="F523" s="123"/>
    </row>
    <row r="524">
      <c r="A524" s="144"/>
      <c r="B524" s="123"/>
      <c r="C524" s="123"/>
      <c r="D524" s="123"/>
      <c r="E524" s="123"/>
      <c r="F524" s="123"/>
    </row>
    <row r="525">
      <c r="A525" s="144"/>
      <c r="B525" s="123"/>
      <c r="C525" s="123"/>
      <c r="D525" s="123"/>
      <c r="E525" s="123"/>
      <c r="F525" s="123"/>
    </row>
    <row r="526">
      <c r="A526" s="144"/>
      <c r="B526" s="123"/>
      <c r="C526" s="123"/>
      <c r="D526" s="123"/>
      <c r="E526" s="123"/>
      <c r="F526" s="123"/>
    </row>
    <row r="527">
      <c r="A527" s="144"/>
      <c r="B527" s="123"/>
      <c r="C527" s="123"/>
      <c r="D527" s="123"/>
      <c r="E527" s="123"/>
      <c r="F527" s="123"/>
    </row>
    <row r="528">
      <c r="A528" s="144"/>
      <c r="B528" s="123"/>
      <c r="C528" s="123"/>
      <c r="D528" s="123"/>
      <c r="E528" s="123"/>
      <c r="F528" s="123"/>
    </row>
    <row r="529">
      <c r="A529" s="144"/>
      <c r="B529" s="123"/>
      <c r="C529" s="123"/>
      <c r="D529" s="123"/>
      <c r="E529" s="123"/>
      <c r="F529" s="123"/>
    </row>
    <row r="530">
      <c r="A530" s="144"/>
      <c r="B530" s="123"/>
      <c r="C530" s="123"/>
      <c r="D530" s="123"/>
      <c r="E530" s="123"/>
      <c r="F530" s="123"/>
    </row>
    <row r="531">
      <c r="A531" s="144"/>
      <c r="B531" s="123"/>
      <c r="C531" s="123"/>
      <c r="D531" s="123"/>
      <c r="E531" s="123"/>
      <c r="F531" s="123"/>
    </row>
    <row r="532">
      <c r="A532" s="144"/>
      <c r="B532" s="123"/>
      <c r="C532" s="123"/>
      <c r="D532" s="123"/>
      <c r="E532" s="123"/>
      <c r="F532" s="123"/>
    </row>
    <row r="533">
      <c r="A533" s="144"/>
      <c r="B533" s="123"/>
      <c r="C533" s="123"/>
      <c r="D533" s="123"/>
      <c r="E533" s="123"/>
      <c r="F533" s="123"/>
    </row>
    <row r="534">
      <c r="A534" s="144"/>
      <c r="B534" s="123"/>
      <c r="C534" s="123"/>
      <c r="D534" s="123"/>
      <c r="E534" s="123"/>
      <c r="F534" s="123"/>
    </row>
    <row r="535">
      <c r="A535" s="144"/>
      <c r="B535" s="123"/>
      <c r="C535" s="123"/>
      <c r="D535" s="123"/>
      <c r="E535" s="123"/>
      <c r="F535" s="123"/>
    </row>
    <row r="536">
      <c r="A536" s="144"/>
      <c r="B536" s="123"/>
      <c r="C536" s="123"/>
      <c r="D536" s="123"/>
      <c r="E536" s="123"/>
      <c r="F536" s="123"/>
    </row>
    <row r="537">
      <c r="A537" s="144"/>
      <c r="B537" s="123"/>
      <c r="C537" s="123"/>
      <c r="D537" s="123"/>
      <c r="E537" s="123"/>
      <c r="F537" s="123"/>
    </row>
    <row r="538">
      <c r="A538" s="144"/>
      <c r="B538" s="123"/>
      <c r="C538" s="123"/>
      <c r="D538" s="123"/>
      <c r="E538" s="123"/>
      <c r="F538" s="123"/>
    </row>
    <row r="539">
      <c r="A539" s="144"/>
      <c r="B539" s="123"/>
      <c r="C539" s="123"/>
      <c r="D539" s="123"/>
      <c r="E539" s="123"/>
      <c r="F539" s="123"/>
    </row>
    <row r="540">
      <c r="A540" s="144"/>
      <c r="B540" s="123"/>
      <c r="C540" s="123"/>
      <c r="D540" s="123"/>
      <c r="E540" s="123"/>
      <c r="F540" s="123"/>
    </row>
    <row r="541">
      <c r="A541" s="144"/>
      <c r="B541" s="123"/>
      <c r="C541" s="123"/>
      <c r="D541" s="123"/>
      <c r="E541" s="123"/>
      <c r="F541" s="123"/>
    </row>
    <row r="542">
      <c r="A542" s="144"/>
      <c r="B542" s="123"/>
      <c r="C542" s="123"/>
      <c r="D542" s="123"/>
      <c r="E542" s="123"/>
      <c r="F542" s="123"/>
    </row>
    <row r="543">
      <c r="A543" s="144"/>
      <c r="B543" s="123"/>
      <c r="C543" s="123"/>
      <c r="D543" s="123"/>
      <c r="E543" s="123"/>
      <c r="F543" s="123"/>
    </row>
    <row r="544">
      <c r="A544" s="144"/>
      <c r="B544" s="123"/>
      <c r="C544" s="123"/>
      <c r="D544" s="123"/>
      <c r="E544" s="123"/>
      <c r="F544" s="123"/>
    </row>
    <row r="545">
      <c r="A545" s="144"/>
      <c r="B545" s="123"/>
      <c r="C545" s="123"/>
      <c r="D545" s="123"/>
      <c r="E545" s="123"/>
      <c r="F545" s="123"/>
    </row>
    <row r="546">
      <c r="A546" s="144"/>
      <c r="B546" s="123"/>
      <c r="C546" s="123"/>
      <c r="D546" s="123"/>
      <c r="E546" s="123"/>
      <c r="F546" s="123"/>
    </row>
    <row r="547">
      <c r="A547" s="144"/>
      <c r="B547" s="123"/>
      <c r="C547" s="123"/>
      <c r="D547" s="123"/>
      <c r="E547" s="123"/>
      <c r="F547" s="123"/>
    </row>
    <row r="548">
      <c r="A548" s="144"/>
      <c r="B548" s="123"/>
      <c r="C548" s="123"/>
      <c r="D548" s="123"/>
      <c r="E548" s="123"/>
      <c r="F548" s="123"/>
    </row>
    <row r="549">
      <c r="A549" s="144"/>
      <c r="B549" s="123"/>
      <c r="C549" s="123"/>
      <c r="D549" s="123"/>
      <c r="E549" s="123"/>
      <c r="F549" s="123"/>
    </row>
    <row r="550">
      <c r="A550" s="144"/>
      <c r="B550" s="123"/>
      <c r="C550" s="123"/>
      <c r="D550" s="123"/>
      <c r="E550" s="123"/>
      <c r="F550" s="123"/>
    </row>
    <row r="551">
      <c r="A551" s="144"/>
      <c r="B551" s="123"/>
      <c r="C551" s="123"/>
      <c r="D551" s="123"/>
      <c r="E551" s="123"/>
      <c r="F551" s="123"/>
    </row>
    <row r="552">
      <c r="A552" s="144"/>
      <c r="B552" s="123"/>
      <c r="C552" s="123"/>
      <c r="D552" s="123"/>
      <c r="E552" s="123"/>
      <c r="F552" s="123"/>
    </row>
    <row r="553">
      <c r="A553" s="144"/>
      <c r="B553" s="123"/>
      <c r="C553" s="123"/>
      <c r="D553" s="123"/>
      <c r="E553" s="123"/>
      <c r="F553" s="123"/>
    </row>
    <row r="554">
      <c r="A554" s="144"/>
      <c r="B554" s="123"/>
      <c r="C554" s="123"/>
      <c r="D554" s="123"/>
      <c r="E554" s="123"/>
      <c r="F554" s="123"/>
    </row>
    <row r="555">
      <c r="A555" s="144"/>
      <c r="B555" s="123"/>
      <c r="C555" s="123"/>
      <c r="D555" s="123"/>
      <c r="E555" s="123"/>
      <c r="F555" s="123"/>
    </row>
    <row r="556">
      <c r="A556" s="144"/>
      <c r="B556" s="123"/>
      <c r="C556" s="123"/>
      <c r="D556" s="123"/>
      <c r="E556" s="123"/>
      <c r="F556" s="123"/>
    </row>
    <row r="557">
      <c r="A557" s="144"/>
      <c r="B557" s="123"/>
      <c r="C557" s="123"/>
      <c r="D557" s="123"/>
      <c r="E557" s="123"/>
      <c r="F557" s="123"/>
    </row>
    <row r="558">
      <c r="A558" s="144"/>
      <c r="B558" s="123"/>
      <c r="C558" s="123"/>
      <c r="D558" s="123"/>
      <c r="E558" s="123"/>
      <c r="F558" s="123"/>
    </row>
    <row r="559">
      <c r="A559" s="144"/>
      <c r="B559" s="123"/>
      <c r="C559" s="123"/>
      <c r="D559" s="123"/>
      <c r="E559" s="123"/>
      <c r="F559" s="123"/>
    </row>
    <row r="560">
      <c r="A560" s="144"/>
      <c r="B560" s="123"/>
      <c r="C560" s="123"/>
      <c r="D560" s="123"/>
      <c r="E560" s="123"/>
      <c r="F560" s="123"/>
    </row>
    <row r="561">
      <c r="A561" s="144"/>
      <c r="B561" s="123"/>
      <c r="C561" s="123"/>
      <c r="D561" s="123"/>
      <c r="E561" s="123"/>
      <c r="F561" s="123"/>
    </row>
    <row r="562">
      <c r="A562" s="144"/>
      <c r="B562" s="123"/>
      <c r="C562" s="123"/>
      <c r="D562" s="123"/>
      <c r="E562" s="123"/>
      <c r="F562" s="123"/>
    </row>
    <row r="563">
      <c r="A563" s="144"/>
      <c r="B563" s="123"/>
      <c r="C563" s="123"/>
      <c r="D563" s="123"/>
      <c r="E563" s="123"/>
      <c r="F563" s="123"/>
    </row>
    <row r="564">
      <c r="A564" s="144"/>
      <c r="B564" s="123"/>
      <c r="C564" s="123"/>
      <c r="D564" s="123"/>
      <c r="E564" s="123"/>
      <c r="F564" s="123"/>
    </row>
    <row r="565">
      <c r="A565" s="144"/>
      <c r="B565" s="123"/>
      <c r="C565" s="123"/>
      <c r="D565" s="123"/>
      <c r="E565" s="123"/>
      <c r="F565" s="123"/>
    </row>
    <row r="566">
      <c r="A566" s="144"/>
      <c r="B566" s="123"/>
      <c r="C566" s="123"/>
      <c r="D566" s="123"/>
      <c r="E566" s="123"/>
      <c r="F566" s="123"/>
    </row>
    <row r="567">
      <c r="A567" s="144"/>
      <c r="B567" s="123"/>
      <c r="C567" s="123"/>
      <c r="D567" s="123"/>
      <c r="E567" s="123"/>
      <c r="F567" s="123"/>
    </row>
    <row r="568">
      <c r="A568" s="144"/>
      <c r="B568" s="123"/>
      <c r="C568" s="123"/>
      <c r="D568" s="123"/>
      <c r="E568" s="123"/>
      <c r="F568" s="123"/>
    </row>
    <row r="569">
      <c r="A569" s="144"/>
      <c r="B569" s="123"/>
      <c r="C569" s="123"/>
      <c r="D569" s="123"/>
      <c r="E569" s="123"/>
      <c r="F569" s="123"/>
    </row>
    <row r="570">
      <c r="A570" s="144"/>
      <c r="B570" s="123"/>
      <c r="C570" s="123"/>
      <c r="D570" s="123"/>
      <c r="E570" s="123"/>
      <c r="F570" s="123"/>
    </row>
    <row r="571">
      <c r="A571" s="144"/>
      <c r="B571" s="123"/>
      <c r="C571" s="123"/>
      <c r="D571" s="123"/>
      <c r="E571" s="123"/>
      <c r="F571" s="123"/>
    </row>
    <row r="572">
      <c r="A572" s="144"/>
      <c r="B572" s="123"/>
      <c r="C572" s="123"/>
      <c r="D572" s="123"/>
      <c r="E572" s="123"/>
      <c r="F572" s="123"/>
    </row>
    <row r="573">
      <c r="A573" s="144"/>
      <c r="B573" s="123"/>
      <c r="C573" s="123"/>
      <c r="D573" s="123"/>
      <c r="E573" s="123"/>
      <c r="F573" s="123"/>
    </row>
    <row r="574">
      <c r="A574" s="144"/>
      <c r="B574" s="123"/>
      <c r="C574" s="123"/>
      <c r="D574" s="123"/>
      <c r="E574" s="123"/>
      <c r="F574" s="123"/>
    </row>
    <row r="575">
      <c r="A575" s="144"/>
      <c r="B575" s="123"/>
      <c r="C575" s="123"/>
      <c r="D575" s="123"/>
      <c r="E575" s="123"/>
      <c r="F575" s="123"/>
    </row>
    <row r="576">
      <c r="A576" s="144"/>
      <c r="B576" s="123"/>
      <c r="C576" s="123"/>
      <c r="D576" s="123"/>
      <c r="E576" s="123"/>
      <c r="F576" s="123"/>
    </row>
    <row r="577">
      <c r="A577" s="144"/>
      <c r="B577" s="123"/>
      <c r="C577" s="123"/>
      <c r="D577" s="123"/>
      <c r="E577" s="123"/>
      <c r="F577" s="123"/>
    </row>
    <row r="578">
      <c r="A578" s="144"/>
      <c r="B578" s="123"/>
      <c r="C578" s="123"/>
      <c r="D578" s="123"/>
      <c r="E578" s="123"/>
      <c r="F578" s="123"/>
    </row>
    <row r="579">
      <c r="A579" s="144"/>
      <c r="B579" s="123"/>
      <c r="C579" s="123"/>
      <c r="D579" s="123"/>
      <c r="E579" s="123"/>
      <c r="F579" s="123"/>
    </row>
    <row r="580">
      <c r="A580" s="144"/>
      <c r="B580" s="123"/>
      <c r="C580" s="123"/>
      <c r="D580" s="123"/>
      <c r="E580" s="123"/>
      <c r="F580" s="123"/>
    </row>
    <row r="581">
      <c r="A581" s="144"/>
      <c r="B581" s="123"/>
      <c r="C581" s="123"/>
      <c r="D581" s="123"/>
      <c r="E581" s="123"/>
      <c r="F581" s="123"/>
    </row>
    <row r="582">
      <c r="A582" s="144"/>
      <c r="B582" s="123"/>
      <c r="C582" s="123"/>
      <c r="D582" s="123"/>
      <c r="E582" s="123"/>
      <c r="F582" s="123"/>
    </row>
    <row r="583">
      <c r="A583" s="144"/>
      <c r="B583" s="123"/>
      <c r="C583" s="123"/>
      <c r="D583" s="123"/>
      <c r="E583" s="123"/>
      <c r="F583" s="123"/>
    </row>
    <row r="584">
      <c r="A584" s="144"/>
      <c r="B584" s="123"/>
      <c r="C584" s="123"/>
      <c r="D584" s="123"/>
      <c r="E584" s="123"/>
      <c r="F584" s="123"/>
    </row>
    <row r="585">
      <c r="A585" s="144"/>
      <c r="B585" s="123"/>
      <c r="C585" s="123"/>
      <c r="D585" s="123"/>
      <c r="E585" s="123"/>
      <c r="F585" s="123"/>
    </row>
    <row r="586">
      <c r="A586" s="144"/>
      <c r="B586" s="123"/>
      <c r="C586" s="123"/>
      <c r="D586" s="123"/>
      <c r="E586" s="123"/>
      <c r="F586" s="123"/>
    </row>
    <row r="587">
      <c r="A587" s="144"/>
      <c r="B587" s="123"/>
      <c r="C587" s="123"/>
      <c r="D587" s="123"/>
      <c r="E587" s="123"/>
      <c r="F587" s="123"/>
    </row>
    <row r="588">
      <c r="A588" s="144"/>
      <c r="B588" s="123"/>
      <c r="C588" s="123"/>
      <c r="D588" s="123"/>
      <c r="E588" s="123"/>
      <c r="F588" s="123"/>
    </row>
    <row r="589">
      <c r="A589" s="144"/>
      <c r="B589" s="123"/>
      <c r="C589" s="123"/>
      <c r="D589" s="123"/>
      <c r="E589" s="123"/>
      <c r="F589" s="123"/>
    </row>
    <row r="590">
      <c r="A590" s="144"/>
      <c r="B590" s="123"/>
      <c r="C590" s="123"/>
      <c r="D590" s="123"/>
      <c r="E590" s="123"/>
      <c r="F590" s="123"/>
    </row>
    <row r="591">
      <c r="A591" s="144"/>
      <c r="B591" s="123"/>
      <c r="C591" s="123"/>
      <c r="D591" s="123"/>
      <c r="E591" s="123"/>
      <c r="F591" s="123"/>
    </row>
    <row r="592">
      <c r="A592" s="144"/>
      <c r="B592" s="123"/>
      <c r="C592" s="123"/>
      <c r="D592" s="123"/>
      <c r="E592" s="123"/>
      <c r="F592" s="123"/>
    </row>
    <row r="593">
      <c r="A593" s="144"/>
      <c r="B593" s="123"/>
      <c r="C593" s="123"/>
      <c r="D593" s="123"/>
      <c r="E593" s="123"/>
      <c r="F593" s="123"/>
    </row>
  </sheetData>
  <mergeCells count="5">
    <mergeCell ref="A1:A5"/>
    <mergeCell ref="B1:C2"/>
    <mergeCell ref="B3:C5"/>
    <mergeCell ref="A14:A18"/>
    <mergeCell ref="A21:A28"/>
  </mergeCells>
  <dataValidations>
    <dataValidation type="list" allowBlank="1" sqref="B10:F11">
      <formula1>"In Progress,Complete,NA"</formula1>
    </dataValidation>
  </dataValidations>
  <drawing r:id="rId1"/>
</worksheet>
</file>