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Personal ID Tests" sheetId="6" state="visible" r:id="rId6"/>
    <sheet name="Integration Tests (Connect)" sheetId="7" state="visible" r:id="rId7"/>
    <sheet name="Connect Landing Page" sheetId="8" state="visible" r:id="rId8"/>
    <sheet name="Connect messaging" sheetId="9" state="visible" r:id="rId9"/>
    <sheet name="Connect Notifications" sheetId="10" state="visible" r:id="rId10"/>
    <sheet name="Connect worker History" sheetId="11" state="visible" r:id="rId11"/>
    <sheet name="Case List map " sheetId="12" state="visible" r:id="rId12"/>
    <sheet name="Test Tracker Horizontal" sheetId="13" state="hidden" r:id="rId13"/>
  </sheets>
  <definedNames/>
  <calcPr calcId="124519" fullCalcOnLoad="1"/>
</workbook>
</file>

<file path=xl/styles.xml><?xml version="1.0" encoding="utf-8"?>
<styleSheet xmlns="http://schemas.openxmlformats.org/spreadsheetml/2006/main">
  <numFmts count="1">
    <numFmt numFmtId="164" formatCode="mm/dd/yyyy"/>
  </numFmts>
  <fonts count="29">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83">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xf numFmtId="0" fontId="24" fillId="0" borderId="0" applyAlignment="1" pivotButton="0" quotePrefix="0" xfId="0">
      <alignment vertical="top" wrapText="1"/>
    </xf>
    <xf numFmtId="0" fontId="23" fillId="19" borderId="0" applyAlignment="1" pivotButton="0" quotePrefix="0" xfId="0">
      <alignment vertical="top" wrapText="1"/>
    </xf>
    <xf numFmtId="0" fontId="24" fillId="0" borderId="0" pivotButton="0" quotePrefix="0" xfId="0"/>
    <xf numFmtId="0" fontId="23"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9" fontId="0" fillId="0" borderId="0" applyAlignment="1" pivotButton="0" quotePrefix="0" xfId="0">
      <alignment vertical="top" wrapText="1"/>
    </xf>
    <xf numFmtId="0" fontId="23" fillId="20" borderId="0" applyAlignment="1" pivotButton="0" quotePrefix="0" xfId="0">
      <alignment vertical="top" wrapText="1"/>
    </xf>
    <xf numFmtId="9" fontId="23" fillId="20" borderId="0" applyAlignment="1" pivotButton="0" quotePrefix="0" xfId="0">
      <alignment vertical="top" wrapText="1"/>
    </xf>
    <xf numFmtId="0" fontId="23" fillId="21" borderId="0" applyAlignment="1" pivotButton="0" quotePrefix="0" xfId="0">
      <alignment vertical="top" wrapText="1"/>
    </xf>
    <xf numFmtId="0" fontId="3" fillId="0" borderId="0" applyAlignment="1" pivotButton="0" quotePrefix="0" xfId="0">
      <alignment vertical="top" wrapText="1"/>
    </xf>
    <xf numFmtId="0" fontId="28" fillId="0" borderId="0" applyAlignment="1" pivotButton="0" quotePrefix="0" xfId="0">
      <alignment vertical="top" wrapText="1"/>
    </xf>
    <xf numFmtId="0" fontId="23" fillId="21" borderId="0" pivotButton="0" quotePrefix="0" xfId="0"/>
    <xf numFmtId="0" fontId="27" fillId="22" borderId="0" applyAlignment="1" pivotButton="0" quotePrefix="0" xfId="0">
      <alignment vertical="top" wrapText="1"/>
    </xf>
    <xf numFmtId="0" fontId="23"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5" min="1" max="1"/>
    <col width="104" customWidth="1" style="145" min="2" max="2"/>
  </cols>
  <sheetData>
    <row r="1">
      <c r="A1" s="171" t="inlineStr">
        <is>
          <t>Read Me — Tab Guide &amp; Legend</t>
        </is>
      </c>
      <c r="B1" s="166" t="n"/>
    </row>
    <row r="2">
      <c r="A2" s="172" t="inlineStr">
        <is>
          <t>Connect QA Gap Analysis · Mobile App Regression stream</t>
        </is>
      </c>
      <c r="B2" s="166" t="n"/>
    </row>
    <row r="3">
      <c r="A3" s="166" t="inlineStr"/>
      <c r="B3" s="166" t="n"/>
    </row>
    <row r="4">
      <c r="A4" s="168" t="inlineStr">
        <is>
          <t>TWO OUTPUTS OF THIS EXERCISE</t>
        </is>
      </c>
      <c r="B4" s="166" t="n"/>
    </row>
    <row r="5">
      <c r="A5" s="166" t="inlineStr">
        <is>
          <t>Output 1: MTP completeness</t>
        </is>
      </c>
      <c r="B5" s="166" t="inlineStr">
        <is>
          <t>Everything the product does that was NOT documented in this test plan. ALL functional gaps get added to the plan, whether or not engineering already tests them.</t>
        </is>
      </c>
    </row>
    <row r="6">
      <c r="A6" s="166" t="inlineStr">
        <is>
          <t>Output 2: QA automation backlog</t>
        </is>
      </c>
      <c r="B6" s="166" t="inlineStr">
        <is>
          <t>The subset QA still needs to automate — the ones engineering does NOT already cover. Filter the Gap Analysis Action column for "Automate".</t>
        </is>
      </c>
    </row>
    <row r="7">
      <c r="A7" s="166" t="inlineStr"/>
      <c r="B7" s="166" t="n"/>
    </row>
    <row r="8">
      <c r="A8" s="168" t="inlineStr">
        <is>
          <t>TAB GUIDE (4 analysis tabs)</t>
        </is>
      </c>
      <c r="B8" s="166" t="n"/>
    </row>
    <row r="9">
      <c r="A9" s="166" t="inlineStr">
        <is>
          <t>Read Me</t>
        </is>
      </c>
      <c r="B9" s="166" t="inlineStr">
        <is>
          <t>This tab. The key to the workbook.</t>
        </is>
      </c>
    </row>
    <row r="10">
      <c r="A10" s="166" t="inlineStr">
        <is>
          <t>Dashboard</t>
        </is>
      </c>
      <c r="B10" s="166" t="inlineStr">
        <is>
          <t>One-screen live dashboard: the two outputs (add-to-MTP / automate), dev + reconcile counts, AND the Coverage Tracker — per-surface automation % of existing MTP cases. Read this first.</t>
        </is>
      </c>
    </row>
    <row r="11">
      <c r="A11" s="166" t="inlineStr">
        <is>
          <t>Gap Analysis  (MAIN OUTPUT)</t>
        </is>
      </c>
      <c r="B11" s="166" t="inlineStr">
        <is>
          <t>Every coverage gap found — behaviour in the code with NO case in the test plan. Each row has its Bucket, Eng Coverage, and Action. Reviewers work here.</t>
        </is>
      </c>
    </row>
    <row r="12">
      <c r="A12" s="166" t="inlineStr">
        <is>
          <t>Automation (existing MTP)</t>
        </is>
      </c>
      <c r="B12" s="166" t="inlineStr">
        <is>
          <t>The existing master test cases and their automation status: Green = already automated, Yellow = automatable-not-built, Red = manual-only. (This is the pass-1 baseline; the Dashboard Coverage Tracker rolls it up.)</t>
        </is>
      </c>
    </row>
    <row r="13">
      <c r="A13" s="166" t="inlineStr"/>
      <c r="B13" s="166" t="n"/>
    </row>
    <row r="14">
      <c r="A14" s="168" t="inlineStr">
        <is>
          <t>ORIGINAL TABS (not from this exercise)</t>
        </is>
      </c>
      <c r="B14" s="166" t="n"/>
    </row>
    <row r="15">
      <c r="A15" s="166" t="inlineStr">
        <is>
          <t>Test Tracker / Test Tracker Horizontal</t>
        </is>
      </c>
      <c r="B15" s="166" t="inlineStr">
        <is>
          <t>Pre-existing manual-execution trackers (run pass/fail). Left untouched.</t>
        </is>
      </c>
    </row>
    <row r="16">
      <c r="A16" s="166" t="inlineStr">
        <is>
          <t>Surface tabs (Login, Opportunity creation, Visit verification, ...)</t>
        </is>
      </c>
      <c r="B16" s="166" t="inlineStr">
        <is>
          <t>The existing master test plan — documented cases by product area. The "before" picture the gap analysis was measured against.</t>
        </is>
      </c>
    </row>
    <row r="17">
      <c r="A17" s="166" t="inlineStr"/>
      <c r="B17" s="166" t="n"/>
    </row>
    <row r="18">
      <c r="A18" s="168" t="inlineStr">
        <is>
          <t>GAP ANALYSIS — 3 row types (by Gap ID prefix)</t>
        </is>
      </c>
      <c r="B18" s="166" t="n"/>
    </row>
    <row r="19">
      <c r="A19" s="166" t="inlineStr">
        <is>
          <t>Functional gap</t>
        </is>
      </c>
      <c r="B19" s="166" t="inlineStr">
        <is>
          <t>Behaviour in code with no MTP case. Core finding. IDs: GAP-SRC-*, GAP-BE-*, GAP-FE-*.</t>
        </is>
      </c>
    </row>
    <row r="20">
      <c r="A20" s="166" t="inlineStr">
        <is>
          <t>Unit-test-coverage gap (dev)</t>
        </is>
      </c>
      <c r="B20" s="166" t="inlineStr">
        <is>
          <t>Where ENG code lacks a unit test. For dev teams. IDs: GAP-UTC-*.</t>
        </is>
      </c>
    </row>
    <row r="21">
      <c r="A21" s="166" t="inlineStr">
        <is>
          <t>Cross-cutting</t>
        </is>
      </c>
      <c r="B21" s="166" t="inlineStr">
        <is>
          <t>Hygiene / MTP-vs-code discrepancy / automation note. IDs: GAP-MISC-*, GAP-MMISC-*.</t>
        </is>
      </c>
    </row>
    <row r="22">
      <c r="A22" s="166" t="inlineStr"/>
      <c r="B22" s="166" t="n"/>
    </row>
    <row r="23">
      <c r="A23" s="168" t="inlineStr">
        <is>
          <t>BUCKET column</t>
        </is>
      </c>
      <c r="B23" s="166" t="inlineStr">
        <is>
          <t>🟢 Already automated  ·  🟡 Automatable-not-done (backlog)  ·  🔴 Manual only (real SMS/OTP/push/camera/device)</t>
        </is>
      </c>
    </row>
    <row r="24">
      <c r="A24" s="166" t="inlineStr">
        <is>
          <t>ENG COVERAGE column</t>
        </is>
      </c>
      <c r="B24" s="166" t="inlineStr">
        <is>
          <t>Eng-covered (logic) = eng already tests it, QA e2e only if critical  ·  QA-owned = eng cannot cover  ·  Partial = confirm w/ eng  ·  Eng GAP = eng missing a unit test  ·  N/A</t>
        </is>
      </c>
    </row>
    <row r="25">
      <c r="A25" s="166" t="inlineStr">
        <is>
          <t>ACTION column</t>
        </is>
      </c>
      <c r="B25" s="166"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66" customWidth="1" style="145" min="1" max="1"/>
    <col width="20" customWidth="1" style="145" min="2" max="2"/>
    <col width="20" customWidth="1" style="145" min="3" max="3"/>
    <col width="20" customWidth="1" style="145" min="4" max="4"/>
    <col width="20" customWidth="1" style="145" min="5" max="5"/>
    <col width="20" customWidth="1" style="145" min="6" max="6"/>
  </cols>
  <sheetData>
    <row r="1">
      <c r="A1" s="167" t="inlineStr">
        <is>
          <t>Dashboard — conclusions, outputs &amp; coverage (live)</t>
        </is>
      </c>
      <c r="B1" s="166" t="n"/>
      <c r="C1" s="166" t="n"/>
      <c r="D1" s="166" t="n"/>
      <c r="E1" s="166" t="n"/>
      <c r="F1" s="166" t="n"/>
    </row>
    <row r="2">
      <c r="A2" s="166" t="inlineStr"/>
      <c r="B2" s="166" t="n"/>
      <c r="C2" s="166" t="n"/>
      <c r="D2" s="166" t="n"/>
      <c r="E2" s="166" t="n"/>
      <c r="F2" s="166" t="n"/>
    </row>
    <row r="3">
      <c r="A3" s="182" t="inlineStr">
        <is>
          <t>CONCLUSIONS / ANALYSIS NOTES</t>
        </is>
      </c>
      <c r="B3" s="166" t="n"/>
      <c r="C3" s="166" t="n"/>
      <c r="D3" s="166" t="n"/>
      <c r="E3" s="166" t="n"/>
      <c r="F3" s="166" t="n"/>
    </row>
    <row r="4">
      <c r="A4" s="166" t="inlineStr">
        <is>
          <t>• Method: audited the master test plans against the actual product code to find behaviour with no test case (functional gaps), then cross-referenced each against engineering PR-run tests so QA does not duplicate eng work.</t>
        </is>
      </c>
      <c r="B4" s="166" t="n"/>
      <c r="C4" s="166" t="n"/>
      <c r="D4" s="166" t="n"/>
      <c r="E4" s="166" t="n"/>
      <c r="F4" s="166" t="n"/>
    </row>
    <row r="5">
      <c r="A5" s="166" t="inlineStr">
        <is>
          <t>• Two outputs: (1) MTP completeness = ALL functional gaps get added to the plan; (2) QA automation backlog = only the gaps eng does NOT already cover.</t>
        </is>
      </c>
      <c r="B5" s="166" t="n"/>
      <c r="C5" s="166" t="n"/>
      <c r="D5" s="166" t="n"/>
      <c r="E5" s="166" t="n"/>
      <c r="F5" s="166" t="n"/>
    </row>
    <row r="6">
      <c r="A6" s="166" t="inlineStr">
        <is>
          <t>• New gaps are mostly eng-covered: the majority of functional gaps found in code are already tested by eng at the logic layer -&gt; add to MTP for completeness, but do NOT re-automate. QA new-automation shortlist is small (real device/SMS/push/cross-system).</t>
        </is>
      </c>
      <c r="B6" s="166" t="n"/>
      <c r="C6" s="166" t="n"/>
      <c r="D6" s="166" t="n"/>
      <c r="E6" s="166" t="n"/>
      <c r="F6" s="166" t="n"/>
    </row>
    <row r="7">
      <c r="A7" s="166" t="inlineStr">
        <is>
          <t>• Existing MTP backlog is the opposite: automatable-not-built existing cases are overwhelmingly UI / end-to-end journeys that eng unit tests do NOT cover -&gt; this backlog genuinely needs QA automation (not duplicative of eng).</t>
        </is>
      </c>
      <c r="B7" s="166" t="n"/>
      <c r="C7" s="166" t="n"/>
      <c r="D7" s="166" t="n"/>
      <c r="E7" s="166" t="n"/>
      <c r="F7" s="166" t="n"/>
    </row>
    <row r="8">
      <c r="A8" s="166" t="inlineStr">
        <is>
          <t>• Net: eng-overlap savings land almost entirely on the NEW gaps, not the existing backlog. Manual-only (red) items stay manual regardless of framework.</t>
        </is>
      </c>
      <c r="B8" s="166" t="n"/>
      <c r="C8" s="166" t="n"/>
      <c r="D8" s="166" t="n"/>
      <c r="E8" s="166" t="n"/>
      <c r="F8" s="166" t="n"/>
    </row>
    <row r="9">
      <c r="A9" s="166" t="inlineStr">
        <is>
          <t>• All eng-coverage tags are best-guess from reading eng test structure, not verified line coverage - confirm the Partial items with the dev teams.</t>
        </is>
      </c>
      <c r="B9" s="166" t="n"/>
      <c r="C9" s="166" t="n"/>
      <c r="D9" s="166" t="n"/>
      <c r="E9" s="166" t="n"/>
      <c r="F9" s="166" t="n"/>
    </row>
    <row r="10">
      <c r="A10" s="166" t="inlineStr"/>
      <c r="B10" s="166" t="n"/>
      <c r="C10" s="166" t="n"/>
      <c r="D10" s="166" t="n"/>
      <c r="E10" s="166" t="n"/>
      <c r="F10" s="166" t="n"/>
    </row>
    <row r="11">
      <c r="A11" s="177" t="inlineStr">
        <is>
          <t>OUTPUTS (from Gap Analysis)</t>
        </is>
      </c>
      <c r="B11" s="166" t="n"/>
      <c r="C11" s="166" t="n"/>
      <c r="D11" s="166" t="n"/>
      <c r="E11" s="166" t="n"/>
      <c r="F11" s="166" t="n"/>
    </row>
    <row r="12">
      <c r="A12" s="166" t="inlineStr">
        <is>
          <t>Output 1: functional gaps to ADD to MTP</t>
        </is>
      </c>
      <c r="B12" s="166">
        <f>COUNTIF('Gap Analysis'!$L:$L,"Add to MTP*")</f>
        <v/>
      </c>
      <c r="C12" s="166" t="n"/>
      <c r="D12" s="166" t="n"/>
      <c r="E12" s="166" t="n"/>
      <c r="F12" s="166" t="n"/>
    </row>
    <row r="13">
      <c r="A13" s="166" t="inlineStr">
        <is>
          <t xml:space="preserve">   ...of which eng-covered (add to MTP only, do NOT automate)</t>
        </is>
      </c>
      <c r="B13" s="166">
        <f>COUNTIF('Gap Analysis'!$L:$L,"Add to MTP only*")</f>
        <v/>
      </c>
      <c r="C13" s="166" t="n"/>
      <c r="D13" s="166" t="n"/>
      <c r="E13" s="166" t="n"/>
      <c r="F13" s="166" t="n"/>
    </row>
    <row r="14">
      <c r="A14" s="166" t="inlineStr">
        <is>
          <t>Output 2: functional gaps to AUTOMATE (QA backlog)</t>
        </is>
      </c>
      <c r="B14" s="166">
        <f>COUNTIF('Gap Analysis'!$L:$L,"*Automate*")</f>
        <v/>
      </c>
      <c r="C14" s="166" t="n"/>
      <c r="D14" s="166" t="n"/>
      <c r="E14" s="166" t="n"/>
      <c r="F14" s="166" t="n"/>
    </row>
    <row r="15">
      <c r="A15" s="166" t="inlineStr">
        <is>
          <t xml:space="preserve">   ...of which QA-owned (eng cannot cover)</t>
        </is>
      </c>
      <c r="B15" s="166">
        <f>COUNTIF('Gap Analysis'!$L:$L,"*QA-owned*")</f>
        <v/>
      </c>
      <c r="C15" s="166" t="n"/>
      <c r="D15" s="166" t="n"/>
      <c r="E15" s="166" t="n"/>
      <c r="F15" s="166" t="n"/>
    </row>
    <row r="16">
      <c r="A16" s="166" t="inlineStr">
        <is>
          <t>Dev: unit-test-coverage gaps</t>
        </is>
      </c>
      <c r="B16" s="166">
        <f>COUNTIF('Gap Analysis'!$L:$L,"Dev:*")</f>
        <v/>
      </c>
      <c r="C16" s="166" t="n"/>
      <c r="D16" s="166" t="n"/>
      <c r="E16" s="166" t="n"/>
      <c r="F16" s="166" t="n"/>
    </row>
    <row r="17">
      <c r="A17" s="166" t="inlineStr">
        <is>
          <t>Cross-cutting: reconcile plan/code</t>
        </is>
      </c>
      <c r="B17" s="166">
        <f>COUNTIF('Gap Analysis'!$L:$L,"Reconcile*")</f>
        <v/>
      </c>
      <c r="C17" s="166" t="n"/>
      <c r="D17" s="166" t="n"/>
      <c r="E17" s="166" t="n"/>
      <c r="F17" s="166" t="n"/>
    </row>
    <row r="18">
      <c r="A18" s="166" t="inlineStr"/>
      <c r="B18" s="166" t="n"/>
      <c r="C18" s="166" t="n"/>
      <c r="D18" s="166" t="n"/>
      <c r="E18" s="166" t="n"/>
      <c r="F18" s="166" t="n"/>
    </row>
    <row r="19">
      <c r="A19" s="177" t="inlineStr">
        <is>
          <t>COVERAGE TRACKER — automation of existing MTP cases</t>
        </is>
      </c>
      <c r="B19" s="166" t="n"/>
      <c r="C19" s="166" t="n"/>
      <c r="D19" s="166" t="n"/>
      <c r="E19" s="166" t="n"/>
      <c r="F19" s="166" t="n"/>
    </row>
    <row r="20">
      <c r="A20" s="168" t="inlineStr">
        <is>
          <t>Surface</t>
        </is>
      </c>
      <c r="B20" s="168" t="inlineStr">
        <is>
          <t>Automated (built)</t>
        </is>
      </c>
      <c r="C20" s="168" t="inlineStr">
        <is>
          <t>Automatable (not built)</t>
        </is>
      </c>
      <c r="D20" s="168" t="inlineStr">
        <is>
          <t>Manual only</t>
        </is>
      </c>
      <c r="E20" s="168" t="inlineStr">
        <is>
          <t>Total</t>
        </is>
      </c>
      <c r="F20" s="168" t="inlineStr">
        <is>
          <t>% Automated</t>
        </is>
      </c>
    </row>
    <row r="21">
      <c r="A21" s="166" t="inlineStr">
        <is>
          <t>Personal ID Tests</t>
        </is>
      </c>
      <c r="B21" s="166">
        <f>COUNTIFS('Automation (existing MTP)'!$B:$B,$A21,'Automation (existing MTP)'!$D:$D,"🟢*")</f>
        <v/>
      </c>
      <c r="C21" s="166">
        <f>COUNTIFS('Automation (existing MTP)'!$B:$B,$A21,'Automation (existing MTP)'!$D:$D,"🟡*")</f>
        <v/>
      </c>
      <c r="D21" s="166">
        <f>COUNTIFS('Automation (existing MTP)'!$B:$B,$A21,'Automation (existing MTP)'!$D:$D,"🔴*")</f>
        <v/>
      </c>
      <c r="E21" s="166">
        <f>B21+C21+D21</f>
        <v/>
      </c>
      <c r="F21" s="174">
        <f>IF(E21&gt;0,B21/E21,0)</f>
        <v/>
      </c>
    </row>
    <row r="22">
      <c r="A22" s="166" t="inlineStr">
        <is>
          <t>Integration Tests (Connect)</t>
        </is>
      </c>
      <c r="B22" s="166">
        <f>COUNTIFS('Automation (existing MTP)'!$B:$B,$A22,'Automation (existing MTP)'!$D:$D,"🟢*")</f>
        <v/>
      </c>
      <c r="C22" s="166">
        <f>COUNTIFS('Automation (existing MTP)'!$B:$B,$A22,'Automation (existing MTP)'!$D:$D,"🟡*")</f>
        <v/>
      </c>
      <c r="D22" s="166">
        <f>COUNTIFS('Automation (existing MTP)'!$B:$B,$A22,'Automation (existing MTP)'!$D:$D,"🔴*")</f>
        <v/>
      </c>
      <c r="E22" s="166">
        <f>B22+C22+D22</f>
        <v/>
      </c>
      <c r="F22" s="174">
        <f>IF(E22&gt;0,B22/E22,0)</f>
        <v/>
      </c>
    </row>
    <row r="23">
      <c r="A23" s="166" t="inlineStr">
        <is>
          <t>Connect Landing Page</t>
        </is>
      </c>
      <c r="B23" s="166">
        <f>COUNTIFS('Automation (existing MTP)'!$B:$B,$A23,'Automation (existing MTP)'!$D:$D,"🟢*")</f>
        <v/>
      </c>
      <c r="C23" s="166">
        <f>COUNTIFS('Automation (existing MTP)'!$B:$B,$A23,'Automation (existing MTP)'!$D:$D,"🟡*")</f>
        <v/>
      </c>
      <c r="D23" s="166">
        <f>COUNTIFS('Automation (existing MTP)'!$B:$B,$A23,'Automation (existing MTP)'!$D:$D,"🔴*")</f>
        <v/>
      </c>
      <c r="E23" s="166">
        <f>B23+C23+D23</f>
        <v/>
      </c>
      <c r="F23" s="174">
        <f>IF(E23&gt;0,B23/E23,0)</f>
        <v/>
      </c>
    </row>
    <row r="24">
      <c r="A24" s="166" t="inlineStr">
        <is>
          <t>Connect messaging</t>
        </is>
      </c>
      <c r="B24" s="166">
        <f>COUNTIFS('Automation (existing MTP)'!$B:$B,$A24,'Automation (existing MTP)'!$D:$D,"🟢*")</f>
        <v/>
      </c>
      <c r="C24" s="166">
        <f>COUNTIFS('Automation (existing MTP)'!$B:$B,$A24,'Automation (existing MTP)'!$D:$D,"🟡*")</f>
        <v/>
      </c>
      <c r="D24" s="166">
        <f>COUNTIFS('Automation (existing MTP)'!$B:$B,$A24,'Automation (existing MTP)'!$D:$D,"🔴*")</f>
        <v/>
      </c>
      <c r="E24" s="166">
        <f>B24+C24+D24</f>
        <v/>
      </c>
      <c r="F24" s="174">
        <f>IF(E24&gt;0,B24/E24,0)</f>
        <v/>
      </c>
    </row>
    <row r="25">
      <c r="A25" s="166" t="inlineStr">
        <is>
          <t>Connect Notifications</t>
        </is>
      </c>
      <c r="B25" s="166">
        <f>COUNTIFS('Automation (existing MTP)'!$B:$B,$A25,'Automation (existing MTP)'!$D:$D,"🟢*")</f>
        <v/>
      </c>
      <c r="C25" s="166">
        <f>COUNTIFS('Automation (existing MTP)'!$B:$B,$A25,'Automation (existing MTP)'!$D:$D,"🟡*")</f>
        <v/>
      </c>
      <c r="D25" s="166">
        <f>COUNTIFS('Automation (existing MTP)'!$B:$B,$A25,'Automation (existing MTP)'!$D:$D,"🔴*")</f>
        <v/>
      </c>
      <c r="E25" s="166">
        <f>B25+C25+D25</f>
        <v/>
      </c>
      <c r="F25" s="174">
        <f>IF(E25&gt;0,B25/E25,0)</f>
        <v/>
      </c>
    </row>
    <row r="26">
      <c r="A26" s="166" t="inlineStr">
        <is>
          <t>Connect worker History</t>
        </is>
      </c>
      <c r="B26" s="166">
        <f>COUNTIFS('Automation (existing MTP)'!$B:$B,$A26,'Automation (existing MTP)'!$D:$D,"🟢*")</f>
        <v/>
      </c>
      <c r="C26" s="166">
        <f>COUNTIFS('Automation (existing MTP)'!$B:$B,$A26,'Automation (existing MTP)'!$D:$D,"🟡*")</f>
        <v/>
      </c>
      <c r="D26" s="166">
        <f>COUNTIFS('Automation (existing MTP)'!$B:$B,$A26,'Automation (existing MTP)'!$D:$D,"🔴*")</f>
        <v/>
      </c>
      <c r="E26" s="166">
        <f>B26+C26+D26</f>
        <v/>
      </c>
      <c r="F26" s="174">
        <f>IF(E26&gt;0,B26/E26,0)</f>
        <v/>
      </c>
    </row>
    <row r="27">
      <c r="A27" s="166" t="inlineStr">
        <is>
          <t xml:space="preserve">Case List map </t>
        </is>
      </c>
      <c r="B27" s="166">
        <f>COUNTIFS('Automation (existing MTP)'!$B:$B,$A27,'Automation (existing MTP)'!$D:$D,"🟢*")</f>
        <v/>
      </c>
      <c r="C27" s="166">
        <f>COUNTIFS('Automation (existing MTP)'!$B:$B,$A27,'Automation (existing MTP)'!$D:$D,"🟡*")</f>
        <v/>
      </c>
      <c r="D27" s="166">
        <f>COUNTIFS('Automation (existing MTP)'!$B:$B,$A27,'Automation (existing MTP)'!$D:$D,"🔴*")</f>
        <v/>
      </c>
      <c r="E27" s="166">
        <f>B27+C27+D27</f>
        <v/>
      </c>
      <c r="F27" s="174">
        <f>IF(E27&gt;0,B27/E27,0)</f>
        <v/>
      </c>
    </row>
    <row r="28">
      <c r="A28" s="175" t="inlineStr">
        <is>
          <t>TOTAL</t>
        </is>
      </c>
      <c r="B28" s="175">
        <f>SUM(B21:B27)</f>
        <v/>
      </c>
      <c r="C28" s="175">
        <f>SUM(C21:C27)</f>
        <v/>
      </c>
      <c r="D28" s="175">
        <f>SUM(D21:D27)</f>
        <v/>
      </c>
      <c r="E28" s="175">
        <f>SUM(E21:E27)</f>
        <v/>
      </c>
      <c r="F28" s="176">
        <f>IF(E28&gt;0,B28/E28,0)</f>
        <v/>
      </c>
    </row>
    <row r="29">
      <c r="A29" s="166" t="inlineStr"/>
      <c r="B29" s="166" t="n"/>
      <c r="C29" s="166" t="n"/>
      <c r="D29" s="166" t="n"/>
      <c r="E29" s="166" t="n"/>
      <c r="F29" s="166" t="n"/>
    </row>
    <row r="30">
      <c r="A30" s="177" t="inlineStr">
        <is>
          <t>EXISTING automatable-not-built cases — do they need automating?</t>
        </is>
      </c>
      <c r="B30" s="166" t="n"/>
      <c r="C30" s="166" t="n"/>
      <c r="D30" s="166" t="n"/>
      <c r="E30" s="166" t="n"/>
      <c r="F30" s="166" t="n"/>
    </row>
    <row r="31">
      <c r="A31" s="166" t="inlineStr">
        <is>
          <t>QA-owned (UI/e2e - need automating)</t>
        </is>
      </c>
      <c r="B31" s="166">
        <f>COUNTIF('Automation (existing MTP)'!$G:$G,"QA-owned (UI*")</f>
        <v/>
      </c>
      <c r="C31" s="166" t="n"/>
      <c r="D31" s="166" t="n"/>
      <c r="E31" s="166" t="n"/>
      <c r="F31" s="166" t="n"/>
    </row>
    <row r="32">
      <c r="A32" s="166" t="inlineStr">
        <is>
          <t>Likely already eng-covered (confirm - may NOT need automating)</t>
        </is>
      </c>
      <c r="B32" s="166">
        <f>COUNTIF('Automation (existing MTP)'!$G:$G,"Partial*")</f>
        <v/>
      </c>
      <c r="C32" s="166" t="n"/>
      <c r="D32" s="166" t="n"/>
      <c r="E32" s="166" t="n"/>
      <c r="F32" s="166"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 width="40" customWidth="1" style="145" min="12" max="12"/>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c r="L1" s="165" t="inlineStr">
        <is>
          <t>Action</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c r="L2" s="166" t="inlineStr">
        <is>
          <t>Reconcile (plan/code)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c r="L3" s="166" t="inlineStr">
        <is>
          <t>Reconcile (plan/code)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c r="L4" s="166" t="inlineStr">
        <is>
          <t>Reconcile (plan/code)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c r="L5" s="166" t="inlineStr">
        <is>
          <t>Reconcile (plan/code)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c r="L6" s="166" t="inlineStr">
        <is>
          <t>Reconcile (plan/code)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c r="L7" s="166" t="inlineStr">
        <is>
          <t>Reconcile (plan/code)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c r="L8" s="166" t="inlineStr">
        <is>
          <t>Add to MTP + Automate (QA-owned)</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c r="L9" s="166" t="inlineStr">
        <is>
          <t>Add to MTP only (eng-covered)</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c r="L10" s="166" t="inlineStr">
        <is>
          <t>Add to MTP + Automate (QA-owned)</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c r="L11" s="166" t="inlineStr">
        <is>
          <t>Add to MTP + Automate (QA-owned)</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c r="L12" s="166" t="inlineStr">
        <is>
          <t>Add to MTP only (eng-covered)</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c r="L13" s="166" t="inlineStr">
        <is>
          <t>Add to MTP only (eng-covered)</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c r="L14" s="166" t="inlineStr">
        <is>
          <t>Add to MTP only (eng-covered)</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c r="L15" s="166" t="inlineStr">
        <is>
          <t>Add to MTP + Automate (QA-owned)</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c r="L16" s="166" t="inlineStr">
        <is>
          <t>Add to MTP only (eng-covered)</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c r="L17" s="166" t="inlineStr">
        <is>
          <t>Add to MTP only (eng-covered)</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c r="L18" s="166" t="inlineStr">
        <is>
          <t>Add to MTP + Automate (QA-owned)</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c r="L19" s="166" t="inlineStr">
        <is>
          <t>Add to MTP only (eng-covered)</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c r="L20" s="166" t="inlineStr">
        <is>
          <t>Add to MTP only (eng-covered)</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c r="L21" s="166" t="inlineStr">
        <is>
          <t>Add to MTP + Automate (QA-owned)</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c r="L22" s="166" t="inlineStr">
        <is>
          <t>Add to MTP + Automate (QA-owned)</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c r="L23" s="166" t="inlineStr">
        <is>
          <t>Add to MTP only (eng-covered)</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c r="L24" s="166" t="inlineStr">
        <is>
          <t>Add to MTP only (eng-covered)</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c r="L25" s="166" t="inlineStr">
        <is>
          <t>Add to MTP only (eng-covered)</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c r="L26" s="166" t="inlineStr">
        <is>
          <t>Add to MTP only (eng-covered)</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c r="L27" s="166" t="inlineStr">
        <is>
          <t>Add to MTP only (eng-covered)</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c r="L28" s="166" t="inlineStr">
        <is>
          <t>Add to MTP only (eng-covered)</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c r="L29" s="166" t="inlineStr">
        <is>
          <t>Add to MTP + Automate (QA-owned)</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c r="L30" s="166" t="inlineStr">
        <is>
          <t>Add to MTP only (eng-covered)</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c r="L31" s="166" t="inlineStr">
        <is>
          <t>Add to MTP only (eng-covered)</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c r="L32" s="166" t="inlineStr">
        <is>
          <t>Add to MTP + Automate (QA-owned)</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c r="L33" s="166" t="inlineStr">
        <is>
          <t>Dev: add unit test</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c r="L34" s="166" t="inlineStr">
        <is>
          <t>Dev: add unit test</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c r="L35" s="166" t="inlineStr">
        <is>
          <t>Dev: add unit test</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c r="L36" s="166" t="inlineStr">
        <is>
          <t>Dev: add unit test</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c r="L37" s="166" t="inlineStr">
        <is>
          <t>Dev: add unit test</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c r="L38" s="166" t="inlineStr">
        <is>
          <t>Add to MTP only (eng-covered)</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c r="L39" s="166" t="inlineStr">
        <is>
          <t>Add to MTP only (eng-covered)</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c r="L40" s="166" t="inlineStr">
        <is>
          <t>Add to MTP only (eng-covered)</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c r="L41" s="166" t="inlineStr">
        <is>
          <t>Add to MTP only (eng-covered)</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c r="L42" s="166" t="inlineStr">
        <is>
          <t>Add to MTP only (eng-covered)</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c r="L43" s="166" t="inlineStr">
        <is>
          <t>Add to MTP + Automate (QA-owned)</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c r="L44" s="166" t="inlineStr">
        <is>
          <t>Add to MTP + Automate (QA-owned)</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c r="L45" s="166" t="inlineStr">
        <is>
          <t>Add to MTP only (eng-covered)</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c r="L46" s="166" t="inlineStr">
        <is>
          <t>Add to MTP only (eng-covered)</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c r="L47" s="166" t="inlineStr">
        <is>
          <t>Add to MTP only (eng-covered)</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c r="L48" s="166" t="inlineStr">
        <is>
          <t>Add to MTP only (eng-covered)</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c r="L49" s="166" t="inlineStr">
        <is>
          <t>Add to MTP only (eng-covered)</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c r="L50" s="166" t="inlineStr">
        <is>
          <t>Reconcile (plan/code)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c r="L51" s="166" t="inlineStr">
        <is>
          <t>Reconcile (plan/code)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c r="L52" s="166" t="inlineStr">
        <is>
          <t>Reconcile (plan/code)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c r="L53" s="166" t="inlineStr">
        <is>
          <t>Add to MTP only (eng-covered)</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c r="L54" s="166" t="inlineStr">
        <is>
          <t>Add to MTP only (eng-covered)</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c r="L55" s="166" t="inlineStr">
        <is>
          <t>Add to MTP only (eng-covered)</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c r="L56" s="166" t="inlineStr">
        <is>
          <t>Add to MTP only (eng-covered)</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c r="L57" s="166" t="inlineStr">
        <is>
          <t>Add to MTP only (eng-covered)</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c r="L58" s="166" t="inlineStr">
        <is>
          <t>Add to MTP only (eng-covered)</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c r="L59" s="166" t="inlineStr">
        <is>
          <t>Add to MTP only (eng-covered)</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c r="L60" s="166" t="inlineStr">
        <is>
          <t>Add to MTP only (eng-covered)</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c r="L61" s="166" t="inlineStr">
        <is>
          <t>Add to MTP only (eng-covered)</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c r="L62" s="166" t="inlineStr">
        <is>
          <t>Add to MTP only (eng-covered)</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c r="L63" s="166" t="inlineStr">
        <is>
          <t>Add to MTP only (eng-covered)</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c r="L64" s="166" t="inlineStr">
        <is>
          <t>Add to MTP only (eng-covered)</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c r="L65" s="166" t="inlineStr">
        <is>
          <t>Add to MTP only (eng-covered)</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c r="L66" s="166" t="inlineStr">
        <is>
          <t>Add to MTP only (eng-covered)</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c r="L67" s="166" t="inlineStr">
        <is>
          <t>Add to MTP only (eng-covered)</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c r="L68" s="166" t="inlineStr">
        <is>
          <t>Add to MTP only (eng-covered)</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c r="L69" s="166" t="inlineStr">
        <is>
          <t>Add to MTP only (eng-covered)</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c r="L70" s="166" t="inlineStr">
        <is>
          <t>Add to MTP only (eng-covered)</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c r="L71" s="166" t="inlineStr">
        <is>
          <t>Add to MTP only (eng-covered)</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c r="L72" s="166" t="inlineStr">
        <is>
          <t>Add to MTP only (eng-covered)</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c r="L73" s="166" t="inlineStr">
        <is>
          <t>Add to MTP only (eng-covered)</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c r="L74" s="166" t="inlineStr">
        <is>
          <t>Add to MTP only (eng-covered)</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c r="L75" s="166" t="inlineStr">
        <is>
          <t>Add to MTP only (eng-covered)</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c r="L76" s="166" t="inlineStr">
        <is>
          <t>Add to MTP only (eng-covered)</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c r="L77" s="166" t="inlineStr">
        <is>
          <t>Add to MTP only (eng-covered)</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c r="L78" s="166" t="inlineStr">
        <is>
          <t>Add to MTP only (eng-covered)</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c r="L79" s="166" t="inlineStr">
        <is>
          <t>Add to MTP only (eng-covered)</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c r="L80" s="166" t="inlineStr">
        <is>
          <t>Add to MTP only (eng-covered)</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c r="L81" s="166" t="inlineStr">
        <is>
          <t>Add to MTP only (eng-covered)</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c r="L82" s="166" t="inlineStr">
        <is>
          <t>Add to MTP only (eng-covered)</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c r="L83" s="166" t="inlineStr">
        <is>
          <t>Add to MTP only (eng-covered)</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c r="L84" s="166" t="inlineStr">
        <is>
          <t>Add to MTP only (eng-covered)</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c r="L85" s="166" t="inlineStr">
        <is>
          <t>Add to MTP only (eng-covered)</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c r="L86" s="166" t="inlineStr">
        <is>
          <t>Add to MTP only (eng-covered)</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c r="L87" s="166" t="inlineStr">
        <is>
          <t>Add to MTP only (eng-covered)</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c r="L88" s="166" t="inlineStr">
        <is>
          <t>Add to MTP only (eng-covered)</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c r="L89" s="166" t="inlineStr">
        <is>
          <t>Add to MTP only (eng-covered)</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c r="L90" s="166" t="inlineStr">
        <is>
          <t>Add to MTP only (eng-covered)</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c r="L91" s="166" t="inlineStr">
        <is>
          <t>Add to MTP only (eng-covered)</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c r="L92" s="166" t="inlineStr">
        <is>
          <t>Reconcile (plan/code)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c r="L93" s="166" t="inlineStr">
        <is>
          <t>Add to MTP only (eng-covered)</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c r="L94" s="166" t="inlineStr">
        <is>
          <t>Add to MTP only (eng-covered)</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c r="L95" s="166" t="inlineStr">
        <is>
          <t>Add to MTP only (eng-covered)</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c r="L96" s="166" t="inlineStr">
        <is>
          <t>Add to MTP only (eng-covered)</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c r="L97" s="166" t="inlineStr">
        <is>
          <t>Add to MTP only (eng-covered)</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c r="L98" s="166" t="inlineStr">
        <is>
          <t>Add to MTP only (eng-covered)</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c r="L99" s="166" t="inlineStr">
        <is>
          <t>Add to MTP only (eng-covered)</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c r="L100" s="166" t="inlineStr">
        <is>
          <t>Add to MTP only (eng-covered)</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c r="L101" s="166" t="inlineStr">
        <is>
          <t>Add to MTP only (eng-covered)</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c r="L102" s="166" t="inlineStr">
        <is>
          <t>Add to MTP only (eng-covered)</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c r="L103" s="166" t="inlineStr">
        <is>
          <t>Add to MTP only (eng-covered)</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c r="L104" s="166" t="inlineStr">
        <is>
          <t>Add to MTP only (eng-covered)</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c r="L105" s="166" t="inlineStr">
        <is>
          <t>Add to MTP only (eng-covered)</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c r="L106" s="166"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7"/>
  <sheetViews>
    <sheetView workbookViewId="0">
      <selection activeCell="A1" sqref="A1"/>
    </sheetView>
  </sheetViews>
  <sheetFormatPr baseColWidth="8" defaultRowHeight="15"/>
  <cols>
    <col width="20" customWidth="1" style="145" min="1" max="1"/>
    <col width="26" customWidth="1" style="145" min="2" max="2"/>
    <col width="70" customWidth="1" style="145" min="3" max="3"/>
    <col width="26" customWidth="1" style="145" min="4" max="4"/>
    <col width="45" customWidth="1" style="145" min="5" max="5"/>
    <col width="26" customWidth="1" style="145" min="6" max="6"/>
    <col width="44" customWidth="1" style="145" min="7" max="7"/>
  </cols>
  <sheetData>
    <row r="1">
      <c r="A1" s="165" t="inlineStr">
        <is>
          <t>Case / Gap ID</t>
        </is>
      </c>
      <c r="B1" s="165" t="inlineStr">
        <is>
          <t>Surface</t>
        </is>
      </c>
      <c r="C1" s="165" t="inlineStr">
        <is>
          <t>Description</t>
        </is>
      </c>
      <c r="D1" s="165" t="inlineStr">
        <is>
          <t>Status</t>
        </is>
      </c>
      <c r="E1" s="165" t="inlineStr">
        <is>
          <t>Detail</t>
        </is>
      </c>
      <c r="F1" s="165" t="inlineStr">
        <is>
          <t>Source</t>
        </is>
      </c>
      <c r="G1" s="165" t="inlineStr">
        <is>
          <t>Eng Coverage</t>
        </is>
      </c>
    </row>
    <row r="2">
      <c r="A2" s="166" t="inlineStr">
        <is>
          <t>TC_01</t>
        </is>
      </c>
      <c r="B2" s="166" t="inlineStr">
        <is>
          <t>Personal ID Tests</t>
        </is>
      </c>
      <c r="C2" s="166" t="inlineStr">
        <is>
          <t>Confirm an existing user is able to sign in and is able to continue to work</t>
        </is>
      </c>
      <c r="D2" s="166" t="inlineStr">
        <is>
          <t>🟢 Already automated</t>
        </is>
      </c>
      <c r="E2" s="166" t="inlineStr">
        <is>
          <t>test_tc_01 (existing demo-user sign-in)</t>
        </is>
      </c>
      <c r="F2" s="166" t="inlineStr">
        <is>
          <t>Confirmed automated (pass 1)</t>
        </is>
      </c>
      <c r="G2" s="166" t="inlineStr">
        <is>
          <t>Already automated (n/a)</t>
        </is>
      </c>
    </row>
    <row r="3">
      <c r="A3" s="166" t="inlineStr">
        <is>
          <t>TC_03</t>
        </is>
      </c>
      <c r="B3" s="166" t="inlineStr">
        <is>
          <t>Personal ID Tests</t>
        </is>
      </c>
      <c r="C3" s="166" t="inlineStr">
        <is>
          <t>Verify user can logout of Personal ID and re-authenitcate themselves</t>
        </is>
      </c>
      <c r="D3" s="166" t="inlineStr">
        <is>
          <t>🟢 Already automated</t>
        </is>
      </c>
      <c r="E3" s="166" t="inlineStr">
        <is>
          <t>test_tc_01 (forget PID / re-auth)</t>
        </is>
      </c>
      <c r="F3" s="166" t="inlineStr">
        <is>
          <t>Confirmed automated (pass 1)</t>
        </is>
      </c>
      <c r="G3" s="166" t="inlineStr">
        <is>
          <t>Already automated (n/a)</t>
        </is>
      </c>
    </row>
    <row r="4">
      <c r="A4" s="166" t="inlineStr">
        <is>
          <t>TC_28</t>
        </is>
      </c>
      <c r="B4" s="166" t="inlineStr">
        <is>
          <t>Personal ID Tests</t>
        </is>
      </c>
      <c r="C4" s="166" t="inlineStr">
        <is>
          <t>Verify user is able to sign out, by clicking "Forget PersonalID user"</t>
        </is>
      </c>
      <c r="D4" s="166" t="inlineStr">
        <is>
          <t>🟢 Already automated</t>
        </is>
      </c>
      <c r="E4" s="166" t="inlineStr">
        <is>
          <t>test_tc_01 (forget PersonalID sign out)</t>
        </is>
      </c>
      <c r="F4" s="166" t="inlineStr">
        <is>
          <t>Confirmed automated (pass 1)</t>
        </is>
      </c>
      <c r="G4" s="166" t="inlineStr">
        <is>
          <t>Already automated (n/a)</t>
        </is>
      </c>
    </row>
    <row r="5">
      <c r="A5" s="166" t="inlineStr">
        <is>
          <t>TC_31</t>
        </is>
      </c>
      <c r="B5" s="166" t="inlineStr">
        <is>
          <t>Personal ID Tests</t>
        </is>
      </c>
      <c r="C5" s="166" t="inlineStr">
        <is>
          <t>Verify user is unable to recover the account, if they enter a wrong backup code</t>
        </is>
      </c>
      <c r="D5" s="166" t="inlineStr">
        <is>
          <t>🟢 Already automated</t>
        </is>
      </c>
      <c r="E5" s="166" t="inlineStr">
        <is>
          <t>test_tc_01 (wrong backup code error)</t>
        </is>
      </c>
      <c r="F5" s="166" t="inlineStr">
        <is>
          <t>Confirmed automated (pass 1)</t>
        </is>
      </c>
      <c r="G5" s="166" t="inlineStr">
        <is>
          <t>Already automated (n/a)</t>
        </is>
      </c>
    </row>
    <row r="6">
      <c r="A6" s="166" t="inlineStr">
        <is>
          <t>TC_32</t>
        </is>
      </c>
      <c r="B6" s="166" t="inlineStr">
        <is>
          <t>Personal ID Tests</t>
        </is>
      </c>
      <c r="C6" s="166" t="inlineStr">
        <is>
          <t>Verify user account is locked when they enter the backup code wrong more than 3 times</t>
        </is>
      </c>
      <c r="D6" s="166" t="inlineStr">
        <is>
          <t>🟢 Already automated</t>
        </is>
      </c>
      <c r="E6" s="166" t="inlineStr">
        <is>
          <t>test_tc_02 (account locked popup)</t>
        </is>
      </c>
      <c r="F6" s="166" t="inlineStr">
        <is>
          <t>Confirmed automated (pass 1)</t>
        </is>
      </c>
      <c r="G6" s="166" t="inlineStr">
        <is>
          <t>Already automated (n/a)</t>
        </is>
      </c>
    </row>
    <row r="7">
      <c r="A7" s="166" t="inlineStr">
        <is>
          <t>TC_01</t>
        </is>
      </c>
      <c r="B7" s="166" t="inlineStr">
        <is>
          <t>Integration Tests (Connect)</t>
        </is>
      </c>
      <c r="C7" s="166" t="inlineStr">
        <is>
          <t>Confirm after signing up with a Personal ID, user sees all the connect options in the side menu</t>
        </is>
      </c>
      <c r="D7" s="166" t="inlineStr">
        <is>
          <t>🟢 Already automated</t>
        </is>
      </c>
      <c r="E7" s="166" t="inlineStr">
        <is>
          <t>test_tc_01 (connect side-menu options)</t>
        </is>
      </c>
      <c r="F7" s="166" t="inlineStr">
        <is>
          <t>Confirmed automated (pass 1)</t>
        </is>
      </c>
      <c r="G7" s="166" t="inlineStr">
        <is>
          <t>Already automated (n/a)</t>
        </is>
      </c>
    </row>
    <row r="8">
      <c r="A8" s="166" t="inlineStr">
        <is>
          <t>TC_08</t>
        </is>
      </c>
      <c r="B8" s="166" t="inlineStr">
        <is>
          <t>Integration Tests (Connect)</t>
        </is>
      </c>
      <c r="C8" s="166" t="inlineStr">
        <is>
          <t>Verify on clicking the opportunities option from the side drawer takes you to the opportunity list page</t>
        </is>
      </c>
      <c r="D8" s="166" t="inlineStr">
        <is>
          <t>🟢 Already automated</t>
        </is>
      </c>
      <c r="E8" s="166" t="inlineStr">
        <is>
          <t>test_tc_03 (opportunities option -&gt; list)</t>
        </is>
      </c>
      <c r="F8" s="166" t="inlineStr">
        <is>
          <t>Confirmed automated (pass 1)</t>
        </is>
      </c>
      <c r="G8" s="166" t="inlineStr">
        <is>
          <t>Already automated (n/a)</t>
        </is>
      </c>
    </row>
    <row r="9">
      <c r="A9" s="166" t="inlineStr">
        <is>
          <t>TC_10</t>
        </is>
      </c>
      <c r="B9" s="166" t="inlineStr">
        <is>
          <t>Integration Tests (Connect)</t>
        </is>
      </c>
      <c r="C9" s="166" t="inlineStr">
        <is>
          <t>Verify on clicking the messaging option, user is taken channels list page</t>
        </is>
      </c>
      <c r="D9" s="166" t="inlineStr">
        <is>
          <t>🟢 Already automated</t>
        </is>
      </c>
      <c r="E9" s="166" t="inlineStr">
        <is>
          <t>test_tc_07 (messaging -&gt; channels list)</t>
        </is>
      </c>
      <c r="F9" s="166" t="inlineStr">
        <is>
          <t>Confirmed automated (pass 1)</t>
        </is>
      </c>
      <c r="G9" s="166" t="inlineStr">
        <is>
          <t>Already automated (n/a)</t>
        </is>
      </c>
    </row>
    <row r="10">
      <c r="A10" s="166" t="inlineStr">
        <is>
          <t>TC_17</t>
        </is>
      </c>
      <c r="B10" s="166" t="inlineStr">
        <is>
          <t>Integration Tests (Connect)</t>
        </is>
      </c>
      <c r="C10" s="166" t="inlineStr">
        <is>
          <t>Verify mobile users sess all the opportunities that they are invited to on the opportunity list page</t>
        </is>
      </c>
      <c r="D10" s="166" t="inlineStr">
        <is>
          <t>🟢 Already automated</t>
        </is>
      </c>
      <c r="E10" s="166" t="inlineStr">
        <is>
          <t>test_tc_03 (opportunity list shown)</t>
        </is>
      </c>
      <c r="F10" s="166" t="inlineStr">
        <is>
          <t>Confirmed automated (pass 1)</t>
        </is>
      </c>
      <c r="G10" s="166" t="inlineStr">
        <is>
          <t>Already automated (n/a)</t>
        </is>
      </c>
    </row>
    <row r="11">
      <c r="A11" s="166" t="inlineStr">
        <is>
          <t>TC_20</t>
        </is>
      </c>
      <c r="B11" s="166" t="inlineStr">
        <is>
          <t>Integration Tests (Connect)</t>
        </is>
      </c>
      <c r="C11" s="166" t="inlineStr">
        <is>
          <t>Verify on selecting the view opportunity button, user sees the description and all the opportunity details</t>
        </is>
      </c>
      <c r="D11" s="166" t="inlineStr">
        <is>
          <t>🟢 Already automated</t>
        </is>
      </c>
      <c r="E11" s="166" t="inlineStr">
        <is>
          <t>test_tc_03 (view opportunity details/job card)</t>
        </is>
      </c>
      <c r="F11" s="166" t="inlineStr">
        <is>
          <t>Confirmed automated (pass 1)</t>
        </is>
      </c>
      <c r="G11" s="166" t="inlineStr">
        <is>
          <t>Already automated (n/a)</t>
        </is>
      </c>
    </row>
    <row r="12">
      <c r="A12" s="166" t="inlineStr">
        <is>
          <t>TC_21</t>
        </is>
      </c>
      <c r="B12" s="166" t="inlineStr">
        <is>
          <t>Integration Tests (Connect)</t>
        </is>
      </c>
      <c r="C12" s="166" t="inlineStr">
        <is>
          <t>Ensure that after downloading the learn app, the opportunity status gets updated on the mobile</t>
        </is>
      </c>
      <c r="D12" s="166" t="inlineStr">
        <is>
          <t>🟢 Already automated</t>
        </is>
      </c>
      <c r="E12" s="166" t="inlineStr">
        <is>
          <t>test_tc_04 (learn app in-progress status)</t>
        </is>
      </c>
      <c r="F12" s="166" t="inlineStr">
        <is>
          <t>Confirmed automated (pass 1)</t>
        </is>
      </c>
      <c r="G12" s="166" t="inlineStr">
        <is>
          <t>Already automated (n/a)</t>
        </is>
      </c>
    </row>
    <row r="13">
      <c r="A13" s="166" t="inlineStr">
        <is>
          <t>TC_22</t>
        </is>
      </c>
      <c r="B13" s="166" t="inlineStr">
        <is>
          <t>Integration Tests (Connect)</t>
        </is>
      </c>
      <c r="C13" s="166" t="inlineStr">
        <is>
          <t>Verify user is able to dowload the Learn App from the opportunity</t>
        </is>
      </c>
      <c r="D13" s="166" t="inlineStr">
        <is>
          <t>🟢 Already automated</t>
        </is>
      </c>
      <c r="E13" s="166" t="inlineStr">
        <is>
          <t>test_tc_04 (download learn app)</t>
        </is>
      </c>
      <c r="F13" s="166" t="inlineStr">
        <is>
          <t>Confirmed automated (pass 1)</t>
        </is>
      </c>
      <c r="G13" s="166" t="inlineStr">
        <is>
          <t>Already automated (n/a)</t>
        </is>
      </c>
    </row>
    <row r="14">
      <c r="A14" s="166" t="inlineStr">
        <is>
          <t>TC_23</t>
        </is>
      </c>
      <c r="B14" s="166" t="inlineStr">
        <is>
          <t>Integration Tests (Connect)</t>
        </is>
      </c>
      <c r="C14" s="166" t="inlineStr">
        <is>
          <t>Ensure that user is taken to the app home screen after successful download of the Learn App</t>
        </is>
      </c>
      <c r="D14" s="166" t="inlineStr">
        <is>
          <t>🟢 Already automated</t>
        </is>
      </c>
      <c r="E14" s="166" t="inlineStr">
        <is>
          <t>test_tc_04 (auto-login to learn app)</t>
        </is>
      </c>
      <c r="F14" s="166" t="inlineStr">
        <is>
          <t>Confirmed automated (pass 1)</t>
        </is>
      </c>
      <c r="G14" s="166" t="inlineStr">
        <is>
          <t>Already automated (n/a)</t>
        </is>
      </c>
    </row>
    <row r="15">
      <c r="A15" s="166" t="inlineStr">
        <is>
          <t>TC_24</t>
        </is>
      </c>
      <c r="B15" s="166" t="inlineStr">
        <is>
          <t>Integration Tests (Connect)</t>
        </is>
      </c>
      <c r="C15" s="166" t="inlineStr">
        <is>
          <t>Verify on submitting the forms, learn app progress is updated in the app</t>
        </is>
      </c>
      <c r="D15" s="166" t="inlineStr">
        <is>
          <t>🟢 Already automated</t>
        </is>
      </c>
      <c r="E15" s="166" t="inlineStr">
        <is>
          <t>test_tc_04 (learn progress updates)</t>
        </is>
      </c>
      <c r="F15" s="166" t="inlineStr">
        <is>
          <t>Confirmed automated (pass 1)</t>
        </is>
      </c>
      <c r="G15" s="166" t="inlineStr">
        <is>
          <t>Already automated (n/a)</t>
        </is>
      </c>
    </row>
    <row r="16">
      <c r="A16" s="166" t="inlineStr">
        <is>
          <t>TC_26</t>
        </is>
      </c>
      <c r="B16" s="166" t="inlineStr">
        <is>
          <t>Integration Tests (Connect)</t>
        </is>
      </c>
      <c r="C16" s="166" t="inlineStr">
        <is>
          <t>Confirm user is unable to claim the job, if they don't pass the assessment</t>
        </is>
      </c>
      <c r="D16" s="166" t="inlineStr">
        <is>
          <t>🟢 Already automated</t>
        </is>
      </c>
      <c r="E16" s="166" t="inlineStr">
        <is>
          <t>test_tc_04 (fail assessment - cannot claim)</t>
        </is>
      </c>
      <c r="F16" s="166" t="inlineStr">
        <is>
          <t>Confirmed automated (pass 1)</t>
        </is>
      </c>
      <c r="G16" s="166" t="inlineStr">
        <is>
          <t>Already automated (n/a)</t>
        </is>
      </c>
    </row>
    <row r="17">
      <c r="A17" s="166" t="inlineStr">
        <is>
          <t>TC_27</t>
        </is>
      </c>
      <c r="B17" s="166" t="inlineStr">
        <is>
          <t>Integration Tests (Connect)</t>
        </is>
      </c>
      <c r="C17" s="166" t="inlineStr">
        <is>
          <t>Verify user can claim the job when they have successfully passed the assessment</t>
        </is>
      </c>
      <c r="D17" s="166" t="inlineStr">
        <is>
          <t>🟢 Already automated</t>
        </is>
      </c>
      <c r="E17" s="166" t="inlineStr">
        <is>
          <t>test_tc_04 (pass assessment - certificate)</t>
        </is>
      </c>
      <c r="F17" s="166" t="inlineStr">
        <is>
          <t>Confirmed automated (pass 1)</t>
        </is>
      </c>
      <c r="G17" s="166" t="inlineStr">
        <is>
          <t>Already automated (n/a)</t>
        </is>
      </c>
    </row>
    <row r="18">
      <c r="A18" s="166" t="inlineStr">
        <is>
          <t>TC_28</t>
        </is>
      </c>
      <c r="B18" s="166" t="inlineStr">
        <is>
          <t>Integration Tests (Connect)</t>
        </is>
      </c>
      <c r="C18" s="166" t="inlineStr">
        <is>
          <t>Confirm that user sees the Delivery details on the screen when they click on the "View Opportunity Details" button</t>
        </is>
      </c>
      <c r="D18" s="166" t="inlineStr">
        <is>
          <t>🟢 Already automated</t>
        </is>
      </c>
      <c r="E18" s="166" t="inlineStr">
        <is>
          <t>test_tc_05 (claim job / delivery details)</t>
        </is>
      </c>
      <c r="F18" s="166" t="inlineStr">
        <is>
          <t>Confirmed automated (pass 1)</t>
        </is>
      </c>
      <c r="G18" s="166" t="inlineStr">
        <is>
          <t>Already automated (n/a)</t>
        </is>
      </c>
    </row>
    <row r="19">
      <c r="A19" s="166" t="inlineStr">
        <is>
          <t>TC_29</t>
        </is>
      </c>
      <c r="B19" s="166" t="inlineStr">
        <is>
          <t>Integration Tests (Connect)</t>
        </is>
      </c>
      <c r="C19" s="166" t="inlineStr">
        <is>
          <t>Verify the number of visits is updated in the app after successfully conducting a visit</t>
        </is>
      </c>
      <c r="D19" s="166" t="inlineStr">
        <is>
          <t>🟢 Already automated</t>
        </is>
      </c>
      <c r="E19" s="166" t="inlineStr">
        <is>
          <t>test_tc_05 (visits updated after submit)</t>
        </is>
      </c>
      <c r="F19" s="166" t="inlineStr">
        <is>
          <t>Confirmed automated (pass 1)</t>
        </is>
      </c>
      <c r="G19" s="166" t="inlineStr">
        <is>
          <t>Already automated (n/a)</t>
        </is>
      </c>
    </row>
    <row r="20">
      <c r="A20" s="166" t="inlineStr">
        <is>
          <t>TC_30</t>
        </is>
      </c>
      <c r="B20" s="166" t="inlineStr">
        <is>
          <t>Integration Tests (Connect)</t>
        </is>
      </c>
      <c r="C20" s="166" t="inlineStr">
        <is>
          <t>Verify on approving a visit on connect web, the status is updated in the app as well</t>
        </is>
      </c>
      <c r="D20" s="166" t="inlineStr">
        <is>
          <t>🟢 Already automated</t>
        </is>
      </c>
      <c r="E20" s="166" t="inlineStr">
        <is>
          <t>test_tc_05 (approve visit -&gt; status updates)</t>
        </is>
      </c>
      <c r="F20" s="166" t="inlineStr">
        <is>
          <t>Confirmed automated (pass 1)</t>
        </is>
      </c>
      <c r="G20" s="166" t="inlineStr">
        <is>
          <t>Already automated (n/a)</t>
        </is>
      </c>
    </row>
    <row r="21">
      <c r="A21" s="166" t="inlineStr">
        <is>
          <t>TC_32</t>
        </is>
      </c>
      <c r="B21" s="166" t="inlineStr">
        <is>
          <t>Integration Tests (Connect)</t>
        </is>
      </c>
      <c r="C21" s="166" t="inlineStr">
        <is>
          <t>Verify user can only do the max visits allowed to them on a single day</t>
        </is>
      </c>
      <c r="D21" s="166" t="inlineStr">
        <is>
          <t>🟢 Already automated</t>
        </is>
      </c>
      <c r="E21" s="166" t="inlineStr">
        <is>
          <t>test_tc_08 (max daily visits)</t>
        </is>
      </c>
      <c r="F21" s="166" t="inlineStr">
        <is>
          <t>Confirmed automated (pass 1)</t>
        </is>
      </c>
      <c r="G21" s="166" t="inlineStr">
        <is>
          <t>Already automated (n/a)</t>
        </is>
      </c>
    </row>
    <row r="22">
      <c r="A22" s="166" t="inlineStr">
        <is>
          <t>TC_43</t>
        </is>
      </c>
      <c r="B22" s="166" t="inlineStr">
        <is>
          <t>Integration Tests (Connect)</t>
        </is>
      </c>
      <c r="C22" s="166" t="inlineStr">
        <is>
          <t>Verify that total amount paid to the user for the approved visits is displayed correctly under Payments tab</t>
        </is>
      </c>
      <c r="D22" s="166" t="inlineStr">
        <is>
          <t>🟢 Already automated</t>
        </is>
      </c>
      <c r="E22" s="166" t="inlineStr">
        <is>
          <t>test_tc_06 (total paid amount on payments tab)</t>
        </is>
      </c>
      <c r="F22" s="166" t="inlineStr">
        <is>
          <t>Confirmed automated (pass 1)</t>
        </is>
      </c>
      <c r="G22" s="166" t="inlineStr">
        <is>
          <t>Already automated (n/a)</t>
        </is>
      </c>
    </row>
    <row r="23">
      <c r="A23" s="166" t="inlineStr">
        <is>
          <t>TC_44</t>
        </is>
      </c>
      <c r="B23" s="166" t="inlineStr">
        <is>
          <t>Integration Tests (Connect)</t>
        </is>
      </c>
      <c r="C23" s="166" t="inlineStr">
        <is>
          <t>Verfiy user is able to see the payment transaction card on the payments tab</t>
        </is>
      </c>
      <c r="D23" s="166" t="inlineStr">
        <is>
          <t>🟢 Already automated</t>
        </is>
      </c>
      <c r="E23" s="166" t="inlineStr">
        <is>
          <t>test_tc_06 (payment transaction card)</t>
        </is>
      </c>
      <c r="F23" s="166" t="inlineStr">
        <is>
          <t>Confirmed automated (pass 1)</t>
        </is>
      </c>
      <c r="G23" s="166" t="inlineStr">
        <is>
          <t>Already automated (n/a)</t>
        </is>
      </c>
    </row>
    <row r="24">
      <c r="A24" s="166" t="inlineStr">
        <is>
          <t>TC_45</t>
        </is>
      </c>
      <c r="B24" s="166" t="inlineStr">
        <is>
          <t>Integration Tests (Connect)</t>
        </is>
      </c>
      <c r="C24" s="166" t="inlineStr">
        <is>
          <t>Verfiy user is not able to see the payment transaction card after clicking on ask later button</t>
        </is>
      </c>
      <c r="D24" s="166" t="inlineStr">
        <is>
          <t>🟢 Already automated</t>
        </is>
      </c>
      <c r="E24" s="166" t="inlineStr">
        <is>
          <t>test_tc_06 (ask-later hides card)</t>
        </is>
      </c>
      <c r="F24" s="166" t="inlineStr">
        <is>
          <t>Confirmed automated (pass 1)</t>
        </is>
      </c>
      <c r="G24" s="166" t="inlineStr">
        <is>
          <t>Already automated (n/a)</t>
        </is>
      </c>
    </row>
    <row r="25">
      <c r="A25" s="166" t="inlineStr">
        <is>
          <t>TC_46</t>
        </is>
      </c>
      <c r="B25" s="166" t="inlineStr">
        <is>
          <t>Integration Tests (Connect)</t>
        </is>
      </c>
      <c r="C25" s="166" t="inlineStr">
        <is>
          <t>Confirm that when a mobile user is suspended from an opportuntiy, the opportunity home page shows user suspended message</t>
        </is>
      </c>
      <c r="D25" s="166" t="inlineStr">
        <is>
          <t>🟢 Already automated</t>
        </is>
      </c>
      <c r="E25" s="166" t="inlineStr">
        <is>
          <t>test_tc_07 (suspended-user message on app)</t>
        </is>
      </c>
      <c r="F25" s="166" t="inlineStr">
        <is>
          <t>Confirmed automated (pass 1)</t>
        </is>
      </c>
      <c r="G25" s="166" t="inlineStr">
        <is>
          <t>Already automated (n/a)</t>
        </is>
      </c>
    </row>
    <row r="26">
      <c r="A26" s="166" t="inlineStr">
        <is>
          <t>Connect message1</t>
        </is>
      </c>
      <c r="B26" s="166" t="inlineStr">
        <is>
          <t>Connect messaging</t>
        </is>
      </c>
      <c r="C26" s="166" t="inlineStr">
        <is>
          <t>Verify user is able to create a broadcast with connect message option</t>
        </is>
      </c>
      <c r="D26" s="166" t="inlineStr">
        <is>
          <t>🟢 Already automated</t>
        </is>
      </c>
      <c r="E26" s="166" t="inlineStr">
        <is>
          <t>test_tc_10 (broadcast connect message)</t>
        </is>
      </c>
      <c r="F26" s="166" t="inlineStr">
        <is>
          <t>Confirmed automated (pass 1)</t>
        </is>
      </c>
      <c r="G26" s="166" t="inlineStr">
        <is>
          <t>Already automated (n/a)</t>
        </is>
      </c>
    </row>
    <row r="27">
      <c r="A27" s="166" t="inlineStr">
        <is>
          <t>Connect message2</t>
        </is>
      </c>
      <c r="B27" s="166" t="inlineStr">
        <is>
          <t>Connect messaging</t>
        </is>
      </c>
      <c r="C27" s="166" t="inlineStr">
        <is>
          <t>Verify user is able to create a broadcast with connect survey option</t>
        </is>
      </c>
      <c r="D27" s="166" t="inlineStr">
        <is>
          <t>🟢 Already automated</t>
        </is>
      </c>
      <c r="E27" s="166" t="inlineStr">
        <is>
          <t>test_tc_10 (broadcast connect survey)</t>
        </is>
      </c>
      <c r="F27" s="166" t="inlineStr">
        <is>
          <t>Confirmed automated (pass 1)</t>
        </is>
      </c>
      <c r="G27" s="166" t="inlineStr">
        <is>
          <t>Already automated (n/a)</t>
        </is>
      </c>
    </row>
    <row r="28">
      <c r="A28" s="166" t="inlineStr">
        <is>
          <t>Connect message3</t>
        </is>
      </c>
      <c r="B28" s="166" t="inlineStr">
        <is>
          <t>Connect messaging</t>
        </is>
      </c>
      <c r="C28" s="166" t="inlineStr">
        <is>
          <t>Verify user is able to create a Conditional alerts with connect message option</t>
        </is>
      </c>
      <c r="D28" s="166" t="inlineStr">
        <is>
          <t>🟢 Already automated</t>
        </is>
      </c>
      <c r="E28" s="166" t="inlineStr">
        <is>
          <t>test_tc_09 (conditional alert connect message)</t>
        </is>
      </c>
      <c r="F28" s="166" t="inlineStr">
        <is>
          <t>Confirmed automated (pass 1)</t>
        </is>
      </c>
      <c r="G28" s="166" t="inlineStr">
        <is>
          <t>Already automated (n/a)</t>
        </is>
      </c>
    </row>
    <row r="29">
      <c r="A29" s="166" t="inlineStr">
        <is>
          <t>Connect message4</t>
        </is>
      </c>
      <c r="B29" s="166" t="inlineStr">
        <is>
          <t>Connect messaging</t>
        </is>
      </c>
      <c r="C29" s="166" t="inlineStr">
        <is>
          <t>Verify user is able to create a conditional alerts with connect survey option</t>
        </is>
      </c>
      <c r="D29" s="166" t="inlineStr">
        <is>
          <t>🟢 Already automated</t>
        </is>
      </c>
      <c r="E29" s="166" t="inlineStr">
        <is>
          <t>test_tc_09 (conditional alert connect survey)</t>
        </is>
      </c>
      <c r="F29" s="166" t="inlineStr">
        <is>
          <t>Confirmed automated (pass 1)</t>
        </is>
      </c>
      <c r="G29" s="166" t="inlineStr">
        <is>
          <t>Already automated (n/a)</t>
        </is>
      </c>
    </row>
    <row r="30">
      <c r="A30" s="166" t="inlineStr">
        <is>
          <t>Notifications_01</t>
        </is>
      </c>
      <c r="B30" s="166" t="inlineStr">
        <is>
          <t>Connect Notifications</t>
        </is>
      </c>
      <c r="C30" s="166" t="inlineStr">
        <is>
          <t>Verify Notifications option is visible on left hand menu</t>
        </is>
      </c>
      <c r="D30" s="166" t="inlineStr">
        <is>
          <t>🟢 Already automated</t>
        </is>
      </c>
      <c r="E30" s="166" t="inlineStr">
        <is>
          <t>test_tc_07 (notifications option on left menu)</t>
        </is>
      </c>
      <c r="F30" s="166" t="inlineStr">
        <is>
          <t>Confirmed automated (pass 1)</t>
        </is>
      </c>
      <c r="G30" s="166" t="inlineStr">
        <is>
          <t>Already automated (n/a)</t>
        </is>
      </c>
    </row>
    <row r="31">
      <c r="A31" s="166" t="inlineStr">
        <is>
          <t>Notifications_02</t>
        </is>
      </c>
      <c r="B31" s="166" t="inlineStr">
        <is>
          <t>Connect Notifications</t>
        </is>
      </c>
      <c r="C31" s="166" t="inlineStr">
        <is>
          <t>Verify notiifcations icon is present on the opportunities list page</t>
        </is>
      </c>
      <c r="D31" s="166" t="inlineStr">
        <is>
          <t>🟢 Already automated</t>
        </is>
      </c>
      <c r="E31" s="166" t="inlineStr">
        <is>
          <t>test_tc_03 (notifications icon on opp page)</t>
        </is>
      </c>
      <c r="F31" s="166" t="inlineStr">
        <is>
          <t>Confirmed automated (pass 1)</t>
        </is>
      </c>
      <c r="G31" s="166" t="inlineStr">
        <is>
          <t>Already automated (n/a)</t>
        </is>
      </c>
    </row>
    <row r="32">
      <c r="A32" s="166" t="inlineStr">
        <is>
          <t>Notifications_04</t>
        </is>
      </c>
      <c r="B32" s="166" t="inlineStr">
        <is>
          <t>Connect Notifications</t>
        </is>
      </c>
      <c r="C32" s="166" t="inlineStr">
        <is>
          <t>Verify opportunity invite notification is shown on notifications history page</t>
        </is>
      </c>
      <c r="D32" s="166" t="inlineStr">
        <is>
          <t>🟢 Already automated</t>
        </is>
      </c>
      <c r="E32" s="166" t="inlineStr">
        <is>
          <t>test_tc_03 (opp invite notification)</t>
        </is>
      </c>
      <c r="F32" s="166" t="inlineStr">
        <is>
          <t>Confirmed automated (pass 1)</t>
        </is>
      </c>
      <c r="G32" s="166" t="inlineStr">
        <is>
          <t>Already automated (n/a)</t>
        </is>
      </c>
    </row>
    <row r="33">
      <c r="A33" s="166" t="inlineStr">
        <is>
          <t>Notifications_05</t>
        </is>
      </c>
      <c r="B33" s="166" t="inlineStr">
        <is>
          <t>Connect Notifications</t>
        </is>
      </c>
      <c r="C33" s="166" t="inlineStr">
        <is>
          <t>Verify we are able to land on opportunity's learn app upon clicking on the opportunity invite notification</t>
        </is>
      </c>
      <c r="D33" s="166" t="inlineStr">
        <is>
          <t>🟢 Already automated</t>
        </is>
      </c>
      <c r="E33" s="166" t="inlineStr">
        <is>
          <t>test_tc_03 (land on learn app via notification)</t>
        </is>
      </c>
      <c r="F33" s="166" t="inlineStr">
        <is>
          <t>Confirmed automated (pass 1)</t>
        </is>
      </c>
      <c r="G33" s="166" t="inlineStr">
        <is>
          <t>Already automated (n/a)</t>
        </is>
      </c>
    </row>
    <row r="34">
      <c r="A34" s="166" t="inlineStr">
        <is>
          <t>Notifications_08</t>
        </is>
      </c>
      <c r="B34" s="166" t="inlineStr">
        <is>
          <t>Connect Notifications</t>
        </is>
      </c>
      <c r="C34" s="166" t="inlineStr">
        <is>
          <t>Verify Payment notifications are shown in notifications history page</t>
        </is>
      </c>
      <c r="D34" s="166" t="inlineStr">
        <is>
          <t>🟢 Already automated</t>
        </is>
      </c>
      <c r="E34" s="166" t="inlineStr">
        <is>
          <t>test_tc_06 (payment notification)</t>
        </is>
      </c>
      <c r="F34" s="166" t="inlineStr">
        <is>
          <t>Confirmed automated (pass 1)</t>
        </is>
      </c>
      <c r="G34" s="166" t="inlineStr">
        <is>
          <t>Already automated (n/a)</t>
        </is>
      </c>
    </row>
    <row r="35">
      <c r="A35" s="166" t="inlineStr">
        <is>
          <t>Notifications_09</t>
        </is>
      </c>
      <c r="B35" s="166" t="inlineStr">
        <is>
          <t>Connect Notifications</t>
        </is>
      </c>
      <c r="C35" s="166" t="inlineStr">
        <is>
          <t>Verify user is able to land on the payment screen upon clicking on the payment notification</t>
        </is>
      </c>
      <c r="D35" s="166" t="inlineStr">
        <is>
          <t>🟢 Already automated</t>
        </is>
      </c>
      <c r="E35" s="166" t="inlineStr">
        <is>
          <t>test_tc_06 (land on payment screen)</t>
        </is>
      </c>
      <c r="F35" s="166" t="inlineStr">
        <is>
          <t>Confirmed automated (pass 1)</t>
        </is>
      </c>
      <c r="G35" s="166" t="inlineStr">
        <is>
          <t>Already automated (n/a)</t>
        </is>
      </c>
    </row>
    <row r="36">
      <c r="A36" s="166" t="inlineStr">
        <is>
          <t>GAP-PID-01</t>
        </is>
      </c>
      <c r="B36" s="166" t="inlineStr">
        <is>
          <t>Personal ID Tests</t>
        </is>
      </c>
      <c r="C36" s="166" t="inlineStr">
        <is>
          <t>[TC_02] Verify when user updates to the latest beta app, the user remains signed in</t>
        </is>
      </c>
      <c r="D36" s="166" t="inlineStr">
        <is>
          <t>🔴 Manual only</t>
        </is>
      </c>
      <c r="E36" s="166" t="inlineStr">
        <is>
          <t>Requires real app-store/beta update round-trip</t>
        </is>
      </c>
      <c r="F36" s="166" t="inlineStr">
        <is>
          <t>Pass 1 (mobile): MTP vs test suite</t>
        </is>
      </c>
      <c r="G36" s="166" t="inlineStr">
        <is>
          <t>QA-owned (manual)</t>
        </is>
      </c>
    </row>
    <row r="37">
      <c r="A37" s="166" t="inlineStr">
        <is>
          <t>GAP-PID-02</t>
        </is>
      </c>
      <c r="B37" s="166" t="inlineStr">
        <is>
          <t>Personal ID Tests</t>
        </is>
      </c>
      <c r="C37" s="166" t="inlineStr">
        <is>
          <t>[TC_04] Verify user sees a new Hamburger menu on the left side top corner</t>
        </is>
      </c>
      <c r="D37" s="166" t="inlineStr">
        <is>
          <t>🟡 Automatable - not yet done</t>
        </is>
      </c>
      <c r="E37" s="166" t="inlineStr">
        <is>
          <t>Mobile UI flow - no spec asserts this case</t>
        </is>
      </c>
      <c r="F37" s="166" t="inlineStr">
        <is>
          <t>Pass 1 (mobile): MTP vs test suite</t>
        </is>
      </c>
      <c r="G37" s="166" t="inlineStr">
        <is>
          <t>QA-owned (UI/e2e - eng cannot cover)</t>
        </is>
      </c>
    </row>
    <row r="38">
      <c r="A38" s="166" t="inlineStr">
        <is>
          <t>GAP-PID-03</t>
        </is>
      </c>
      <c r="B38" s="166" t="inlineStr">
        <is>
          <t>Personal ID Tests</t>
        </is>
      </c>
      <c r="C38" s="166" t="inlineStr">
        <is>
          <t>[TC_05] Verify on clicking the "Sign up Personal ID" option, user is redirected to the Start Page</t>
        </is>
      </c>
      <c r="D38" s="166" t="inlineStr">
        <is>
          <t>🟡 Automatable - not yet done</t>
        </is>
      </c>
      <c r="E38" s="166" t="inlineStr">
        <is>
          <t>Mobile UI flow - no spec asserts this case</t>
        </is>
      </c>
      <c r="F38" s="166" t="inlineStr">
        <is>
          <t>Pass 1 (mobile): MTP vs test suite</t>
        </is>
      </c>
      <c r="G38" s="166" t="inlineStr">
        <is>
          <t>QA-owned (UI/e2e - eng cannot cover)</t>
        </is>
      </c>
    </row>
    <row r="39">
      <c r="A39" s="166" t="inlineStr">
        <is>
          <t>GAP-PID-04</t>
        </is>
      </c>
      <c r="B39" s="166" t="inlineStr">
        <is>
          <t>Personal ID Tests</t>
        </is>
      </c>
      <c r="C39" s="166" t="inlineStr">
        <is>
          <t>[TC_06] Verify validations for the phone number field</t>
        </is>
      </c>
      <c r="D39" s="166" t="inlineStr">
        <is>
          <t>🟡 Automatable - not yet done</t>
        </is>
      </c>
      <c r="E39" s="166" t="inlineStr">
        <is>
          <t>Mobile UI flow - no spec asserts this case</t>
        </is>
      </c>
      <c r="F39" s="166" t="inlineStr">
        <is>
          <t>Pass 1 (mobile): MTP vs test suite</t>
        </is>
      </c>
      <c r="G39" s="166" t="inlineStr">
        <is>
          <t>Partial - likely eng-covered (confirm w/ eng)</t>
        </is>
      </c>
    </row>
    <row r="40">
      <c r="A40" s="166" t="inlineStr">
        <is>
          <t>GAP-PID-05</t>
        </is>
      </c>
      <c r="B40" s="166" t="inlineStr">
        <is>
          <t>Personal ID Tests</t>
        </is>
      </c>
      <c r="C40" s="166" t="inlineStr">
        <is>
          <t>[TC_07] Confirm on clicking the continue button, user is taken to the Android Device Authentication page</t>
        </is>
      </c>
      <c r="D40" s="166" t="inlineStr">
        <is>
          <t>🔴 Manual only</t>
        </is>
      </c>
      <c r="E40" s="166" t="inlineStr">
        <is>
          <t>Real device PIN/pattern/biometric prompt</t>
        </is>
      </c>
      <c r="F40" s="166" t="inlineStr">
        <is>
          <t>Pass 1 (mobile): MTP vs test suite</t>
        </is>
      </c>
      <c r="G40" s="166" t="inlineStr">
        <is>
          <t>QA-owned (manual)</t>
        </is>
      </c>
    </row>
    <row r="41">
      <c r="A41" s="166" t="inlineStr">
        <is>
          <t>GAP-PID-06</t>
        </is>
      </c>
      <c r="B41" s="166" t="inlineStr">
        <is>
          <t>Personal ID Tests</t>
        </is>
      </c>
      <c r="C41" s="166" t="inlineStr">
        <is>
          <t>[TC_08] Verify that user is taken to device settings, to configure authentication when there's no device authentication configured</t>
        </is>
      </c>
      <c r="D41" s="166" t="inlineStr">
        <is>
          <t>🔴 Manual only</t>
        </is>
      </c>
      <c r="E41" s="166" t="inlineStr">
        <is>
          <t>Requires device with NO lock configured - device state</t>
        </is>
      </c>
      <c r="F41" s="166" t="inlineStr">
        <is>
          <t>Pass 1 (mobile): MTP vs test suite</t>
        </is>
      </c>
      <c r="G41" s="166" t="inlineStr">
        <is>
          <t>QA-owned (manual)</t>
        </is>
      </c>
    </row>
    <row r="42">
      <c r="A42" s="166" t="inlineStr">
        <is>
          <t>GAP-PID-07</t>
        </is>
      </c>
      <c r="B42" s="166" t="inlineStr">
        <is>
          <t>Personal ID Tests</t>
        </is>
      </c>
      <c r="C42" s="166" t="inlineStr">
        <is>
          <t>[TC_09] Verify on authenticating the android device successfully, user is taken to the OTP page</t>
        </is>
      </c>
      <c r="D42" s="166" t="inlineStr">
        <is>
          <t>🔴 Manual only</t>
        </is>
      </c>
      <c r="E42" s="166" t="inlineStr">
        <is>
          <t>Real device authentication before OTP</t>
        </is>
      </c>
      <c r="F42" s="166" t="inlineStr">
        <is>
          <t>Pass 1 (mobile): MTP vs test suite</t>
        </is>
      </c>
      <c r="G42" s="166" t="inlineStr">
        <is>
          <t>QA-owned (manual)</t>
        </is>
      </c>
    </row>
    <row r="43">
      <c r="A43" s="166" t="inlineStr">
        <is>
          <t>GAP-PID-08</t>
        </is>
      </c>
      <c r="B43" s="166" t="inlineStr">
        <is>
          <t>Personal ID Tests</t>
        </is>
      </c>
      <c r="C43" s="166" t="inlineStr">
        <is>
          <t>[TC_10] Confirm when user lands on the OTP page, they receive an OTP on the mobile number they entered on the Start page</t>
        </is>
      </c>
      <c r="D43" s="166" t="inlineStr">
        <is>
          <t>🔴 Manual only</t>
        </is>
      </c>
      <c r="E43" s="166" t="inlineStr">
        <is>
          <t>Real OTP delivery over SMS</t>
        </is>
      </c>
      <c r="F43" s="166" t="inlineStr">
        <is>
          <t>Pass 1 (mobile): MTP vs test suite</t>
        </is>
      </c>
      <c r="G43" s="166" t="inlineStr">
        <is>
          <t>QA-owned (manual)</t>
        </is>
      </c>
    </row>
    <row r="44">
      <c r="A44" s="166" t="inlineStr">
        <is>
          <t>GAP-PID-09</t>
        </is>
      </c>
      <c r="B44" s="166" t="inlineStr">
        <is>
          <t>Personal ID Tests</t>
        </is>
      </c>
      <c r="C44" s="166" t="inlineStr">
        <is>
          <t>[TC_11] Confirm user is able to resen code after 120 seconds only</t>
        </is>
      </c>
      <c r="D44" s="166" t="inlineStr">
        <is>
          <t>🔴 Manual only</t>
        </is>
      </c>
      <c r="E44" s="166" t="inlineStr">
        <is>
          <t>120-second resend timer - time-dependent + SMS</t>
        </is>
      </c>
      <c r="F44" s="166" t="inlineStr">
        <is>
          <t>Pass 1 (mobile): MTP vs test suite</t>
        </is>
      </c>
      <c r="G44" s="166" t="inlineStr">
        <is>
          <t>QA-owned (manual)</t>
        </is>
      </c>
    </row>
    <row r="45">
      <c r="A45" s="166" t="inlineStr">
        <is>
          <t>GAP-PID-10</t>
        </is>
      </c>
      <c r="B45" s="166" t="inlineStr">
        <is>
          <t>Personal ID Tests</t>
        </is>
      </c>
      <c r="C45" s="166" t="inlineStr">
        <is>
          <t>[TC_12] Confirm that the verify button gets enabled when user enter the OTP code</t>
        </is>
      </c>
      <c r="D45" s="166" t="inlineStr">
        <is>
          <t>🟡 Automatable - not yet done</t>
        </is>
      </c>
      <c r="E45" s="166" t="inlineStr">
        <is>
          <t>Mobile UI flow - no spec asserts this case</t>
        </is>
      </c>
      <c r="F45" s="166" t="inlineStr">
        <is>
          <t>Pass 1 (mobile): MTP vs test suite</t>
        </is>
      </c>
      <c r="G45" s="166" t="inlineStr">
        <is>
          <t>QA-owned (UI/e2e - eng cannot cover)</t>
        </is>
      </c>
    </row>
    <row r="46">
      <c r="A46" s="166" t="inlineStr">
        <is>
          <t>GAP-PID-11</t>
        </is>
      </c>
      <c r="B46" s="166" t="inlineStr">
        <is>
          <t>Personal ID Tests</t>
        </is>
      </c>
      <c r="C46" s="166" t="inlineStr">
        <is>
          <t>[TC_13] Verify user cannot verify the phone by entering the wrong OTP</t>
        </is>
      </c>
      <c r="D46" s="166" t="inlineStr">
        <is>
          <t>🔴 Manual only</t>
        </is>
      </c>
      <c r="E46" s="166" t="inlineStr">
        <is>
          <t>Real OTP needed to test wrong-OTP path</t>
        </is>
      </c>
      <c r="F46" s="166" t="inlineStr">
        <is>
          <t>Pass 1 (mobile): MTP vs test suite</t>
        </is>
      </c>
      <c r="G46" s="166" t="inlineStr">
        <is>
          <t>QA-owned (manual)</t>
        </is>
      </c>
    </row>
    <row r="47">
      <c r="A47" s="166" t="inlineStr">
        <is>
          <t>GAP-PID-12</t>
        </is>
      </c>
      <c r="B47" s="166" t="inlineStr">
        <is>
          <t>Personal ID Tests</t>
        </is>
      </c>
      <c r="C47" s="166" t="inlineStr">
        <is>
          <t>[TC_14] Confirm that user is able to enter and delete any digit in the OTP fields</t>
        </is>
      </c>
      <c r="D47" s="166" t="inlineStr">
        <is>
          <t>🟡 Automatable - not yet done</t>
        </is>
      </c>
      <c r="E47" s="166" t="inlineStr">
        <is>
          <t>Mobile UI flow - no spec asserts this case</t>
        </is>
      </c>
      <c r="F47" s="166" t="inlineStr">
        <is>
          <t>Pass 1 (mobile): MTP vs test suite</t>
        </is>
      </c>
      <c r="G47" s="166" t="inlineStr">
        <is>
          <t>QA-owned (UI/e2e - eng cannot cover)</t>
        </is>
      </c>
    </row>
    <row r="48">
      <c r="A48" s="166" t="inlineStr">
        <is>
          <t>GAP-PID-13</t>
        </is>
      </c>
      <c r="B48" s="166" t="inlineStr">
        <is>
          <t>Personal ID Tests</t>
        </is>
      </c>
      <c r="C48" s="166" t="inlineStr">
        <is>
          <t>[TC_15] Verify on successfully verifying the OTP, user is taken to the Name page</t>
        </is>
      </c>
      <c r="D48" s="166" t="inlineStr">
        <is>
          <t>🟡 Automatable - not yet done</t>
        </is>
      </c>
      <c r="E48" s="166" t="inlineStr">
        <is>
          <t>Mobile UI flow - no spec asserts this case</t>
        </is>
      </c>
      <c r="F48" s="166" t="inlineStr">
        <is>
          <t>Pass 1 (mobile): MTP vs test suite</t>
        </is>
      </c>
      <c r="G48" s="166" t="inlineStr">
        <is>
          <t>QA-owned (UI/e2e - eng cannot cover)</t>
        </is>
      </c>
    </row>
    <row r="49">
      <c r="A49" s="166" t="inlineStr">
        <is>
          <t>GAP-PID-14</t>
        </is>
      </c>
      <c r="B49" s="166" t="inlineStr">
        <is>
          <t>Personal ID Tests</t>
        </is>
      </c>
      <c r="C49" s="166" t="inlineStr">
        <is>
          <t>[TC_16] Confirm user can change the phone number by clicking the 'change' option</t>
        </is>
      </c>
      <c r="D49" s="166" t="inlineStr">
        <is>
          <t>🟡 Automatable - not yet done</t>
        </is>
      </c>
      <c r="E49" s="166" t="inlineStr">
        <is>
          <t>Mobile UI flow - no spec asserts this case</t>
        </is>
      </c>
      <c r="F49" s="166" t="inlineStr">
        <is>
          <t>Pass 1 (mobile): MTP vs test suite</t>
        </is>
      </c>
      <c r="G49" s="166" t="inlineStr">
        <is>
          <t>QA-owned (UI/e2e - eng cannot cover)</t>
        </is>
      </c>
    </row>
    <row r="50">
      <c r="A50" s="166" t="inlineStr">
        <is>
          <t>GAP-PID-15</t>
        </is>
      </c>
      <c r="B50" s="166" t="inlineStr">
        <is>
          <t>Personal ID Tests</t>
        </is>
      </c>
      <c r="C50" s="166" t="inlineStr">
        <is>
          <t>[TC_17] Confirm user sees the page title and name field on the Name page</t>
        </is>
      </c>
      <c r="D50" s="166" t="inlineStr">
        <is>
          <t>🟡 Automatable - not yet done</t>
        </is>
      </c>
      <c r="E50" s="166" t="inlineStr">
        <is>
          <t>Mobile UI flow - no spec asserts this case</t>
        </is>
      </c>
      <c r="F50" s="166" t="inlineStr">
        <is>
          <t>Pass 1 (mobile): MTP vs test suite</t>
        </is>
      </c>
      <c r="G50" s="166" t="inlineStr">
        <is>
          <t>QA-owned (UI/e2e - eng cannot cover)</t>
        </is>
      </c>
    </row>
    <row r="51">
      <c r="A51" s="166" t="inlineStr">
        <is>
          <t>GAP-PID-16</t>
        </is>
      </c>
      <c r="B51" s="166" t="inlineStr">
        <is>
          <t>Personal ID Tests</t>
        </is>
      </c>
      <c r="C51" s="166" t="inlineStr">
        <is>
          <t>[TC_18] Confirm users name is verified agains the DB for potential duplicate account</t>
        </is>
      </c>
      <c r="D51" s="166" t="inlineStr">
        <is>
          <t>🔴 Manual only</t>
        </is>
      </c>
      <c r="E51" s="166" t="inlineStr">
        <is>
          <t>Fuzzy duplicate-name DB match - backend/data-dependent</t>
        </is>
      </c>
      <c r="F51" s="166" t="inlineStr">
        <is>
          <t>Pass 1 (mobile): MTP vs test suite</t>
        </is>
      </c>
      <c r="G51" s="166" t="inlineStr">
        <is>
          <t>QA-owned (manual)</t>
        </is>
      </c>
    </row>
    <row r="52">
      <c r="A52" s="166" t="inlineStr">
        <is>
          <t>GAP-PID-17</t>
        </is>
      </c>
      <c r="B52" s="166" t="inlineStr">
        <is>
          <t>Personal ID Tests</t>
        </is>
      </c>
      <c r="C52" s="166" t="inlineStr">
        <is>
          <t>[TC_19] Confirm user lands on the "Backup Code" screen after entering the name</t>
        </is>
      </c>
      <c r="D52" s="166" t="inlineStr">
        <is>
          <t>🟡 Automatable - not yet done</t>
        </is>
      </c>
      <c r="E52" s="166" t="inlineStr">
        <is>
          <t>Mobile UI flow - no spec asserts this case</t>
        </is>
      </c>
      <c r="F52" s="166" t="inlineStr">
        <is>
          <t>Pass 1 (mobile): MTP vs test suite</t>
        </is>
      </c>
      <c r="G52" s="166" t="inlineStr">
        <is>
          <t>QA-owned (UI/e2e - eng cannot cover)</t>
        </is>
      </c>
    </row>
    <row r="53">
      <c r="A53" s="166" t="inlineStr">
        <is>
          <t>GAP-PID-18</t>
        </is>
      </c>
      <c r="B53" s="166" t="inlineStr">
        <is>
          <t>Personal ID Tests</t>
        </is>
      </c>
      <c r="C53" s="166" t="inlineStr">
        <is>
          <t>[TC_20] Verify user can setup a backup code and conitnue forward</t>
        </is>
      </c>
      <c r="D53" s="166" t="inlineStr">
        <is>
          <t>🟡 Automatable - not yet done</t>
        </is>
      </c>
      <c r="E53" s="166" t="inlineStr">
        <is>
          <t>Mobile UI flow - no spec asserts this case</t>
        </is>
      </c>
      <c r="F53" s="166" t="inlineStr">
        <is>
          <t>Pass 1 (mobile): MTP vs test suite</t>
        </is>
      </c>
      <c r="G53" s="166" t="inlineStr">
        <is>
          <t>QA-owned (UI/e2e - eng cannot cover)</t>
        </is>
      </c>
    </row>
    <row r="54">
      <c r="A54" s="166" t="inlineStr">
        <is>
          <t>GAP-PID-19</t>
        </is>
      </c>
      <c r="B54" s="166" t="inlineStr">
        <is>
          <t>Personal ID Tests</t>
        </is>
      </c>
      <c r="C54" s="166" t="inlineStr">
        <is>
          <t>[TC_21] Ensure user can only continue if they enter the same code in the two input boxes</t>
        </is>
      </c>
      <c r="D54" s="166" t="inlineStr">
        <is>
          <t>🟡 Automatable - not yet done</t>
        </is>
      </c>
      <c r="E54" s="166" t="inlineStr">
        <is>
          <t>Mobile UI flow - no spec asserts this case</t>
        </is>
      </c>
      <c r="F54" s="166" t="inlineStr">
        <is>
          <t>Pass 1 (mobile): MTP vs test suite</t>
        </is>
      </c>
      <c r="G54" s="166" t="inlineStr">
        <is>
          <t>QA-owned (UI/e2e - eng cannot cover)</t>
        </is>
      </c>
    </row>
    <row r="55">
      <c r="A55" s="166" t="inlineStr">
        <is>
          <t>GAP-PID-20</t>
        </is>
      </c>
      <c r="B55" s="166" t="inlineStr">
        <is>
          <t>Personal ID Tests</t>
        </is>
      </c>
      <c r="C55" s="166" t="inlineStr">
        <is>
          <t>[TC_22] Verify user can see the code they have entered by clicking the eye icon</t>
        </is>
      </c>
      <c r="D55" s="166" t="inlineStr">
        <is>
          <t>🟡 Automatable - not yet done</t>
        </is>
      </c>
      <c r="E55" s="166" t="inlineStr">
        <is>
          <t>Mobile UI flow - no spec asserts this case</t>
        </is>
      </c>
      <c r="F55" s="166" t="inlineStr">
        <is>
          <t>Pass 1 (mobile): MTP vs test suite</t>
        </is>
      </c>
      <c r="G55" s="166" t="inlineStr">
        <is>
          <t>QA-owned (UI/e2e - eng cannot cover)</t>
        </is>
      </c>
    </row>
    <row r="56">
      <c r="A56" s="166" t="inlineStr">
        <is>
          <t>GAP-PID-21</t>
        </is>
      </c>
      <c r="B56" s="166" t="inlineStr">
        <is>
          <t>Personal ID Tests</t>
        </is>
      </c>
      <c r="C56" s="166" t="inlineStr">
        <is>
          <t>[TC_23] Confirm user is taken to the "Take Photo" page after they have configured the backup code</t>
        </is>
      </c>
      <c r="D56" s="166" t="inlineStr">
        <is>
          <t>🔴 Manual only</t>
        </is>
      </c>
      <c r="E56" s="166" t="inlineStr">
        <is>
          <t>Front camera selfie capture - hardware</t>
        </is>
      </c>
      <c r="F56" s="166" t="inlineStr">
        <is>
          <t>Pass 1 (mobile): MTP vs test suite</t>
        </is>
      </c>
      <c r="G56" s="166" t="inlineStr">
        <is>
          <t>QA-owned (manual)</t>
        </is>
      </c>
    </row>
    <row r="57">
      <c r="A57" s="166" t="inlineStr">
        <is>
          <t>GAP-PID-22</t>
        </is>
      </c>
      <c r="B57" s="166" t="inlineStr">
        <is>
          <t>Personal ID Tests</t>
        </is>
      </c>
      <c r="C57" s="166" t="inlineStr">
        <is>
          <t>[TC_24] Confirm that user can take a photo by clicking take photo option</t>
        </is>
      </c>
      <c r="D57" s="166" t="inlineStr">
        <is>
          <t>🔴 Manual only</t>
        </is>
      </c>
      <c r="E57" s="166" t="inlineStr">
        <is>
          <t>Front camera auto-capture - hardware</t>
        </is>
      </c>
      <c r="F57" s="166" t="inlineStr">
        <is>
          <t>Pass 1 (mobile): MTP vs test suite</t>
        </is>
      </c>
      <c r="G57" s="166" t="inlineStr">
        <is>
          <t>QA-owned (manual)</t>
        </is>
      </c>
    </row>
    <row r="58">
      <c r="A58" s="166" t="inlineStr">
        <is>
          <t>GAP-PID-23</t>
        </is>
      </c>
      <c r="B58" s="166" t="inlineStr">
        <is>
          <t>Personal ID Tests</t>
        </is>
      </c>
      <c r="C58" s="166" t="inlineStr">
        <is>
          <t>[TC_25] Confrm user can replace the photo they saved</t>
        </is>
      </c>
      <c r="D58" s="166" t="inlineStr">
        <is>
          <t>🔴 Manual only</t>
        </is>
      </c>
      <c r="E58" s="166" t="inlineStr">
        <is>
          <t>Camera photo replace - hardware</t>
        </is>
      </c>
      <c r="F58" s="166" t="inlineStr">
        <is>
          <t>Pass 1 (mobile): MTP vs test suite</t>
        </is>
      </c>
      <c r="G58" s="166" t="inlineStr">
        <is>
          <t>QA-owned (manual)</t>
        </is>
      </c>
    </row>
    <row r="59">
      <c r="A59" s="166" t="inlineStr">
        <is>
          <t>GAP-PID-24</t>
        </is>
      </c>
      <c r="B59" s="166" t="inlineStr">
        <is>
          <t>Personal ID Tests</t>
        </is>
      </c>
      <c r="C59" s="166" t="inlineStr">
        <is>
          <t>[TC_26] Confirm user can save the picture and the account is created</t>
        </is>
      </c>
      <c r="D59" s="166" t="inlineStr">
        <is>
          <t>🔴 Manual only</t>
        </is>
      </c>
      <c r="E59" s="166" t="inlineStr">
        <is>
          <t>Camera photo save/account creation - hardware</t>
        </is>
      </c>
      <c r="F59" s="166" t="inlineStr">
        <is>
          <t>Pass 1 (mobile): MTP vs test suite</t>
        </is>
      </c>
      <c r="G59" s="166" t="inlineStr">
        <is>
          <t>QA-owned (manual)</t>
        </is>
      </c>
    </row>
    <row r="60">
      <c r="A60" s="166" t="inlineStr">
        <is>
          <t>GAP-PID-25</t>
        </is>
      </c>
      <c r="B60" s="166" t="inlineStr">
        <is>
          <t>Personal ID Tests</t>
        </is>
      </c>
      <c r="C60" s="166" t="inlineStr">
        <is>
          <t>[TC_27] Verify user sees a pop-up on successful account creation</t>
        </is>
      </c>
      <c r="D60" s="166" t="inlineStr">
        <is>
          <t>🔴 Manual only</t>
        </is>
      </c>
      <c r="E60" s="166" t="inlineStr">
        <is>
          <t>Account-created popup after real photo save</t>
        </is>
      </c>
      <c r="F60" s="166" t="inlineStr">
        <is>
          <t>Pass 1 (mobile): MTP vs test suite</t>
        </is>
      </c>
      <c r="G60" s="166" t="inlineStr">
        <is>
          <t>QA-owned (manual)</t>
        </is>
      </c>
    </row>
    <row r="61">
      <c r="A61" s="166" t="inlineStr">
        <is>
          <t>GAP-PID-26</t>
        </is>
      </c>
      <c r="B61" s="166" t="inlineStr">
        <is>
          <t>Personal ID Tests</t>
        </is>
      </c>
      <c r="C61" s="166" t="inlineStr">
        <is>
          <t>[TC_29] Confirm when user enters an existing phone number, on verifying the number they are taken to the "Enter Backup Code" screen</t>
        </is>
      </c>
      <c r="D61" s="166" t="inlineStr">
        <is>
          <t>🟡 Automatable - not yet done</t>
        </is>
      </c>
      <c r="E61" s="166" t="inlineStr">
        <is>
          <t>Mobile UI flow - no spec asserts this case</t>
        </is>
      </c>
      <c r="F61" s="166" t="inlineStr">
        <is>
          <t>Pass 1 (mobile): MTP vs test suite</t>
        </is>
      </c>
      <c r="G61" s="166" t="inlineStr">
        <is>
          <t>QA-owned (UI/e2e - eng cannot cover)</t>
        </is>
      </c>
    </row>
    <row r="62">
      <c r="A62" s="166" t="inlineStr">
        <is>
          <t>GAP-PID-27</t>
        </is>
      </c>
      <c r="B62" s="166" t="inlineStr">
        <is>
          <t>Personal ID Tests</t>
        </is>
      </c>
      <c r="C62" s="166" t="inlineStr">
        <is>
          <t>[TC_30] Verify user see there name and photo associated with the account on the screen</t>
        </is>
      </c>
      <c r="D62" s="166" t="inlineStr">
        <is>
          <t>🟡 Automatable - not yet done</t>
        </is>
      </c>
      <c r="E62" s="166" t="inlineStr">
        <is>
          <t>Mobile UI flow - no spec asserts this case</t>
        </is>
      </c>
      <c r="F62" s="166" t="inlineStr">
        <is>
          <t>Pass 1 (mobile): MTP vs test suite</t>
        </is>
      </c>
      <c r="G62" s="166" t="inlineStr">
        <is>
          <t>QA-owned (UI/e2e - eng cannot cover)</t>
        </is>
      </c>
    </row>
    <row r="63">
      <c r="A63" s="166" t="inlineStr">
        <is>
          <t>GAP-PID-28</t>
        </is>
      </c>
      <c r="B63" s="166" t="inlineStr">
        <is>
          <t>Personal ID Tests</t>
        </is>
      </c>
      <c r="C63" s="166" t="inlineStr">
        <is>
          <t>[TC_35] Confirm on devices that don't support fingerprint, user is uanble to sign up for Personal ID</t>
        </is>
      </c>
      <c r="D63" s="166" t="inlineStr">
        <is>
          <t>🔴 Manual only</t>
        </is>
      </c>
      <c r="E63" s="166" t="inlineStr">
        <is>
          <t>Device without fingerprint support - device state</t>
        </is>
      </c>
      <c r="F63" s="166" t="inlineStr">
        <is>
          <t>Pass 1 (mobile): MTP vs test suite</t>
        </is>
      </c>
      <c r="G63" s="166" t="inlineStr">
        <is>
          <t>QA-owned (manual)</t>
        </is>
      </c>
    </row>
    <row r="64">
      <c r="A64" s="166" t="inlineStr">
        <is>
          <t>GAP-PID-29</t>
        </is>
      </c>
      <c r="B64" s="166" t="inlineStr">
        <is>
          <t>Personal ID Tests</t>
        </is>
      </c>
      <c r="C64" s="166" t="inlineStr">
        <is>
          <t>[TC_36] Verify on logging in on a CC app, user sees a 'Link to Personal ID' pop up</t>
        </is>
      </c>
      <c r="D64" s="166" t="inlineStr">
        <is>
          <t>🔴 Manual only</t>
        </is>
      </c>
      <c r="E64" s="166" t="inlineStr">
        <is>
          <t>Login-to-CC-app 'Link to PersonalID' pop up - separate app + real login</t>
        </is>
      </c>
      <c r="F64" s="166" t="inlineStr">
        <is>
          <t>Pass 1 (mobile): MTP vs test suite</t>
        </is>
      </c>
      <c r="G64" s="166" t="inlineStr">
        <is>
          <t>QA-owned (manual)</t>
        </is>
      </c>
    </row>
    <row r="65">
      <c r="A65" s="166" t="inlineStr">
        <is>
          <t>GAP-PID-30</t>
        </is>
      </c>
      <c r="B65" s="166" t="inlineStr">
        <is>
          <t>Personal ID Tests</t>
        </is>
      </c>
      <c r="C65" s="166" t="inlineStr">
        <is>
          <t>[TC_38] Verify on selecting 'No' user is able to log into the CC app</t>
        </is>
      </c>
      <c r="D65" s="166" t="inlineStr">
        <is>
          <t>🟡 Automatable - not yet done</t>
        </is>
      </c>
      <c r="E65" s="166" t="inlineStr">
        <is>
          <t>Mobile UI flow - no spec asserts this case</t>
        </is>
      </c>
      <c r="F65" s="166" t="inlineStr">
        <is>
          <t>Pass 1 (mobile): MTP vs test suite</t>
        </is>
      </c>
      <c r="G65" s="166" t="inlineStr">
        <is>
          <t>QA-owned (UI/e2e - eng cannot cover)</t>
        </is>
      </c>
    </row>
    <row r="66">
      <c r="A66" s="166" t="inlineStr">
        <is>
          <t>GAP-PID-31</t>
        </is>
      </c>
      <c r="B66" s="166" t="inlineStr">
        <is>
          <t>Personal ID Tests</t>
        </is>
      </c>
      <c r="C66" s="166" t="inlineStr">
        <is>
          <t>[TC_39] Confirm the MW is now linked with the PersonalID when user clicks on 'Yes' on the pop-up</t>
        </is>
      </c>
      <c r="D66" s="166" t="inlineStr">
        <is>
          <t>🟡 Automatable - not yet done</t>
        </is>
      </c>
      <c r="E66" s="166" t="inlineStr">
        <is>
          <t>Mobile UI flow - no spec asserts this case</t>
        </is>
      </c>
      <c r="F66" s="166" t="inlineStr">
        <is>
          <t>Pass 1 (mobile): MTP vs test suite</t>
        </is>
      </c>
      <c r="G66" s="166" t="inlineStr">
        <is>
          <t>QA-owned (UI/e2e - eng cannot cover)</t>
        </is>
      </c>
    </row>
    <row r="67">
      <c r="A67" s="166" t="inlineStr">
        <is>
          <t>GAP-PID-32</t>
        </is>
      </c>
      <c r="B67" s="166" t="inlineStr">
        <is>
          <t>Personal ID Tests</t>
        </is>
      </c>
      <c r="C67" s="166" t="inlineStr">
        <is>
          <t>[TC_40] Verify user can also login on the CC app by entering password</t>
        </is>
      </c>
      <c r="D67" s="166" t="inlineStr">
        <is>
          <t>🟡 Automatable - not yet done</t>
        </is>
      </c>
      <c r="E67" s="166" t="inlineStr">
        <is>
          <t>Mobile UI flow - no spec asserts this case</t>
        </is>
      </c>
      <c r="F67" s="166" t="inlineStr">
        <is>
          <t>Pass 1 (mobile): MTP vs test suite</t>
        </is>
      </c>
      <c r="G67" s="166" t="inlineStr">
        <is>
          <t>QA-owned (UI/e2e - eng cannot cover)</t>
        </is>
      </c>
    </row>
    <row r="68">
      <c r="A68" s="166" t="inlineStr">
        <is>
          <t>GAP-PID-33</t>
        </is>
      </c>
      <c r="B68" s="166" t="inlineStr">
        <is>
          <t>Personal ID Tests</t>
        </is>
      </c>
      <c r="C68" s="166" t="inlineStr">
        <is>
          <t>[TC_41] Verify if user selects 'Yes' on the Unlink PersonalID pop-up, MW unlinks</t>
        </is>
      </c>
      <c r="D68" s="166" t="inlineStr">
        <is>
          <t>🟡 Automatable - not yet done</t>
        </is>
      </c>
      <c r="E68" s="166" t="inlineStr">
        <is>
          <t>Mobile UI flow - no spec asserts this case</t>
        </is>
      </c>
      <c r="F68" s="166" t="inlineStr">
        <is>
          <t>Pass 1 (mobile): MTP vs test suite</t>
        </is>
      </c>
      <c r="G68" s="166" t="inlineStr">
        <is>
          <t>QA-owned (UI/e2e - eng cannot cover)</t>
        </is>
      </c>
    </row>
    <row r="69">
      <c r="A69" s="166" t="inlineStr">
        <is>
          <t>GAP-PID-34</t>
        </is>
      </c>
      <c r="B69" s="166" t="inlineStr">
        <is>
          <t>Personal ID Tests</t>
        </is>
      </c>
      <c r="C69" s="166" t="inlineStr">
        <is>
          <t>[TC_42] Confirm on selecting 'No'on the unlinl PersonalID option, MW remains linked to the PersonalID</t>
        </is>
      </c>
      <c r="D69" s="166" t="inlineStr">
        <is>
          <t>🟡 Automatable - not yet done</t>
        </is>
      </c>
      <c r="E69" s="166" t="inlineStr">
        <is>
          <t>Mobile UI flow - no spec asserts this case</t>
        </is>
      </c>
      <c r="F69" s="166" t="inlineStr">
        <is>
          <t>Pass 1 (mobile): MTP vs test suite</t>
        </is>
      </c>
      <c r="G69" s="166" t="inlineStr">
        <is>
          <t>QA-owned (UI/e2e - eng cannot cover)</t>
        </is>
      </c>
    </row>
    <row r="70">
      <c r="A70" s="166" t="inlineStr">
        <is>
          <t>GAP-PID-35</t>
        </is>
      </c>
      <c r="B70" s="166" t="inlineStr">
        <is>
          <t>Personal ID Tests</t>
        </is>
      </c>
      <c r="C70" s="166" t="inlineStr">
        <is>
          <t>[TC_43] Confirm we see a new column "Personal ID"on mobile workers page on HQ</t>
        </is>
      </c>
      <c r="D70" s="166" t="inlineStr">
        <is>
          <t>🟡 Automatable - not yet done</t>
        </is>
      </c>
      <c r="E70" s="166" t="inlineStr">
        <is>
          <t>Mobile UI flow - no spec asserts this case</t>
        </is>
      </c>
      <c r="F70" s="166" t="inlineStr">
        <is>
          <t>Pass 1 (mobile): MTP vs test suite</t>
        </is>
      </c>
      <c r="G70" s="166" t="inlineStr">
        <is>
          <t>QA-owned (UI/e2e - eng cannot cover)</t>
        </is>
      </c>
    </row>
    <row r="71">
      <c r="A71" s="166" t="inlineStr">
        <is>
          <t>GAP-PID-36</t>
        </is>
      </c>
      <c r="B71" s="166" t="inlineStr">
        <is>
          <t>Personal ID Tests</t>
        </is>
      </c>
      <c r="C71" s="166" t="inlineStr">
        <is>
          <t>[TC_44] Confirm when a MW is linked to Personal ID, 'Unlink PersonalID' button is present for Active column</t>
        </is>
      </c>
      <c r="D71" s="166" t="inlineStr">
        <is>
          <t>🟡 Automatable - not yet done</t>
        </is>
      </c>
      <c r="E71" s="166" t="inlineStr">
        <is>
          <t>Mobile UI flow - no spec asserts this case</t>
        </is>
      </c>
      <c r="F71" s="166" t="inlineStr">
        <is>
          <t>Pass 1 (mobile): MTP vs test suite</t>
        </is>
      </c>
      <c r="G71" s="166" t="inlineStr">
        <is>
          <t>QA-owned (UI/e2e - eng cannot cover)</t>
        </is>
      </c>
    </row>
    <row r="72">
      <c r="A72" s="166" t="inlineStr">
        <is>
          <t>GAP-PID-37</t>
        </is>
      </c>
      <c r="B72" s="166" t="inlineStr">
        <is>
          <t>Personal ID Tests</t>
        </is>
      </c>
      <c r="C72" s="166" t="inlineStr">
        <is>
          <t>[TC_45] Verify on clicking on "Unlink PersonalID" button, user can unlink the MW with PersonalID</t>
        </is>
      </c>
      <c r="D72" s="166" t="inlineStr">
        <is>
          <t>🟡 Automatable - not yet done</t>
        </is>
      </c>
      <c r="E72" s="166" t="inlineStr">
        <is>
          <t>Mobile UI flow - no spec asserts this case</t>
        </is>
      </c>
      <c r="F72" s="166" t="inlineStr">
        <is>
          <t>Pass 1 (mobile): MTP vs test suite</t>
        </is>
      </c>
      <c r="G72" s="166" t="inlineStr">
        <is>
          <t>QA-owned (UI/e2e - eng cannot cover)</t>
        </is>
      </c>
    </row>
    <row r="73">
      <c r="A73" s="166" t="inlineStr">
        <is>
          <t>GAP-PID-38</t>
        </is>
      </c>
      <c r="B73" s="166" t="inlineStr">
        <is>
          <t>Personal ID Tests</t>
        </is>
      </c>
      <c r="C73" s="166" t="inlineStr">
        <is>
          <t>[TC_46] Confrim on selecting the Unlink option, MW is not linked to the PersonalID anymore</t>
        </is>
      </c>
      <c r="D73" s="166" t="inlineStr">
        <is>
          <t>🟡 Automatable - not yet done</t>
        </is>
      </c>
      <c r="E73" s="166" t="inlineStr">
        <is>
          <t>Mobile UI flow - no spec asserts this case</t>
        </is>
      </c>
      <c r="F73" s="166" t="inlineStr">
        <is>
          <t>Pass 1 (mobile): MTP vs test suite</t>
        </is>
      </c>
      <c r="G73" s="166" t="inlineStr">
        <is>
          <t>QA-owned (UI/e2e - eng cannot cover)</t>
        </is>
      </c>
    </row>
    <row r="74">
      <c r="A74" s="166" t="inlineStr">
        <is>
          <t>GAP-PID-39</t>
        </is>
      </c>
      <c r="B74" s="166" t="inlineStr">
        <is>
          <t>Personal ID Tests</t>
        </is>
      </c>
      <c r="C74" s="166" t="inlineStr">
        <is>
          <t>[TC_47] Confirm user sees "Go to Connect Menu" when they have signed up for PersonalID</t>
        </is>
      </c>
      <c r="D74" s="166" t="inlineStr">
        <is>
          <t>🔴 Manual only</t>
        </is>
      </c>
      <c r="E74" s="166" t="inlineStr">
        <is>
          <t>Beta vs Mainline release build difference - build-dependent</t>
        </is>
      </c>
      <c r="F74" s="166" t="inlineStr">
        <is>
          <t>Pass 1 (mobile): MTP vs test suite</t>
        </is>
      </c>
      <c r="G74" s="166" t="inlineStr">
        <is>
          <t>QA-owned (manual)</t>
        </is>
      </c>
    </row>
    <row r="75">
      <c r="A75" s="166" t="inlineStr">
        <is>
          <t>GAP-INT-01</t>
        </is>
      </c>
      <c r="B75" s="166" t="inlineStr">
        <is>
          <t>Integration Tests (Connect)</t>
        </is>
      </c>
      <c r="C75" s="166" t="inlineStr">
        <is>
          <t>[TC_02] Verify if there are no apps installed on the device, the CommCare apps option is greyed out</t>
        </is>
      </c>
      <c r="D75" s="166" t="inlineStr">
        <is>
          <t>🟡 Automatable - not yet done</t>
        </is>
      </c>
      <c r="E75" s="166" t="inlineStr">
        <is>
          <t>Mobile UI flow - no spec asserts this case</t>
        </is>
      </c>
      <c r="F75" s="166" t="inlineStr">
        <is>
          <t>Pass 1 (mobile): MTP vs test suite</t>
        </is>
      </c>
      <c r="G75" s="166" t="inlineStr">
        <is>
          <t>QA-owned (UI/e2e - eng cannot cover)</t>
        </is>
      </c>
    </row>
    <row r="76">
      <c r="A76" s="166" t="inlineStr">
        <is>
          <t>GAP-INT-02</t>
        </is>
      </c>
      <c r="B76" s="166" t="inlineStr">
        <is>
          <t>Integration Tests (Connect)</t>
        </is>
      </c>
      <c r="C76" s="166" t="inlineStr">
        <is>
          <t>[TC_03] Verify on signing up with a new PersonalID user we don't see any options in the side drawer menu</t>
        </is>
      </c>
      <c r="D76" s="166" t="inlineStr">
        <is>
          <t>🟡 Automatable - not yet done</t>
        </is>
      </c>
      <c r="E76" s="166" t="inlineStr">
        <is>
          <t>Mobile UI flow - no spec asserts this case</t>
        </is>
      </c>
      <c r="F76" s="166" t="inlineStr">
        <is>
          <t>Pass 1 (mobile): MTP vs test suite</t>
        </is>
      </c>
      <c r="G76" s="166" t="inlineStr">
        <is>
          <t>QA-owned (UI/e2e - eng cannot cover)</t>
        </is>
      </c>
    </row>
    <row r="77">
      <c r="A77" s="166" t="inlineStr">
        <is>
          <t>GAP-INT-03</t>
        </is>
      </c>
      <c r="B77" s="166" t="inlineStr">
        <is>
          <t>Integration Tests (Connect)</t>
        </is>
      </c>
      <c r="C77" s="166" t="inlineStr">
        <is>
          <t>[TC_04] Confirm we see the messaging channels only when the channel exists</t>
        </is>
      </c>
      <c r="D77" s="166" t="inlineStr">
        <is>
          <t>🟡 Automatable - not yet done</t>
        </is>
      </c>
      <c r="E77" s="166" t="inlineStr">
        <is>
          <t>Mobile UI flow - no spec asserts this case</t>
        </is>
      </c>
      <c r="F77" s="166" t="inlineStr">
        <is>
          <t>Pass 1 (mobile): MTP vs test suite</t>
        </is>
      </c>
      <c r="G77" s="166" t="inlineStr">
        <is>
          <t>QA-owned (UI/e2e - eng cannot cover)</t>
        </is>
      </c>
    </row>
    <row r="78">
      <c r="A78" s="166" t="inlineStr">
        <is>
          <t>GAP-INT-04</t>
        </is>
      </c>
      <c r="B78" s="166" t="inlineStr">
        <is>
          <t>Integration Tests (Connect)</t>
        </is>
      </c>
      <c r="C78" s="166" t="inlineStr">
        <is>
          <t>[TC_05] Verify that the new user sees "Go to Connect" button on clicking the 'Refresh Opportunity" option</t>
        </is>
      </c>
      <c r="D78" s="166" t="inlineStr">
        <is>
          <t>🟡 Automatable - not yet done</t>
        </is>
      </c>
      <c r="E78" s="166" t="inlineStr">
        <is>
          <t>Mobile UI flow - no spec asserts this case</t>
        </is>
      </c>
      <c r="F78" s="166" t="inlineStr">
        <is>
          <t>Pass 1 (mobile): MTP vs test suite</t>
        </is>
      </c>
      <c r="G78" s="166" t="inlineStr">
        <is>
          <t>QA-owned (UI/e2e - eng cannot cover)</t>
        </is>
      </c>
    </row>
    <row r="79">
      <c r="A79" s="166" t="inlineStr">
        <is>
          <t>GAP-INT-05</t>
        </is>
      </c>
      <c r="B79" s="166" t="inlineStr">
        <is>
          <t>Integration Tests (Connect)</t>
        </is>
      </c>
      <c r="C79" s="166" t="inlineStr">
        <is>
          <t>[TC_06] Verify user sees all the installed apps under CommCare Apps section</t>
        </is>
      </c>
      <c r="D79" s="166" t="inlineStr">
        <is>
          <t>🟡 Automatable - not yet done</t>
        </is>
      </c>
      <c r="E79" s="166" t="inlineStr">
        <is>
          <t>Mobile UI flow - no spec asserts this case</t>
        </is>
      </c>
      <c r="F79" s="166" t="inlineStr">
        <is>
          <t>Pass 1 (mobile): MTP vs test suite</t>
        </is>
      </c>
      <c r="G79" s="166" t="inlineStr">
        <is>
          <t>QA-owned (UI/e2e - eng cannot cover)</t>
        </is>
      </c>
    </row>
    <row r="80">
      <c r="A80" s="166" t="inlineStr">
        <is>
          <t>GAP-INT-06</t>
        </is>
      </c>
      <c r="B80" s="166" t="inlineStr">
        <is>
          <t>Integration Tests (Connect)</t>
        </is>
      </c>
      <c r="C80" s="166" t="inlineStr">
        <is>
          <t>[TC_07] Confirm user sees there name and picture on the side nav menu</t>
        </is>
      </c>
      <c r="D80" s="166" t="inlineStr">
        <is>
          <t>🟡 Automatable - not yet done</t>
        </is>
      </c>
      <c r="E80" s="166" t="inlineStr">
        <is>
          <t>Mobile UI flow - no spec asserts this case</t>
        </is>
      </c>
      <c r="F80" s="166" t="inlineStr">
        <is>
          <t>Pass 1 (mobile): MTP vs test suite</t>
        </is>
      </c>
      <c r="G80" s="166" t="inlineStr">
        <is>
          <t>QA-owned (UI/e2e - eng cannot cover)</t>
        </is>
      </c>
    </row>
    <row r="81">
      <c r="A81" s="166" t="inlineStr">
        <is>
          <t>GAP-INT-07</t>
        </is>
      </c>
      <c r="B81" s="166" t="inlineStr">
        <is>
          <t>Integration Tests (Connect)</t>
        </is>
      </c>
      <c r="C81" s="166" t="inlineStr">
        <is>
          <t>[TC_09] Confirm on receiving a message, we see a red dot on the messaging option</t>
        </is>
      </c>
      <c r="D81" s="166" t="inlineStr">
        <is>
          <t>🟡 Automatable - not yet done</t>
        </is>
      </c>
      <c r="E81" s="166" t="inlineStr">
        <is>
          <t>Mobile UI flow - no spec asserts this case</t>
        </is>
      </c>
      <c r="F81" s="166" t="inlineStr">
        <is>
          <t>Pass 1 (mobile): MTP vs test suite</t>
        </is>
      </c>
      <c r="G81" s="166" t="inlineStr">
        <is>
          <t>QA-owned (UI/e2e - eng cannot cover)</t>
        </is>
      </c>
    </row>
    <row r="82">
      <c r="A82" s="166" t="inlineStr">
        <is>
          <t>GAP-INT-08</t>
        </is>
      </c>
      <c r="B82" s="166" t="inlineStr">
        <is>
          <t>Integration Tests (Connect)</t>
        </is>
      </c>
      <c r="C82" s="166" t="inlineStr">
        <is>
          <t>[TC_11] Confirm that the hamburger menu is visible on the screen even after user has signed out of PersonalID</t>
        </is>
      </c>
      <c r="D82" s="166" t="inlineStr">
        <is>
          <t>🟡 Automatable - not yet done</t>
        </is>
      </c>
      <c r="E82" s="166" t="inlineStr">
        <is>
          <t>Mobile UI flow - no spec asserts this case</t>
        </is>
      </c>
      <c r="F82" s="166" t="inlineStr">
        <is>
          <t>Pass 1 (mobile): MTP vs test suite</t>
        </is>
      </c>
      <c r="G82" s="166" t="inlineStr">
        <is>
          <t>QA-owned (UI/e2e - eng cannot cover)</t>
        </is>
      </c>
    </row>
    <row r="83">
      <c r="A83" s="166" t="inlineStr">
        <is>
          <t>GAP-INT-09</t>
        </is>
      </c>
      <c r="B83" s="166" t="inlineStr">
        <is>
          <t>Integration Tests (Connect)</t>
        </is>
      </c>
      <c r="C83" s="166" t="inlineStr">
        <is>
          <t>[TC_12] When a new PersonalID user sign up, they should not see the connect options</t>
        </is>
      </c>
      <c r="D83" s="166" t="inlineStr">
        <is>
          <t>🟡 Automatable - not yet done</t>
        </is>
      </c>
      <c r="E83" s="166" t="inlineStr">
        <is>
          <t>Mobile UI flow - no spec asserts this case</t>
        </is>
      </c>
      <c r="F83" s="166" t="inlineStr">
        <is>
          <t>Pass 1 (mobile): MTP vs test suite</t>
        </is>
      </c>
      <c r="G83" s="166" t="inlineStr">
        <is>
          <t>QA-owned (UI/e2e - eng cannot cover)</t>
        </is>
      </c>
    </row>
    <row r="84">
      <c r="A84" s="166" t="inlineStr">
        <is>
          <t>GAP-INT-10</t>
        </is>
      </c>
      <c r="B84" s="166" t="inlineStr">
        <is>
          <t>Integration Tests (Connect)</t>
        </is>
      </c>
      <c r="C84" s="166" t="inlineStr">
        <is>
          <t>[TC_13] Verify user sees the connect options on clicking "Referesh Opportuntiy" button</t>
        </is>
      </c>
      <c r="D84" s="166" t="inlineStr">
        <is>
          <t>🟡 Automatable - not yet done</t>
        </is>
      </c>
      <c r="E84" s="166" t="inlineStr">
        <is>
          <t>Mobile UI flow - no spec asserts this case</t>
        </is>
      </c>
      <c r="F84" s="166" t="inlineStr">
        <is>
          <t>Pass 1 (mobile): MTP vs test suite</t>
        </is>
      </c>
      <c r="G84" s="166" t="inlineStr">
        <is>
          <t>QA-owned (UI/e2e - eng cannot cover)</t>
        </is>
      </c>
    </row>
    <row r="85">
      <c r="A85" s="166" t="inlineStr">
        <is>
          <t>GAP-INT-11</t>
        </is>
      </c>
      <c r="B85" s="166" t="inlineStr">
        <is>
          <t>Integration Tests (Connect)</t>
        </is>
      </c>
      <c r="C85" s="166" t="inlineStr">
        <is>
          <t>[TC_14] Verify if user is not invited to an opportunity, on clicking the Refresh opportuntiy button, user isn't able to see any connect option</t>
        </is>
      </c>
      <c r="D85" s="166" t="inlineStr">
        <is>
          <t>🟡 Automatable - not yet done</t>
        </is>
      </c>
      <c r="E85" s="166" t="inlineStr">
        <is>
          <t>Mobile UI flow - no spec asserts this case</t>
        </is>
      </c>
      <c r="F85" s="166" t="inlineStr">
        <is>
          <t>Pass 1 (mobile): MTP vs test suite</t>
        </is>
      </c>
      <c r="G85" s="166" t="inlineStr">
        <is>
          <t>QA-owned (UI/e2e - eng cannot cover)</t>
        </is>
      </c>
    </row>
    <row r="86">
      <c r="A86" s="166" t="inlineStr">
        <is>
          <t>GAP-INT-12</t>
        </is>
      </c>
      <c r="B86" s="166" t="inlineStr">
        <is>
          <t>Integration Tests (Connect)</t>
        </is>
      </c>
      <c r="C86" s="166" t="inlineStr">
        <is>
          <t>[TC_15] Verify user sees the connect options visible to them on receiving the push notification for the invite</t>
        </is>
      </c>
      <c r="D86" s="166" t="inlineStr">
        <is>
          <t>🔴 Manual only</t>
        </is>
      </c>
      <c r="E86" s="166" t="inlineStr">
        <is>
          <t>Push notification for invite - real FCM round-trip</t>
        </is>
      </c>
      <c r="F86" s="166" t="inlineStr">
        <is>
          <t>Pass 1 (mobile): MTP vs test suite</t>
        </is>
      </c>
      <c r="G86" s="166" t="inlineStr">
        <is>
          <t>QA-owned (manual)</t>
        </is>
      </c>
    </row>
    <row r="87">
      <c r="A87" s="166" t="inlineStr">
        <is>
          <t>GAP-INT-13</t>
        </is>
      </c>
      <c r="B87" s="166" t="inlineStr">
        <is>
          <t>Integration Tests (Connect)</t>
        </is>
      </c>
      <c r="C87" s="166" t="inlineStr">
        <is>
          <t>[TC_16] Confirm for a pre-invited user, connect options are visible on sign up</t>
        </is>
      </c>
      <c r="D87" s="166" t="inlineStr">
        <is>
          <t>🟡 Automatable - not yet done</t>
        </is>
      </c>
      <c r="E87" s="166" t="inlineStr">
        <is>
          <t>Mobile UI flow - no spec asserts this case</t>
        </is>
      </c>
      <c r="F87" s="166" t="inlineStr">
        <is>
          <t>Pass 1 (mobile): MTP vs test suite</t>
        </is>
      </c>
      <c r="G87" s="166" t="inlineStr">
        <is>
          <t>QA-owned (UI/e2e - eng cannot cover)</t>
        </is>
      </c>
    </row>
    <row r="88">
      <c r="A88" s="166" t="inlineStr">
        <is>
          <t>GAP-INT-14</t>
        </is>
      </c>
      <c r="B88" s="166" t="inlineStr">
        <is>
          <t>Integration Tests (Connect)</t>
        </is>
      </c>
      <c r="C88" s="166" t="inlineStr">
        <is>
          <t>[TC_18] Confirm user receivies a text invite message when they are added to the opportunity</t>
        </is>
      </c>
      <c r="D88" s="166" t="inlineStr">
        <is>
          <t>🔴 Manual only</t>
        </is>
      </c>
      <c r="E88" s="166" t="inlineStr">
        <is>
          <t>Text invite delivery over SMS</t>
        </is>
      </c>
      <c r="F88" s="166" t="inlineStr">
        <is>
          <t>Pass 1 (mobile): MTP vs test suite</t>
        </is>
      </c>
      <c r="G88" s="166" t="inlineStr">
        <is>
          <t>QA-owned (manual)</t>
        </is>
      </c>
    </row>
    <row r="89">
      <c r="A89" s="166" t="inlineStr">
        <is>
          <t>GAP-INT-15</t>
        </is>
      </c>
      <c r="B89" s="166" t="inlineStr">
        <is>
          <t>Integration Tests (Connect)</t>
        </is>
      </c>
      <c r="C89" s="166" t="inlineStr">
        <is>
          <t>[TC_19] Verify the user status is updated once the user has accepted to share the information with the project by clicking the link in the text message</t>
        </is>
      </c>
      <c r="D89" s="166" t="inlineStr">
        <is>
          <t>🟡 Automatable - not yet done</t>
        </is>
      </c>
      <c r="E89" s="166" t="inlineStr">
        <is>
          <t>Mobile UI flow - no spec asserts this case</t>
        </is>
      </c>
      <c r="F89" s="166" t="inlineStr">
        <is>
          <t>Pass 1 (mobile): MTP vs test suite</t>
        </is>
      </c>
      <c r="G89" s="166" t="inlineStr">
        <is>
          <t>QA-owned (UI/e2e - eng cannot cover)</t>
        </is>
      </c>
    </row>
    <row r="90">
      <c r="A90" s="166" t="inlineStr">
        <is>
          <t>GAP-INT-16</t>
        </is>
      </c>
      <c r="B90" s="166" t="inlineStr">
        <is>
          <t>Integration Tests (Connect)</t>
        </is>
      </c>
      <c r="C90" s="166" t="inlineStr">
        <is>
          <t>[TC_25] Confirm on completing all the learn modules, user sees a Training Pending messgae on the Learn Progress screen</t>
        </is>
      </c>
      <c r="D90" s="166" t="inlineStr">
        <is>
          <t>🟡 Automatable - not yet done</t>
        </is>
      </c>
      <c r="E90" s="166" t="inlineStr">
        <is>
          <t>Mobile UI flow - no spec asserts this case</t>
        </is>
      </c>
      <c r="F90" s="166" t="inlineStr">
        <is>
          <t>Pass 1 (mobile): MTP vs test suite</t>
        </is>
      </c>
      <c r="G90" s="166" t="inlineStr">
        <is>
          <t>QA-owned (UI/e2e - eng cannot cover)</t>
        </is>
      </c>
    </row>
    <row r="91">
      <c r="A91" s="166" t="inlineStr">
        <is>
          <t>GAP-INT-17</t>
        </is>
      </c>
      <c r="B91" s="166" t="inlineStr">
        <is>
          <t>Integration Tests (Connect)</t>
        </is>
      </c>
      <c r="C91" s="166" t="inlineStr">
        <is>
          <t>[TC_31] Verify that user can see a payment record under payment tab</t>
        </is>
      </c>
      <c r="D91" s="166" t="inlineStr">
        <is>
          <t>🟡 Automatable - not yet done</t>
        </is>
      </c>
      <c r="E91" s="166" t="inlineStr">
        <is>
          <t>Mobile UI flow - no spec asserts this case</t>
        </is>
      </c>
      <c r="F91" s="166" t="inlineStr">
        <is>
          <t>Pass 1 (mobile): MTP vs test suite</t>
        </is>
      </c>
      <c r="G91" s="166" t="inlineStr">
        <is>
          <t>QA-owned (UI/e2e - eng cannot cover)</t>
        </is>
      </c>
    </row>
    <row r="92">
      <c r="A92" s="166" t="inlineStr">
        <is>
          <t>GAP-INT-18</t>
        </is>
      </c>
      <c r="B92" s="166" t="inlineStr">
        <is>
          <t>Integration Tests (Connect)</t>
        </is>
      </c>
      <c r="C92" s="166" t="inlineStr">
        <is>
          <t>[TC_33] Confirm user can continue the delivery progress on a new device by recovering their account</t>
        </is>
      </c>
      <c r="D92" s="166" t="inlineStr">
        <is>
          <t>🔴 Manual only</t>
        </is>
      </c>
      <c r="E92" s="166" t="inlineStr">
        <is>
          <t>Account recovery on a second physical device</t>
        </is>
      </c>
      <c r="F92" s="166" t="inlineStr">
        <is>
          <t>Pass 1 (mobile): MTP vs test suite</t>
        </is>
      </c>
      <c r="G92" s="166" t="inlineStr">
        <is>
          <t>QA-owned (manual)</t>
        </is>
      </c>
    </row>
    <row r="93">
      <c r="A93" s="166" t="inlineStr">
        <is>
          <t>GAP-INT-19</t>
        </is>
      </c>
      <c r="B93" s="166" t="inlineStr">
        <is>
          <t>Integration Tests (Connect)</t>
        </is>
      </c>
      <c r="C93" s="166" t="inlineStr">
        <is>
          <t>[TC_34] Check if user uninstalls the Learn/Deliver App, would they be able to re-install the Learn/Deliver Apps by clicking on resume button</t>
        </is>
      </c>
      <c r="D93" s="166" t="inlineStr">
        <is>
          <t>🟡 Automatable - not yet done</t>
        </is>
      </c>
      <c r="E93" s="166" t="inlineStr">
        <is>
          <t>Mobile UI flow - no spec asserts this case</t>
        </is>
      </c>
      <c r="F93" s="166" t="inlineStr">
        <is>
          <t>Pass 1 (mobile): MTP vs test suite</t>
        </is>
      </c>
      <c r="G93" s="166" t="inlineStr">
        <is>
          <t>QA-owned (UI/e2e - eng cannot cover)</t>
        </is>
      </c>
    </row>
    <row r="94">
      <c r="A94" s="166" t="inlineStr">
        <is>
          <t>GAP-INT-20</t>
        </is>
      </c>
      <c r="B94" s="166" t="inlineStr">
        <is>
          <t>Integration Tests (Connect)</t>
        </is>
      </c>
      <c r="C94" s="166" t="inlineStr">
        <is>
          <t>[TC_35] Verify the submission of same form doesn't increase the daily visit progress</t>
        </is>
      </c>
      <c r="D94" s="166" t="inlineStr">
        <is>
          <t>🟡 Automatable - not yet done</t>
        </is>
      </c>
      <c r="E94" s="166" t="inlineStr">
        <is>
          <t>Mobile UI flow - no spec asserts this case</t>
        </is>
      </c>
      <c r="F94" s="166" t="inlineStr">
        <is>
          <t>Pass 1 (mobile): MTP vs test suite</t>
        </is>
      </c>
      <c r="G94" s="166" t="inlineStr">
        <is>
          <t>QA-owned (UI/e2e - eng cannot cover)</t>
        </is>
      </c>
    </row>
    <row r="95">
      <c r="A95" s="166" t="inlineStr">
        <is>
          <t>GAP-INT-21</t>
        </is>
      </c>
      <c r="B95" s="166" t="inlineStr">
        <is>
          <t>Integration Tests (Connect)</t>
        </is>
      </c>
      <c r="C95" s="166" t="inlineStr">
        <is>
          <t>[TC_36] Clicking on Opportunity invite Push Notification should take user to the Opportunity details page</t>
        </is>
      </c>
      <c r="D95" s="166" t="inlineStr">
        <is>
          <t>🔴 Manual only</t>
        </is>
      </c>
      <c r="E95" s="166" t="inlineStr">
        <is>
          <t>Opportunity invite push notification tap - real FCM</t>
        </is>
      </c>
      <c r="F95" s="166" t="inlineStr">
        <is>
          <t>Pass 1 (mobile): MTP vs test suite</t>
        </is>
      </c>
      <c r="G95" s="166" t="inlineStr">
        <is>
          <t>QA-owned (manual)</t>
        </is>
      </c>
    </row>
    <row r="96">
      <c r="A96" s="166" t="inlineStr">
        <is>
          <t>GAP-INT-22</t>
        </is>
      </c>
      <c r="B96" s="166" t="inlineStr">
        <is>
          <t>Integration Tests (Connect)</t>
        </is>
      </c>
      <c r="C96" s="166" t="inlineStr">
        <is>
          <t>[TC_37] Verify on completion of the download oflearn app user should be automatically taken to the app, to start learning</t>
        </is>
      </c>
      <c r="D96" s="166" t="inlineStr">
        <is>
          <t>🟡 Automatable - not yet done</t>
        </is>
      </c>
      <c r="E96" s="166" t="inlineStr">
        <is>
          <t>Mobile UI flow - no spec asserts this case</t>
        </is>
      </c>
      <c r="F96" s="166" t="inlineStr">
        <is>
          <t>Pass 1 (mobile): MTP vs test suite</t>
        </is>
      </c>
      <c r="G96" s="166" t="inlineStr">
        <is>
          <t>QA-owned (UI/e2e - eng cannot cover)</t>
        </is>
      </c>
    </row>
    <row r="97">
      <c r="A97" s="166" t="inlineStr">
        <is>
          <t>GAP-INT-23</t>
        </is>
      </c>
      <c r="B97" s="166" t="inlineStr">
        <is>
          <t>Integration Tests (Connect)</t>
        </is>
      </c>
      <c r="C97" s="166" t="inlineStr">
        <is>
          <t>[TC_38] If I have not come back and taken a lesson for the past 3 days, I should receive a push notification nudging me to complete the learning. The push notification should link me directly into the Learn app for that Opportunity</t>
        </is>
      </c>
      <c r="D97" s="166" t="inlineStr">
        <is>
          <t>🔴 Manual only</t>
        </is>
      </c>
      <c r="E97" s="166" t="inlineStr">
        <is>
          <t>3-day inactivity nudge push - time-dependent + FCM</t>
        </is>
      </c>
      <c r="F97" s="166" t="inlineStr">
        <is>
          <t>Pass 1 (mobile): MTP vs test suite</t>
        </is>
      </c>
      <c r="G97" s="166" t="inlineStr">
        <is>
          <t>QA-owned (manual)</t>
        </is>
      </c>
    </row>
    <row r="98">
      <c r="A98" s="166" t="inlineStr">
        <is>
          <t>GAP-INT-24</t>
        </is>
      </c>
      <c r="B98" s="166" t="inlineStr">
        <is>
          <t>Integration Tests (Connect)</t>
        </is>
      </c>
      <c r="C98" s="166" t="inlineStr">
        <is>
          <t>[TC_39] If the last date has already been reached, the button on the Review Delivery Details screen should be grayed out and the text above it should read: “The last date for the project is over. You will be notified if the opportunity opens up again’</t>
        </is>
      </c>
      <c r="D98" s="166" t="inlineStr">
        <is>
          <t>🟡 Automatable - not yet done</t>
        </is>
      </c>
      <c r="E98" s="166" t="inlineStr">
        <is>
          <t>Mobile UI flow - no spec asserts this case</t>
        </is>
      </c>
      <c r="F98" s="166" t="inlineStr">
        <is>
          <t>Pass 1 (mobile): MTP vs test suite</t>
        </is>
      </c>
      <c r="G98" s="166" t="inlineStr">
        <is>
          <t>QA-owned (UI/e2e - eng cannot cover)</t>
        </is>
      </c>
    </row>
    <row r="99">
      <c r="A99" s="166" t="inlineStr">
        <is>
          <t>GAP-INT-25</t>
        </is>
      </c>
      <c r="B99" s="166" t="inlineStr">
        <is>
          <t>Integration Tests (Connect)</t>
        </is>
      </c>
      <c r="C99" s="166" t="inlineStr">
        <is>
          <t>[TC_40] If user do not make a visit for 2 days, they should be sent a push notification nudging me to continue the visits.The push notification should link the user directly into the Deliver app for that Opportunity</t>
        </is>
      </c>
      <c r="D99" s="166" t="inlineStr">
        <is>
          <t>🔴 Manual only</t>
        </is>
      </c>
      <c r="E99" s="166" t="inlineStr">
        <is>
          <t>2-day no-visit nudge push - time-dependent + FCM</t>
        </is>
      </c>
      <c r="F99" s="166" t="inlineStr">
        <is>
          <t>Pass 1 (mobile): MTP vs test suite</t>
        </is>
      </c>
      <c r="G99" s="166" t="inlineStr">
        <is>
          <t>QA-owned (manual)</t>
        </is>
      </c>
    </row>
    <row r="100">
      <c r="A100" s="166" t="inlineStr">
        <is>
          <t>GAP-INT-26</t>
        </is>
      </c>
      <c r="B100" s="166" t="inlineStr">
        <is>
          <t>Integration Tests (Connect)</t>
        </is>
      </c>
      <c r="C100" s="166" t="inlineStr">
        <is>
          <t>[TC_41] Visits may also be disqualified and not counted if the service was not delivered as seen through a calculated field within the form. Refer to the ‘Payable unit of work’ section in the</t>
        </is>
      </c>
      <c r="D100" s="166" t="inlineStr">
        <is>
          <t>🟡 Automatable - not yet done</t>
        </is>
      </c>
      <c r="E100" s="166" t="inlineStr">
        <is>
          <t>Mobile UI flow - no spec asserts this case</t>
        </is>
      </c>
      <c r="F100" s="166" t="inlineStr">
        <is>
          <t>Pass 1 (mobile): MTP vs test suite</t>
        </is>
      </c>
      <c r="G100" s="166" t="inlineStr">
        <is>
          <t>Partial - likely eng-covered (confirm w/ eng)</t>
        </is>
      </c>
    </row>
    <row r="101">
      <c r="A101" s="166" t="inlineStr">
        <is>
          <t>GAP-INT-27</t>
        </is>
      </c>
      <c r="B101" s="166" t="inlineStr">
        <is>
          <t>Integration Tests (Connect)</t>
        </is>
      </c>
      <c r="C101" s="166" t="inlineStr">
        <is>
          <t>[TC_42] User should receive a push notification when a new payment transaction has been uploaded that should link to the payment transaction screen</t>
        </is>
      </c>
      <c r="D101" s="166" t="inlineStr">
        <is>
          <t>🔴 Manual only</t>
        </is>
      </c>
      <c r="E101" s="166" t="inlineStr">
        <is>
          <t>Payment push notification - real FCM round-trip</t>
        </is>
      </c>
      <c r="F101" s="166" t="inlineStr">
        <is>
          <t>Pass 1 (mobile): MTP vs test suite</t>
        </is>
      </c>
      <c r="G101" s="166" t="inlineStr">
        <is>
          <t>QA-owned (manual)</t>
        </is>
      </c>
    </row>
    <row r="102">
      <c r="A102" s="166" t="inlineStr">
        <is>
          <t>GAP-INT-28</t>
        </is>
      </c>
      <c r="B102" s="166" t="inlineStr">
        <is>
          <t>Integration Tests (Connect)</t>
        </is>
      </c>
      <c r="C102" s="166" t="inlineStr">
        <is>
          <t>[TC_47] Verify when user clicks on the task assigned  notification from notification history page lands on the delivery app home page</t>
        </is>
      </c>
      <c r="D102" s="166" t="inlineStr">
        <is>
          <t>🔴 Manual only</t>
        </is>
      </c>
      <c r="E102" s="166" t="inlineStr">
        <is>
          <t>Task-assigned push tap - real FCM</t>
        </is>
      </c>
      <c r="F102" s="166" t="inlineStr">
        <is>
          <t>Pass 1 (mobile): MTP vs test suite</t>
        </is>
      </c>
      <c r="G102" s="166" t="inlineStr">
        <is>
          <t>QA-owned (manual)</t>
        </is>
      </c>
    </row>
    <row r="103">
      <c r="A103" s="166" t="inlineStr">
        <is>
          <t>GAP-INT-29</t>
        </is>
      </c>
      <c r="B103" s="166" t="inlineStr">
        <is>
          <t>Integration Tests (Connect)</t>
        </is>
      </c>
      <c r="C103" s="166" t="inlineStr">
        <is>
          <t>[TC_48] Verify user lands on the connect app home page by clicking on the notification if delivery app is not installed</t>
        </is>
      </c>
      <c r="D103" s="166" t="inlineStr">
        <is>
          <t>🔴 Manual only</t>
        </is>
      </c>
      <c r="E103" s="166" t="inlineStr">
        <is>
          <t>Push tap with delivery app absent - real FCM + app state</t>
        </is>
      </c>
      <c r="F103" s="166" t="inlineStr">
        <is>
          <t>Pass 1 (mobile): MTP vs test suite</t>
        </is>
      </c>
      <c r="G103" s="166" t="inlineStr">
        <is>
          <t>QA-owned (manual)</t>
        </is>
      </c>
    </row>
    <row r="104">
      <c r="A104" s="166" t="inlineStr">
        <is>
          <t>GAP-INT-30</t>
        </is>
      </c>
      <c r="B104" s="166" t="inlineStr">
        <is>
          <t>Integration Tests (Connect)</t>
        </is>
      </c>
      <c r="C104" s="166" t="inlineStr">
        <is>
          <t>[TC_49] Verify user sees the pending tasks message on the opp card</t>
        </is>
      </c>
      <c r="D104" s="166" t="inlineStr">
        <is>
          <t>🟡 Automatable - not yet done</t>
        </is>
      </c>
      <c r="E104" s="166" t="inlineStr">
        <is>
          <t>Mobile UI flow - no spec asserts this case</t>
        </is>
      </c>
      <c r="F104" s="166" t="inlineStr">
        <is>
          <t>Pass 1 (mobile): MTP vs test suite</t>
        </is>
      </c>
      <c r="G104" s="166" t="inlineStr">
        <is>
          <t>QA-owned (UI/e2e - eng cannot cover)</t>
        </is>
      </c>
    </row>
    <row r="105">
      <c r="A105" s="166" t="inlineStr">
        <is>
          <t>GAP-INT-31</t>
        </is>
      </c>
      <c r="B105" s="166" t="inlineStr">
        <is>
          <t>Integration Tests (Connect)</t>
        </is>
      </c>
      <c r="C105" s="166" t="inlineStr">
        <is>
          <t>[TC_50] Verify user sees the all required tasks are completed message when completes the relearn tasks</t>
        </is>
      </c>
      <c r="D105" s="166" t="inlineStr">
        <is>
          <t>🟡 Automatable - not yet done</t>
        </is>
      </c>
      <c r="E105" s="166" t="inlineStr">
        <is>
          <t>Mobile UI flow - no spec asserts this case</t>
        </is>
      </c>
      <c r="F105" s="166" t="inlineStr">
        <is>
          <t>Pass 1 (mobile): MTP vs test suite</t>
        </is>
      </c>
      <c r="G105" s="166" t="inlineStr">
        <is>
          <t>QA-owned (UI/e2e - eng cannot cover)</t>
        </is>
      </c>
    </row>
    <row r="106">
      <c r="A106" s="166" t="inlineStr">
        <is>
          <t>GAP-INT-32</t>
        </is>
      </c>
      <c r="B106" s="166" t="inlineStr">
        <is>
          <t>Integration Tests (Connect)</t>
        </is>
      </c>
      <c r="C106" s="166" t="inlineStr">
        <is>
          <t>[TC_51] Verify when user clicks on the work area assigned push notification lands on the delivery app home page</t>
        </is>
      </c>
      <c r="D106" s="166" t="inlineStr">
        <is>
          <t>🔴 Manual only</t>
        </is>
      </c>
      <c r="E106" s="166" t="inlineStr">
        <is>
          <t>Work-area-assigned push tap - real FCM</t>
        </is>
      </c>
      <c r="F106" s="166" t="inlineStr">
        <is>
          <t>Pass 1 (mobile): MTP vs test suite</t>
        </is>
      </c>
      <c r="G106" s="166" t="inlineStr">
        <is>
          <t>QA-owned (manual)</t>
        </is>
      </c>
    </row>
    <row r="107">
      <c r="A107" s="166" t="inlineStr">
        <is>
          <t>GAP-INT-33</t>
        </is>
      </c>
      <c r="B107" s="166" t="inlineStr">
        <is>
          <t>Integration Tests (Connect)</t>
        </is>
      </c>
      <c r="C107" s="166" t="inlineStr">
        <is>
          <t>[TC_52] Verify when user clicks on the work area assigned  notification from notification history page lands on the delivery app home page</t>
        </is>
      </c>
      <c r="D107" s="166" t="inlineStr">
        <is>
          <t>🔴 Manual only</t>
        </is>
      </c>
      <c r="E107" s="166" t="inlineStr">
        <is>
          <t>Work-area notification from history - real FCM</t>
        </is>
      </c>
      <c r="F107" s="166" t="inlineStr">
        <is>
          <t>Pass 1 (mobile): MTP vs test suite</t>
        </is>
      </c>
      <c r="G107" s="166" t="inlineStr">
        <is>
          <t>QA-owned (manual)</t>
        </is>
      </c>
    </row>
    <row r="108">
      <c r="A108" s="166" t="inlineStr">
        <is>
          <t>GAP-INT-34</t>
        </is>
      </c>
      <c r="B108" s="166" t="inlineStr">
        <is>
          <t>Integration Tests (Connect)</t>
        </is>
      </c>
      <c r="C108" s="166" t="inlineStr">
        <is>
          <t>[TC_53] Verify user lands on the connect app home page by clicking on the notification if delivery app is not installed</t>
        </is>
      </c>
      <c r="D108" s="166" t="inlineStr">
        <is>
          <t>🔴 Manual only</t>
        </is>
      </c>
      <c r="E108" s="166" t="inlineStr">
        <is>
          <t>Push tap with delivery app absent - real FCM + app state</t>
        </is>
      </c>
      <c r="F108" s="166" t="inlineStr">
        <is>
          <t>Pass 1 (mobile): MTP vs test suite</t>
        </is>
      </c>
      <c r="G108" s="166" t="inlineStr">
        <is>
          <t>QA-owned (manual)</t>
        </is>
      </c>
    </row>
    <row r="109">
      <c r="A109" s="166" t="inlineStr">
        <is>
          <t>GAP-LAND-01</t>
        </is>
      </c>
      <c r="B109" s="166" t="inlineStr">
        <is>
          <t>Connect Landing Page</t>
        </is>
      </c>
      <c r="C109" s="166" t="inlineStr">
        <is>
          <t>[OLP_01] Verify “In Progress” Opportunities Displayed at Top</t>
        </is>
      </c>
      <c r="D109" s="166" t="inlineStr">
        <is>
          <t>🟡 Automatable - not yet done</t>
        </is>
      </c>
      <c r="E109" s="166" t="inlineStr">
        <is>
          <t>Mobile UI flow - no spec asserts this case</t>
        </is>
      </c>
      <c r="F109" s="166" t="inlineStr">
        <is>
          <t>Pass 1 (mobile): MTP vs test suite</t>
        </is>
      </c>
      <c r="G109" s="166" t="inlineStr">
        <is>
          <t>QA-owned (UI/e2e - eng cannot cover)</t>
        </is>
      </c>
    </row>
    <row r="110">
      <c r="A110" s="166" t="inlineStr">
        <is>
          <t>GAP-LAND-02</t>
        </is>
      </c>
      <c r="B110" s="166" t="inlineStr">
        <is>
          <t>Connect Landing Page</t>
        </is>
      </c>
      <c r="C110" s="166" t="inlineStr">
        <is>
          <t>[OLP_02] Verify “New” Opportunities Displayed Below In Progress</t>
        </is>
      </c>
      <c r="D110" s="166" t="inlineStr">
        <is>
          <t>🟡 Automatable - not yet done</t>
        </is>
      </c>
      <c r="E110" s="166" t="inlineStr">
        <is>
          <t>Mobile UI flow - no spec asserts this case</t>
        </is>
      </c>
      <c r="F110" s="166" t="inlineStr">
        <is>
          <t>Pass 1 (mobile): MTP vs test suite</t>
        </is>
      </c>
      <c r="G110" s="166" t="inlineStr">
        <is>
          <t>QA-owned (UI/e2e - eng cannot cover)</t>
        </is>
      </c>
    </row>
    <row r="111">
      <c r="A111" s="166" t="inlineStr">
        <is>
          <t>GAP-LAND-03</t>
        </is>
      </c>
      <c r="B111" s="166" t="inlineStr">
        <is>
          <t>Connect Landing Page</t>
        </is>
      </c>
      <c r="C111" s="166" t="inlineStr">
        <is>
          <t>[OLP_03] Verify "Completed opportunities" section displayed at bottom</t>
        </is>
      </c>
      <c r="D111" s="166" t="inlineStr">
        <is>
          <t>🟡 Automatable - not yet done</t>
        </is>
      </c>
      <c r="E111" s="166" t="inlineStr">
        <is>
          <t>Mobile UI flow - no spec asserts this case</t>
        </is>
      </c>
      <c r="F111" s="166" t="inlineStr">
        <is>
          <t>Pass 1 (mobile): MTP vs test suite</t>
        </is>
      </c>
      <c r="G111" s="166" t="inlineStr">
        <is>
          <t>QA-owned (UI/e2e - eng cannot cover)</t>
        </is>
      </c>
    </row>
    <row r="112">
      <c r="A112" s="166" t="inlineStr">
        <is>
          <t>GAP-LAND-04</t>
        </is>
      </c>
      <c r="B112" s="166" t="inlineStr">
        <is>
          <t>Connect Landing Page</t>
        </is>
      </c>
      <c r="C112" s="166" t="inlineStr">
        <is>
          <t>[OLP_04] Verify User Can View Opportunity Information at Any Time</t>
        </is>
      </c>
      <c r="D112" s="166" t="inlineStr">
        <is>
          <t>🟡 Automatable - not yet done</t>
        </is>
      </c>
      <c r="E112" s="166" t="inlineStr">
        <is>
          <t>Mobile UI flow - no spec asserts this case</t>
        </is>
      </c>
      <c r="F112" s="166" t="inlineStr">
        <is>
          <t>Pass 1 (mobile): MTP vs test suite</t>
        </is>
      </c>
      <c r="G112" s="166" t="inlineStr">
        <is>
          <t>QA-owned (UI/e2e - eng cannot cover)</t>
        </is>
      </c>
    </row>
    <row r="113">
      <c r="A113" s="166" t="inlineStr">
        <is>
          <t>GAP-LAND-05</t>
        </is>
      </c>
      <c r="B113" s="166" t="inlineStr">
        <is>
          <t>Connect Landing Page</t>
        </is>
      </c>
      <c r="C113" s="166" t="inlineStr">
        <is>
          <t>[OLP_05] Verify Opportunity Details Drawer Opens</t>
        </is>
      </c>
      <c r="D113" s="166" t="inlineStr">
        <is>
          <t>🟡 Automatable - not yet done</t>
        </is>
      </c>
      <c r="E113" s="166" t="inlineStr">
        <is>
          <t>Mobile UI flow - no spec asserts this case</t>
        </is>
      </c>
      <c r="F113" s="166" t="inlineStr">
        <is>
          <t>Pass 1 (mobile): MTP vs test suite</t>
        </is>
      </c>
      <c r="G113" s="166" t="inlineStr">
        <is>
          <t>QA-owned (UI/e2e - eng cannot cover)</t>
        </is>
      </c>
    </row>
    <row r="114">
      <c r="A114" s="166" t="inlineStr">
        <is>
          <t>GAP-LAND-06</t>
        </is>
      </c>
      <c r="B114" s="166" t="inlineStr">
        <is>
          <t>Connect Landing Page</t>
        </is>
      </c>
      <c r="C114" s="166" t="inlineStr">
        <is>
          <t>[OLP_06] Verify Drawer Displays Complete Opportunity Information</t>
        </is>
      </c>
      <c r="D114" s="166" t="inlineStr">
        <is>
          <t>🟡 Automatable - not yet done</t>
        </is>
      </c>
      <c r="E114" s="166" t="inlineStr">
        <is>
          <t>Mobile UI flow - no spec asserts this case</t>
        </is>
      </c>
      <c r="F114" s="166" t="inlineStr">
        <is>
          <t>Pass 1 (mobile): MTP vs test suite</t>
        </is>
      </c>
      <c r="G114" s="166" t="inlineStr">
        <is>
          <t>QA-owned (UI/e2e - eng cannot cover)</t>
        </is>
      </c>
    </row>
    <row r="115">
      <c r="A115" s="166" t="inlineStr">
        <is>
          <t>GAP-LAND-07</t>
        </is>
      </c>
      <c r="B115" s="166" t="inlineStr">
        <is>
          <t>Connect Landing Page</t>
        </is>
      </c>
      <c r="C115" s="166" t="inlineStr">
        <is>
          <t>[OLP_07] Verify Correct Progress Display for Opportunity</t>
        </is>
      </c>
      <c r="D115" s="166" t="inlineStr">
        <is>
          <t>🟡 Automatable - not yet done</t>
        </is>
      </c>
      <c r="E115" s="166" t="inlineStr">
        <is>
          <t>Mobile UI flow - no spec asserts this case</t>
        </is>
      </c>
      <c r="F115" s="166" t="inlineStr">
        <is>
          <t>Pass 1 (mobile): MTP vs test suite</t>
        </is>
      </c>
      <c r="G115" s="166" t="inlineStr">
        <is>
          <t>QA-owned (UI/e2e - eng cannot cover)</t>
        </is>
      </c>
    </row>
    <row r="116">
      <c r="A116" s="166" t="inlineStr">
        <is>
          <t>GAP-LAND-08</t>
        </is>
      </c>
      <c r="B116" s="166" t="inlineStr">
        <is>
          <t>Connect Landing Page</t>
        </is>
      </c>
      <c r="C116" s="166" t="inlineStr">
        <is>
          <t>[OLP_08] Verify Work History progress is shown on opportunity details</t>
        </is>
      </c>
      <c r="D116" s="166" t="inlineStr">
        <is>
          <t>🟡 Automatable - not yet done</t>
        </is>
      </c>
      <c r="E116" s="166" t="inlineStr">
        <is>
          <t>Mobile UI flow - no spec asserts this case</t>
        </is>
      </c>
      <c r="F116" s="166" t="inlineStr">
        <is>
          <t>Pass 1 (mobile): MTP vs test suite</t>
        </is>
      </c>
      <c r="G116" s="166" t="inlineStr">
        <is>
          <t>QA-owned (UI/e2e - eng cannot cover)</t>
        </is>
      </c>
    </row>
    <row r="117">
      <c r="A117" s="166" t="inlineStr">
        <is>
          <t>GAP-LAND-09</t>
        </is>
      </c>
      <c r="B117" s="166" t="inlineStr">
        <is>
          <t>Connect Landing Page</t>
        </is>
      </c>
      <c r="C117" s="166" t="inlineStr">
        <is>
          <t>[OLP_09] Verify user is able to see review and view info options  to the completed opportunities</t>
        </is>
      </c>
      <c r="D117" s="166" t="inlineStr">
        <is>
          <t>🟡 Automatable - not yet done</t>
        </is>
      </c>
      <c r="E117" s="166" t="inlineStr">
        <is>
          <t>Mobile UI flow - no spec asserts this case</t>
        </is>
      </c>
      <c r="F117" s="166" t="inlineStr">
        <is>
          <t>Pass 1 (mobile): MTP vs test suite</t>
        </is>
      </c>
      <c r="G117" s="166" t="inlineStr">
        <is>
          <t>QA-owned (UI/e2e - eng cannot cover)</t>
        </is>
      </c>
    </row>
    <row r="118">
      <c r="A118" s="166" t="inlineStr">
        <is>
          <t>GAP-LAND-10</t>
        </is>
      </c>
      <c r="B118" s="166" t="inlineStr">
        <is>
          <t>Connect Landing Page</t>
        </is>
      </c>
      <c r="C118" s="166" t="inlineStr">
        <is>
          <t>[OLP_10] Verify user is able to see the resume and view info options to the InProgress Opportunities</t>
        </is>
      </c>
      <c r="D118" s="166" t="inlineStr">
        <is>
          <t>🟡 Automatable - not yet done</t>
        </is>
      </c>
      <c r="E118" s="166" t="inlineStr">
        <is>
          <t>Mobile UI flow - no spec asserts this case</t>
        </is>
      </c>
      <c r="F118" s="166" t="inlineStr">
        <is>
          <t>Pass 1 (mobile): MTP vs test suite</t>
        </is>
      </c>
      <c r="G118" s="166" t="inlineStr">
        <is>
          <t>QA-owned (UI/e2e - eng cannot cover)</t>
        </is>
      </c>
    </row>
    <row r="119">
      <c r="A119" s="166" t="inlineStr">
        <is>
          <t>GAP-LAND-11</t>
        </is>
      </c>
      <c r="B119" s="166" t="inlineStr">
        <is>
          <t>Connect Landing Page</t>
        </is>
      </c>
      <c r="C119" s="166" t="inlineStr">
        <is>
          <t>[OLP_11] Verify user is able to see the view opportunity button for New Opportunities</t>
        </is>
      </c>
      <c r="D119" s="166" t="inlineStr">
        <is>
          <t>🟡 Automatable - not yet done</t>
        </is>
      </c>
      <c r="E119" s="166" t="inlineStr">
        <is>
          <t>Mobile UI flow - no spec asserts this case</t>
        </is>
      </c>
      <c r="F119" s="166" t="inlineStr">
        <is>
          <t>Pass 1 (mobile): MTP vs test suite</t>
        </is>
      </c>
      <c r="G119" s="166" t="inlineStr">
        <is>
          <t>QA-owned (UI/e2e - eng cannot cover)</t>
        </is>
      </c>
    </row>
    <row r="120">
      <c r="A120" s="166" t="inlineStr">
        <is>
          <t>GAP-LAND-12</t>
        </is>
      </c>
      <c r="B120" s="166" t="inlineStr">
        <is>
          <t>Connect Landing Page</t>
        </is>
      </c>
      <c r="C120" s="166" t="inlineStr">
        <is>
          <t>[OLP_12] Verify user is able to start the opportunity upon clicking on view opportunity button</t>
        </is>
      </c>
      <c r="D120" s="166" t="inlineStr">
        <is>
          <t>🟡 Automatable - not yet done</t>
        </is>
      </c>
      <c r="E120" s="166" t="inlineStr">
        <is>
          <t>Mobile UI flow - no spec asserts this case</t>
        </is>
      </c>
      <c r="F120" s="166" t="inlineStr">
        <is>
          <t>Pass 1 (mobile): MTP vs test suite</t>
        </is>
      </c>
      <c r="G120" s="166" t="inlineStr">
        <is>
          <t>QA-owned (UI/e2e - eng cannot cover)</t>
        </is>
      </c>
    </row>
    <row r="121">
      <c r="A121" s="166" t="inlineStr">
        <is>
          <t>GAP-LAND-13</t>
        </is>
      </c>
      <c r="B121" s="166" t="inlineStr">
        <is>
          <t>Connect Landing Page</t>
        </is>
      </c>
      <c r="C121" s="166" t="inlineStr">
        <is>
          <t>[OLP_13] Verify Inprogress opportunities section is not visible when no inprogress opportunities are there</t>
        </is>
      </c>
      <c r="D121" s="166" t="inlineStr">
        <is>
          <t>🟡 Automatable - not yet done</t>
        </is>
      </c>
      <c r="E121" s="166" t="inlineStr">
        <is>
          <t>Mobile UI flow - no spec asserts this case</t>
        </is>
      </c>
      <c r="F121" s="166" t="inlineStr">
        <is>
          <t>Pass 1 (mobile): MTP vs test suite</t>
        </is>
      </c>
      <c r="G121" s="166" t="inlineStr">
        <is>
          <t>QA-owned (UI/e2e - eng cannot cover)</t>
        </is>
      </c>
    </row>
    <row r="122">
      <c r="A122" s="166" t="inlineStr">
        <is>
          <t>GAP-LAND-14</t>
        </is>
      </c>
      <c r="B122" s="166" t="inlineStr">
        <is>
          <t>Connect Landing Page</t>
        </is>
      </c>
      <c r="C122" s="166" t="inlineStr">
        <is>
          <t>[OLP_14] Verify new opportunities section is not visible when no new opportunities are there</t>
        </is>
      </c>
      <c r="D122" s="166" t="inlineStr">
        <is>
          <t>🟡 Automatable - not yet done</t>
        </is>
      </c>
      <c r="E122" s="166" t="inlineStr">
        <is>
          <t>Mobile UI flow - no spec asserts this case</t>
        </is>
      </c>
      <c r="F122" s="166" t="inlineStr">
        <is>
          <t>Pass 1 (mobile): MTP vs test suite</t>
        </is>
      </c>
      <c r="G122" s="166" t="inlineStr">
        <is>
          <t>QA-owned (UI/e2e - eng cannot cover)</t>
        </is>
      </c>
    </row>
    <row r="123">
      <c r="A123" s="166" t="inlineStr">
        <is>
          <t>GAP-LAND-15</t>
        </is>
      </c>
      <c r="B123" s="166" t="inlineStr">
        <is>
          <t>Connect Landing Page</t>
        </is>
      </c>
      <c r="C123" s="166" t="inlineStr">
        <is>
          <t>[OLP_15] Verify complete opportunities section is not visible when no completed opportunities are there</t>
        </is>
      </c>
      <c r="D123" s="166" t="inlineStr">
        <is>
          <t>🟡 Automatable - not yet done</t>
        </is>
      </c>
      <c r="E123" s="166" t="inlineStr">
        <is>
          <t>Mobile UI flow - no spec asserts this case</t>
        </is>
      </c>
      <c r="F123" s="166" t="inlineStr">
        <is>
          <t>Pass 1 (mobile): MTP vs test suite</t>
        </is>
      </c>
      <c r="G123" s="166" t="inlineStr">
        <is>
          <t>QA-owned (UI/e2e - eng cannot cover)</t>
        </is>
      </c>
    </row>
    <row r="124">
      <c r="A124" s="166" t="inlineStr">
        <is>
          <t>GAP-LAND-16</t>
        </is>
      </c>
      <c r="B124" s="166" t="inlineStr">
        <is>
          <t>Connect Landing Page</t>
        </is>
      </c>
      <c r="C124" s="166" t="inlineStr">
        <is>
          <t>[OLP_16] Verify user is able to land on the learn/delivery app when click on the resume option</t>
        </is>
      </c>
      <c r="D124" s="166" t="inlineStr">
        <is>
          <t>🟡 Automatable - not yet done</t>
        </is>
      </c>
      <c r="E124" s="166" t="inlineStr">
        <is>
          <t>Mobile UI flow - no spec asserts this case</t>
        </is>
      </c>
      <c r="F124" s="166" t="inlineStr">
        <is>
          <t>Pass 1 (mobile): MTP vs test suite</t>
        </is>
      </c>
      <c r="G124" s="166" t="inlineStr">
        <is>
          <t>QA-owned (UI/e2e - eng cannot cover)</t>
        </is>
      </c>
    </row>
    <row r="125">
      <c r="A125" s="166" t="inlineStr">
        <is>
          <t>GAP-LAND-17</t>
        </is>
      </c>
      <c r="B125" s="166" t="inlineStr">
        <is>
          <t>Connect Landing Page</t>
        </is>
      </c>
      <c r="C125" s="166" t="inlineStr">
        <is>
          <t>[OLP_17] Verify user is able to download the learn/delivery app when click on the resume option</t>
        </is>
      </c>
      <c r="D125" s="166" t="inlineStr">
        <is>
          <t>🟡 Automatable - not yet done</t>
        </is>
      </c>
      <c r="E125" s="166" t="inlineStr">
        <is>
          <t>Mobile UI flow - no spec asserts this case</t>
        </is>
      </c>
      <c r="F125" s="166" t="inlineStr">
        <is>
          <t>Pass 1 (mobile): MTP vs test suite</t>
        </is>
      </c>
      <c r="G125" s="166" t="inlineStr">
        <is>
          <t>QA-owned (UI/e2e - eng cannot cover)</t>
        </is>
      </c>
    </row>
    <row r="126">
      <c r="A126" s="166" t="inlineStr">
        <is>
          <t>GAP-LAND-18</t>
        </is>
      </c>
      <c r="B126" s="166" t="inlineStr">
        <is>
          <t>Connect Landing Page</t>
        </is>
      </c>
      <c r="C126" s="166" t="inlineStr">
        <is>
          <t>[OLP_18] Verify  user is able to see the new opportunity badge for new opportunities</t>
        </is>
      </c>
      <c r="D126" s="166" t="inlineStr">
        <is>
          <t>🟡 Automatable - not yet done</t>
        </is>
      </c>
      <c r="E126" s="166" t="inlineStr">
        <is>
          <t>Mobile UI flow - no spec asserts this case</t>
        </is>
      </c>
      <c r="F126" s="166" t="inlineStr">
        <is>
          <t>Pass 1 (mobile): MTP vs test suite</t>
        </is>
      </c>
      <c r="G126" s="166" t="inlineStr">
        <is>
          <t>QA-owned (UI/e2e - eng cannot cover)</t>
        </is>
      </c>
    </row>
    <row r="127">
      <c r="A127" s="166" t="inlineStr">
        <is>
          <t>GAP-LAND-19</t>
        </is>
      </c>
      <c r="B127" s="166" t="inlineStr">
        <is>
          <t>Connect Landing Page</t>
        </is>
      </c>
      <c r="C127" s="166" t="inlineStr">
        <is>
          <t>[OLP_19] Verify user is able to see the learn badge with precentage progress when learn app is inprogress</t>
        </is>
      </c>
      <c r="D127" s="166" t="inlineStr">
        <is>
          <t>🟡 Automatable - not yet done</t>
        </is>
      </c>
      <c r="E127" s="166" t="inlineStr">
        <is>
          <t>Mobile UI flow - no spec asserts this case</t>
        </is>
      </c>
      <c r="F127" s="166" t="inlineStr">
        <is>
          <t>Pass 1 (mobile): MTP vs test suite</t>
        </is>
      </c>
      <c r="G127" s="166" t="inlineStr">
        <is>
          <t>QA-owned (UI/e2e - eng cannot cover)</t>
        </is>
      </c>
    </row>
    <row r="128">
      <c r="A128" s="166" t="inlineStr">
        <is>
          <t>GAP-LAND-20</t>
        </is>
      </c>
      <c r="B128" s="166" t="inlineStr">
        <is>
          <t>Connect Landing Page</t>
        </is>
      </c>
      <c r="C128" s="166" t="inlineStr">
        <is>
          <t>[OLP_20] Verify user is able to see the assessment completed badge when user is completed the assessment</t>
        </is>
      </c>
      <c r="D128" s="166" t="inlineStr">
        <is>
          <t>🟡 Automatable - not yet done</t>
        </is>
      </c>
      <c r="E128" s="166" t="inlineStr">
        <is>
          <t>Mobile UI flow - no spec asserts this case</t>
        </is>
      </c>
      <c r="F128" s="166" t="inlineStr">
        <is>
          <t>Pass 1 (mobile): MTP vs test suite</t>
        </is>
      </c>
      <c r="G128" s="166" t="inlineStr">
        <is>
          <t>QA-owned (UI/e2e - eng cannot cover)</t>
        </is>
      </c>
    </row>
    <row r="129">
      <c r="A129" s="166" t="inlineStr">
        <is>
          <t>GAP-LAND-21</t>
        </is>
      </c>
      <c r="B129" s="166" t="inlineStr">
        <is>
          <t>Connect Landing Page</t>
        </is>
      </c>
      <c r="C129" s="166" t="inlineStr">
        <is>
          <t>[OLP_21] Verify user is able to see the delivery progress badge along with percentage</t>
        </is>
      </c>
      <c r="D129" s="166" t="inlineStr">
        <is>
          <t>🟡 Automatable - not yet done</t>
        </is>
      </c>
      <c r="E129" s="166" t="inlineStr">
        <is>
          <t>Mobile UI flow - no spec asserts this case</t>
        </is>
      </c>
      <c r="F129" s="166" t="inlineStr">
        <is>
          <t>Pass 1 (mobile): MTP vs test suite</t>
        </is>
      </c>
      <c r="G129" s="166" t="inlineStr">
        <is>
          <t>QA-owned (UI/e2e - eng cannot cover)</t>
        </is>
      </c>
    </row>
    <row r="130">
      <c r="A130" s="166" t="inlineStr">
        <is>
          <t>GAP-LAND-22</t>
        </is>
      </c>
      <c r="B130" s="166" t="inlineStr">
        <is>
          <t>Connect Landing Page</t>
        </is>
      </c>
      <c r="C130" s="166" t="inlineStr">
        <is>
          <t>[OLP_22] Verify user is able to see the learn progress badge with 0% when learn app is not started</t>
        </is>
      </c>
      <c r="D130" s="166" t="inlineStr">
        <is>
          <t>🟡 Automatable - not yet done</t>
        </is>
      </c>
      <c r="E130" s="166" t="inlineStr">
        <is>
          <t>Mobile UI flow - no spec asserts this case</t>
        </is>
      </c>
      <c r="F130" s="166" t="inlineStr">
        <is>
          <t>Pass 1 (mobile): MTP vs test suite</t>
        </is>
      </c>
      <c r="G130" s="166" t="inlineStr">
        <is>
          <t>QA-owned (UI/e2e - eng cannot cover)</t>
        </is>
      </c>
    </row>
    <row r="131">
      <c r="A131" s="166" t="inlineStr">
        <is>
          <t>GAP-LAND-23</t>
        </is>
      </c>
      <c r="B131" s="166" t="inlineStr">
        <is>
          <t>Connect Landing Page</t>
        </is>
      </c>
      <c r="C131" s="166" t="inlineStr">
        <is>
          <t>[OLP_23] Verify user is able to see the delivery progress badge with 0% when delivery app is not started</t>
        </is>
      </c>
      <c r="D131" s="166" t="inlineStr">
        <is>
          <t>🟡 Automatable - not yet done</t>
        </is>
      </c>
      <c r="E131" s="166" t="inlineStr">
        <is>
          <t>Mobile UI flow - no spec asserts this case</t>
        </is>
      </c>
      <c r="F131" s="166" t="inlineStr">
        <is>
          <t>Pass 1 (mobile): MTP vs test suite</t>
        </is>
      </c>
      <c r="G131" s="166" t="inlineStr">
        <is>
          <t>QA-owned (UI/e2e - eng cannot cover)</t>
        </is>
      </c>
    </row>
    <row r="132">
      <c r="A132" s="166" t="inlineStr">
        <is>
          <t>GAP-LAND-24</t>
        </is>
      </c>
      <c r="B132" s="166" t="inlineStr">
        <is>
          <t>Connect Landing Page</t>
        </is>
      </c>
      <c r="C132" s="166" t="inlineStr">
        <is>
          <t>[OLP_24] Verify completion date is shown in red colour if user have not completed the opportunity before 5 days of expire</t>
        </is>
      </c>
      <c r="D132" s="166" t="inlineStr">
        <is>
          <t>🟡 Automatable - not yet done</t>
        </is>
      </c>
      <c r="E132" s="166" t="inlineStr">
        <is>
          <t>Mobile UI flow - no spec asserts this case</t>
        </is>
      </c>
      <c r="F132" s="166" t="inlineStr">
        <is>
          <t>Pass 1 (mobile): MTP vs test suite</t>
        </is>
      </c>
      <c r="G132" s="166" t="inlineStr">
        <is>
          <t>QA-owned (UI/e2e - eng cannot cover)</t>
        </is>
      </c>
    </row>
    <row r="133">
      <c r="A133" s="166" t="inlineStr">
        <is>
          <t>GAP-LAND-25</t>
        </is>
      </c>
      <c r="B133" s="166" t="inlineStr">
        <is>
          <t>Connect Landing Page</t>
        </is>
      </c>
      <c r="C133" s="166" t="inlineStr">
        <is>
          <t>[OLP_25] Verify user shouldn't see any date or red color date text for completed opportunities</t>
        </is>
      </c>
      <c r="D133" s="166" t="inlineStr">
        <is>
          <t>🟡 Automatable - not yet done</t>
        </is>
      </c>
      <c r="E133" s="166" t="inlineStr">
        <is>
          <t>Mobile UI flow - no spec asserts this case</t>
        </is>
      </c>
      <c r="F133" s="166" t="inlineStr">
        <is>
          <t>Pass 1 (mobile): MTP vs test suite</t>
        </is>
      </c>
      <c r="G133" s="166" t="inlineStr">
        <is>
          <t>QA-owned (UI/e2e - eng cannot cover)</t>
        </is>
      </c>
    </row>
    <row r="134">
      <c r="A134" s="166" t="inlineStr">
        <is>
          <t>GAP-LAND-26</t>
        </is>
      </c>
      <c r="B134" s="166" t="inlineStr">
        <is>
          <t>Connect Landing Page</t>
        </is>
      </c>
      <c r="C134" s="166" t="inlineStr">
        <is>
          <t>[OLP_26] Verify no progress badge is displayed for opps under completed section</t>
        </is>
      </c>
      <c r="D134" s="166" t="inlineStr">
        <is>
          <t>🟡 Automatable - not yet done</t>
        </is>
      </c>
      <c r="E134" s="166" t="inlineStr">
        <is>
          <t>Mobile UI flow - no spec asserts this case</t>
        </is>
      </c>
      <c r="F134" s="166" t="inlineStr">
        <is>
          <t>Pass 1 (mobile): MTP vs test suite</t>
        </is>
      </c>
      <c r="G134" s="166" t="inlineStr">
        <is>
          <t>QA-owned (UI/e2e - eng cannot cover)</t>
        </is>
      </c>
    </row>
    <row r="135">
      <c r="A135" s="166" t="inlineStr">
        <is>
          <t>GAP-LAND-27</t>
        </is>
      </c>
      <c r="B135" s="166" t="inlineStr">
        <is>
          <t>Connect Landing Page</t>
        </is>
      </c>
      <c r="C135" s="166" t="inlineStr">
        <is>
          <t>[OLP_27] Verfiy green check mark is displayed for opps which completed all visits</t>
        </is>
      </c>
      <c r="D135" s="166" t="inlineStr">
        <is>
          <t>🟡 Automatable - not yet done</t>
        </is>
      </c>
      <c r="E135" s="166" t="inlineStr">
        <is>
          <t>Mobile UI flow - no spec asserts this case</t>
        </is>
      </c>
      <c r="F135" s="166" t="inlineStr">
        <is>
          <t>Pass 1 (mobile): MTP vs test suite</t>
        </is>
      </c>
      <c r="G135" s="166" t="inlineStr">
        <is>
          <t>QA-owned (UI/e2e - eng cannot cover)</t>
        </is>
      </c>
    </row>
    <row r="136">
      <c r="A136" s="166" t="inlineStr">
        <is>
          <t>GAP-LAND-28</t>
        </is>
      </c>
      <c r="B136" s="166" t="inlineStr">
        <is>
          <t>Connect Landing Page</t>
        </is>
      </c>
      <c r="C136" s="166" t="inlineStr">
        <is>
          <t>[OLP_28] Verify user is able to download learn/delivery app using review option [completed opp]</t>
        </is>
      </c>
      <c r="D136" s="166" t="inlineStr">
        <is>
          <t>🟡 Automatable - not yet done</t>
        </is>
      </c>
      <c r="E136" s="166" t="inlineStr">
        <is>
          <t>Mobile UI flow - no spec asserts this case</t>
        </is>
      </c>
      <c r="F136" s="166" t="inlineStr">
        <is>
          <t>Pass 1 (mobile): MTP vs test suite</t>
        </is>
      </c>
      <c r="G136" s="166" t="inlineStr">
        <is>
          <t>QA-owned (UI/e2e - eng cannot cover)</t>
        </is>
      </c>
    </row>
    <row r="137">
      <c r="A137" s="166" t="inlineStr">
        <is>
          <t>GAP-MSG-01</t>
        </is>
      </c>
      <c r="B137" s="166" t="inlineStr">
        <is>
          <t>Connect messaging</t>
        </is>
      </c>
      <c r="C137" s="166" t="inlineStr">
        <is>
          <t>[Connect channel 1] Verify user is able to create connect channel</t>
        </is>
      </c>
      <c r="D137" s="166" t="inlineStr">
        <is>
          <t>🔴 Manual only</t>
        </is>
      </c>
      <c r="E137" s="166" t="inlineStr">
        <is>
          <t>HQ-&gt;mobile channel creation round-trip on device</t>
        </is>
      </c>
      <c r="F137" s="166" t="inlineStr">
        <is>
          <t>Pass 1 (mobile): MTP vs test suite</t>
        </is>
      </c>
      <c r="G137" s="166" t="inlineStr">
        <is>
          <t>QA-owned (manual)</t>
        </is>
      </c>
    </row>
    <row r="138">
      <c r="A138" s="166" t="inlineStr">
        <is>
          <t>GAP-MSG-02</t>
        </is>
      </c>
      <c r="B138" s="166" t="inlineStr">
        <is>
          <t>Connect messaging</t>
        </is>
      </c>
      <c r="C138" s="166" t="inlineStr">
        <is>
          <t>[Connect message5] Verify user is able to create keyword for connect message</t>
        </is>
      </c>
      <c r="D138" s="166" t="inlineStr">
        <is>
          <t>🟡 Automatable - not yet done</t>
        </is>
      </c>
      <c r="E138" s="166" t="inlineStr">
        <is>
          <t>Mobile UI flow - no spec asserts this case</t>
        </is>
      </c>
      <c r="F138" s="166" t="inlineStr">
        <is>
          <t>Pass 1 (mobile): MTP vs test suite</t>
        </is>
      </c>
      <c r="G138" s="166" t="inlineStr">
        <is>
          <t>QA-owned (UI/e2e - eng cannot cover)</t>
        </is>
      </c>
    </row>
    <row r="139">
      <c r="A139" s="166" t="inlineStr">
        <is>
          <t>GAP-MSG-03</t>
        </is>
      </c>
      <c r="B139" s="166" t="inlineStr">
        <is>
          <t>Connect messaging</t>
        </is>
      </c>
      <c r="C139" s="166" t="inlineStr">
        <is>
          <t>[Connect message6] Verify user is able to create keyword for connect survey</t>
        </is>
      </c>
      <c r="D139" s="166" t="inlineStr">
        <is>
          <t>🟡 Automatable - not yet done</t>
        </is>
      </c>
      <c r="E139" s="166" t="inlineStr">
        <is>
          <t>Mobile UI flow - no spec asserts this case</t>
        </is>
      </c>
      <c r="F139" s="166" t="inlineStr">
        <is>
          <t>Pass 1 (mobile): MTP vs test suite</t>
        </is>
      </c>
      <c r="G139" s="166" t="inlineStr">
        <is>
          <t>QA-owned (UI/e2e - eng cannot cover)</t>
        </is>
      </c>
    </row>
    <row r="140">
      <c r="A140" s="166" t="inlineStr">
        <is>
          <t>GAP-MSG-04</t>
        </is>
      </c>
      <c r="B140" s="166" t="inlineStr">
        <is>
          <t>Connect messaging</t>
        </is>
      </c>
      <c r="C140" s="166" t="inlineStr">
        <is>
          <t>[Connect message7] Verify user is able to unsubscribe the channel</t>
        </is>
      </c>
      <c r="D140" s="166" t="inlineStr">
        <is>
          <t>🔴 Manual only</t>
        </is>
      </c>
      <c r="E140" s="166" t="inlineStr">
        <is>
          <t>Unsubscribe - message-receipt round-trip to confirm</t>
        </is>
      </c>
      <c r="F140" s="166" t="inlineStr">
        <is>
          <t>Pass 1 (mobile): MTP vs test suite</t>
        </is>
      </c>
      <c r="G140" s="166" t="inlineStr">
        <is>
          <t>QA-owned (manual)</t>
        </is>
      </c>
    </row>
    <row r="141">
      <c r="A141" s="166" t="inlineStr">
        <is>
          <t>GAP-MSG-05</t>
        </is>
      </c>
      <c r="B141" s="166" t="inlineStr">
        <is>
          <t>Connect messaging</t>
        </is>
      </c>
      <c r="C141" s="166" t="inlineStr">
        <is>
          <t>[Connect message8] Verify user is able to resubscribe to the channel</t>
        </is>
      </c>
      <c r="D141" s="166" t="inlineStr">
        <is>
          <t>🔴 Manual only</t>
        </is>
      </c>
      <c r="E141" s="166" t="inlineStr">
        <is>
          <t>Resubscribe - message-receipt round-trip to confirm</t>
        </is>
      </c>
      <c r="F141" s="166" t="inlineStr">
        <is>
          <t>Pass 1 (mobile): MTP vs test suite</t>
        </is>
      </c>
      <c r="G141" s="166" t="inlineStr">
        <is>
          <t>QA-owned (manual)</t>
        </is>
      </c>
    </row>
    <row r="142">
      <c r="A142" s="166" t="inlineStr">
        <is>
          <t>GAP-NOT-01</t>
        </is>
      </c>
      <c r="B142" s="166" t="inlineStr">
        <is>
          <t>Connect Notifications</t>
        </is>
      </c>
      <c r="C142" s="166" t="inlineStr">
        <is>
          <t>[Notifications_03] Verify user is able to see all the notifications history in the notifications page</t>
        </is>
      </c>
      <c r="D142" s="166" t="inlineStr">
        <is>
          <t>🔴 Manual only</t>
        </is>
      </c>
      <c r="E142" s="166" t="inlineStr">
        <is>
          <t>Push notification receipt - real FCM round-trip</t>
        </is>
      </c>
      <c r="F142" s="166" t="inlineStr">
        <is>
          <t>Pass 1 (mobile): MTP vs test suite</t>
        </is>
      </c>
      <c r="G142" s="166" t="inlineStr">
        <is>
          <t>QA-owned (manual)</t>
        </is>
      </c>
    </row>
    <row r="143">
      <c r="A143" s="166" t="inlineStr">
        <is>
          <t>GAP-NOT-02</t>
        </is>
      </c>
      <c r="B143" s="166" t="inlineStr">
        <is>
          <t>Connect Notifications</t>
        </is>
      </c>
      <c r="C143" s="166" t="inlineStr">
        <is>
          <t>[Notifications_06] Verify prompts to resume work are shown in notifications history page</t>
        </is>
      </c>
      <c r="D143" s="166" t="inlineStr">
        <is>
          <t>🔴 Manual only</t>
        </is>
      </c>
      <c r="E143" s="166" t="inlineStr">
        <is>
          <t>Push notification receipt - real FCM round-trip</t>
        </is>
      </c>
      <c r="F143" s="166" t="inlineStr">
        <is>
          <t>Pass 1 (mobile): MTP vs test suite</t>
        </is>
      </c>
      <c r="G143" s="166" t="inlineStr">
        <is>
          <t>QA-owned (manual)</t>
        </is>
      </c>
    </row>
    <row r="144">
      <c r="A144" s="166" t="inlineStr">
        <is>
          <t>GAP-NOT-03</t>
        </is>
      </c>
      <c r="B144" s="166" t="inlineStr">
        <is>
          <t>Connect Notifications</t>
        </is>
      </c>
      <c r="C144" s="166" t="inlineStr">
        <is>
          <t>[Notifications_07] Verify user is able to land on deliver progress screen upon clicking on the resume prompt notification</t>
        </is>
      </c>
      <c r="D144" s="166" t="inlineStr">
        <is>
          <t>🔴 Manual only</t>
        </is>
      </c>
      <c r="E144" s="166" t="inlineStr">
        <is>
          <t>Push notification receipt - real FCM round-trip</t>
        </is>
      </c>
      <c r="F144" s="166" t="inlineStr">
        <is>
          <t>Pass 1 (mobile): MTP vs test suite</t>
        </is>
      </c>
      <c r="G144" s="166" t="inlineStr">
        <is>
          <t>QA-owned (manual)</t>
        </is>
      </c>
    </row>
    <row r="145">
      <c r="A145" s="166" t="inlineStr">
        <is>
          <t>GAP-NOT-04</t>
        </is>
      </c>
      <c r="B145" s="166" t="inlineStr">
        <is>
          <t>Connect Notifications</t>
        </is>
      </c>
      <c r="C145" s="166" t="inlineStr">
        <is>
          <t>[Notifications_10] Verify Send message notifications are shown in the notification history page</t>
        </is>
      </c>
      <c r="D145" s="166" t="inlineStr">
        <is>
          <t>🔴 Manual only</t>
        </is>
      </c>
      <c r="E145" s="166" t="inlineStr">
        <is>
          <t>Push notification receipt - real FCM round-trip</t>
        </is>
      </c>
      <c r="F145" s="166" t="inlineStr">
        <is>
          <t>Pass 1 (mobile): MTP vs test suite</t>
        </is>
      </c>
      <c r="G145" s="166" t="inlineStr">
        <is>
          <t>QA-owned (manual)</t>
        </is>
      </c>
    </row>
    <row r="146">
      <c r="A146" s="166" t="inlineStr">
        <is>
          <t>GAP-NOT-05</t>
        </is>
      </c>
      <c r="B146" s="166" t="inlineStr">
        <is>
          <t>Connect Notifications</t>
        </is>
      </c>
      <c r="C146" s="166" t="inlineStr">
        <is>
          <t>[Notifications_11] Verify red dot is displayed when notification received</t>
        </is>
      </c>
      <c r="D146" s="166" t="inlineStr">
        <is>
          <t>🔴 Manual only</t>
        </is>
      </c>
      <c r="E146" s="166" t="inlineStr">
        <is>
          <t>Red-dot on real push receipt - FCM timing</t>
        </is>
      </c>
      <c r="F146" s="166" t="inlineStr">
        <is>
          <t>Pass 1 (mobile): MTP vs test suite</t>
        </is>
      </c>
      <c r="G146" s="166" t="inlineStr">
        <is>
          <t>QA-owned (manual)</t>
        </is>
      </c>
    </row>
    <row r="147">
      <c r="A147" s="166" t="inlineStr">
        <is>
          <t>GAP-NOT-06</t>
        </is>
      </c>
      <c r="B147" s="166" t="inlineStr">
        <is>
          <t>Connect Notifications</t>
        </is>
      </c>
      <c r="C147" s="166" t="inlineStr">
        <is>
          <t>[Notifications_12] Verfiy user recieved notification for payment rollback</t>
        </is>
      </c>
      <c r="D147" s="166" t="inlineStr">
        <is>
          <t>🔴 Manual only</t>
        </is>
      </c>
      <c r="E147" s="166" t="inlineStr">
        <is>
          <t>Push notification receipt - real FCM round-trip</t>
        </is>
      </c>
      <c r="F147" s="166" t="inlineStr">
        <is>
          <t>Pass 1 (mobile): MTP vs test suite</t>
        </is>
      </c>
      <c r="G147" s="166" t="inlineStr">
        <is>
          <t>QA-owned (manual)</t>
        </is>
      </c>
    </row>
    <row r="148">
      <c r="A148" s="166" t="inlineStr">
        <is>
          <t>GAP-NOT-07</t>
        </is>
      </c>
      <c r="B148" s="166" t="inlineStr">
        <is>
          <t>Connect Notifications</t>
        </is>
      </c>
      <c r="C148" s="166" t="inlineStr">
        <is>
          <t>[Notifications_13] Verfiy user recieved notification for Assessment score</t>
        </is>
      </c>
      <c r="D148" s="166" t="inlineStr">
        <is>
          <t>🔴 Manual only</t>
        </is>
      </c>
      <c r="E148" s="166" t="inlineStr">
        <is>
          <t>Push notification receipt - real FCM round-trip</t>
        </is>
      </c>
      <c r="F148" s="166" t="inlineStr">
        <is>
          <t>Pass 1 (mobile): MTP vs test suite</t>
        </is>
      </c>
      <c r="G148" s="166" t="inlineStr">
        <is>
          <t>QA-owned (manual)</t>
        </is>
      </c>
    </row>
    <row r="149">
      <c r="A149" s="166" t="inlineStr">
        <is>
          <t>GAP-NOT-08</t>
        </is>
      </c>
      <c r="B149" s="166" t="inlineStr">
        <is>
          <t>Connect Notifications</t>
        </is>
      </c>
      <c r="C149" s="166" t="inlineStr">
        <is>
          <t>[Notifications_14] Verify user is able to receive relearn task assigned notification</t>
        </is>
      </c>
      <c r="D149" s="166" t="inlineStr">
        <is>
          <t>🔴 Manual only</t>
        </is>
      </c>
      <c r="E149" s="166" t="inlineStr">
        <is>
          <t>Push notification receipt - real FCM round-trip</t>
        </is>
      </c>
      <c r="F149" s="166" t="inlineStr">
        <is>
          <t>Pass 1 (mobile): MTP vs test suite</t>
        </is>
      </c>
      <c r="G149" s="166" t="inlineStr">
        <is>
          <t>QA-owned (manual)</t>
        </is>
      </c>
    </row>
    <row r="150">
      <c r="A150" s="166" t="inlineStr">
        <is>
          <t>GAP-NOT-09</t>
        </is>
      </c>
      <c r="B150" s="166" t="inlineStr">
        <is>
          <t>Connect Notifications</t>
        </is>
      </c>
      <c r="C150" s="166" t="inlineStr">
        <is>
          <t>[Notifications_15] Verify re assigning for same task will receive the notification</t>
        </is>
      </c>
      <c r="D150" s="166" t="inlineStr">
        <is>
          <t>🔴 Manual only</t>
        </is>
      </c>
      <c r="E150" s="166" t="inlineStr">
        <is>
          <t>Push notification receipt - real FCM round-trip</t>
        </is>
      </c>
      <c r="F150" s="166" t="inlineStr">
        <is>
          <t>Pass 1 (mobile): MTP vs test suite</t>
        </is>
      </c>
      <c r="G150" s="166" t="inlineStr">
        <is>
          <t>QA-owned (manual)</t>
        </is>
      </c>
    </row>
    <row r="151">
      <c r="A151" s="166" t="inlineStr">
        <is>
          <t>GAP-NOT-10</t>
        </is>
      </c>
      <c r="B151" s="166" t="inlineStr">
        <is>
          <t>Connect Notifications</t>
        </is>
      </c>
      <c r="C151" s="166" t="inlineStr">
        <is>
          <t>[Notifications_16] Verify user is able to receive work area assigned notification</t>
        </is>
      </c>
      <c r="D151" s="166" t="inlineStr">
        <is>
          <t>🔴 Manual only</t>
        </is>
      </c>
      <c r="E151" s="166" t="inlineStr">
        <is>
          <t>Push notification receipt - real FCM round-trip</t>
        </is>
      </c>
      <c r="F151" s="166" t="inlineStr">
        <is>
          <t>Pass 1 (mobile): MTP vs test suite</t>
        </is>
      </c>
      <c r="G151" s="166" t="inlineStr">
        <is>
          <t>QA-owned (manual)</t>
        </is>
      </c>
    </row>
    <row r="152">
      <c r="A152" s="166" t="inlineStr">
        <is>
          <t>GAP-NOT-11</t>
        </is>
      </c>
      <c r="B152" s="166" t="inlineStr">
        <is>
          <t>Connect Notifications</t>
        </is>
      </c>
      <c r="C152" s="166" t="inlineStr">
        <is>
          <t>[Notifications_17] Verify user is able to receive single notifications for assiging multiple work areas</t>
        </is>
      </c>
      <c r="D152" s="166" t="inlineStr">
        <is>
          <t>🔴 Manual only</t>
        </is>
      </c>
      <c r="E152" s="166" t="inlineStr">
        <is>
          <t>Push notification receipt - real FCM round-trip</t>
        </is>
      </c>
      <c r="F152" s="166" t="inlineStr">
        <is>
          <t>Pass 1 (mobile): MTP vs test suite</t>
        </is>
      </c>
      <c r="G152" s="166" t="inlineStr">
        <is>
          <t>QA-owned (manual)</t>
        </is>
      </c>
    </row>
    <row r="153">
      <c r="A153" s="166" t="inlineStr">
        <is>
          <t>GAP-NOT-12</t>
        </is>
      </c>
      <c r="B153" s="166" t="inlineStr">
        <is>
          <t>Connect Notifications</t>
        </is>
      </c>
      <c r="C153" s="166" t="inlineStr">
        <is>
          <t>[Notifications_18] Verify when user clicks on the push notification in the middle of form submission  exit form dialogue box appears</t>
        </is>
      </c>
      <c r="D153" s="166" t="inlineStr">
        <is>
          <t>🔴 Manual only</t>
        </is>
      </c>
      <c r="E153" s="166" t="inlineStr">
        <is>
          <t>Push arriving mid-form - real FCM timing</t>
        </is>
      </c>
      <c r="F153" s="166" t="inlineStr">
        <is>
          <t>Pass 1 (mobile): MTP vs test suite</t>
        </is>
      </c>
      <c r="G153" s="166" t="inlineStr">
        <is>
          <t>QA-owned (manual)</t>
        </is>
      </c>
    </row>
    <row r="154">
      <c r="A154" s="166" t="inlineStr">
        <is>
          <t>GAP-WH-01</t>
        </is>
      </c>
      <c r="B154" s="166" t="inlineStr">
        <is>
          <t>Connect worker History</t>
        </is>
      </c>
      <c r="C154" s="166" t="inlineStr">
        <is>
          <t>[Worker_History 1] Verify we are able create manage creditals on CCC web UI</t>
        </is>
      </c>
      <c r="D154" s="166" t="inlineStr">
        <is>
          <t>🟡 Automatable - not yet done</t>
        </is>
      </c>
      <c r="E154" s="166" t="inlineStr">
        <is>
          <t>Mobile UI flow - no spec asserts this case</t>
        </is>
      </c>
      <c r="F154" s="166" t="inlineStr">
        <is>
          <t>Pass 1 (mobile): MTP vs test suite</t>
        </is>
      </c>
      <c r="G154" s="166" t="inlineStr">
        <is>
          <t>QA-owned (UI/e2e - eng cannot cover)</t>
        </is>
      </c>
    </row>
    <row r="155">
      <c r="A155" s="166" t="inlineStr">
        <is>
          <t>GAP-WH-02</t>
        </is>
      </c>
      <c r="B155" s="166" t="inlineStr">
        <is>
          <t>Connect worker History</t>
        </is>
      </c>
      <c r="C155" s="166" t="inlineStr">
        <is>
          <t>[Worker_History 2] Verify earned credentials are visible in worker history section</t>
        </is>
      </c>
      <c r="D155" s="166" t="inlineStr">
        <is>
          <t>🟡 Automatable - not yet done</t>
        </is>
      </c>
      <c r="E155" s="166" t="inlineStr">
        <is>
          <t>Mobile UI flow - no spec asserts this case</t>
        </is>
      </c>
      <c r="F155" s="166" t="inlineStr">
        <is>
          <t>Pass 1 (mobile): MTP vs test suite</t>
        </is>
      </c>
      <c r="G155" s="166" t="inlineStr">
        <is>
          <t>QA-owned (UI/e2e - eng cannot cover)</t>
        </is>
      </c>
    </row>
    <row r="156">
      <c r="A156" s="166" t="inlineStr">
        <is>
          <t>GAP-WH-03</t>
        </is>
      </c>
      <c r="B156" s="166" t="inlineStr">
        <is>
          <t>Connect worker History</t>
        </is>
      </c>
      <c r="C156" s="166" t="inlineStr">
        <is>
          <t>[Worker_History 3] Verify previously earned credentials are still visible on mobile when disabled on web UI</t>
        </is>
      </c>
      <c r="D156" s="166" t="inlineStr">
        <is>
          <t>🟡 Automatable - not yet done</t>
        </is>
      </c>
      <c r="E156" s="166" t="inlineStr">
        <is>
          <t>Mobile UI flow - no spec asserts this case</t>
        </is>
      </c>
      <c r="F156" s="166" t="inlineStr">
        <is>
          <t>Pass 1 (mobile): MTP vs test suite</t>
        </is>
      </c>
      <c r="G156" s="166" t="inlineStr">
        <is>
          <t>QA-owned (UI/e2e - eng cannot cover)</t>
        </is>
      </c>
    </row>
    <row r="157">
      <c r="A157" s="166" t="inlineStr">
        <is>
          <t>GAP-MAP-01</t>
        </is>
      </c>
      <c r="B157" s="166" t="inlineStr">
        <is>
          <t xml:space="preserve">Case List map </t>
        </is>
      </c>
      <c r="C157" s="166" t="inlineStr">
        <is>
          <t>[Map_01] Verify user is able to configure geo options</t>
        </is>
      </c>
      <c r="D157" s="166" t="inlineStr">
        <is>
          <t>🟡 Automatable - not yet done</t>
        </is>
      </c>
      <c r="E157" s="166" t="inlineStr">
        <is>
          <t>Mobile UI flow - no spec asserts this case</t>
        </is>
      </c>
      <c r="F157" s="166" t="inlineStr">
        <is>
          <t>Pass 1 (mobile): MTP vs test suite</t>
        </is>
      </c>
      <c r="G157" s="166" t="inlineStr">
        <is>
          <t>QA-owned (UI/e2e - eng cannot cover)</t>
        </is>
      </c>
    </row>
    <row r="158">
      <c r="A158" s="166" t="inlineStr">
        <is>
          <t>GAP-MAP-02</t>
        </is>
      </c>
      <c r="B158" s="166" t="inlineStr">
        <is>
          <t xml:space="preserve">Case List map </t>
        </is>
      </c>
      <c r="C158" s="166" t="inlineStr">
        <is>
          <t>[Map_02] Verify removal of required Geo options</t>
        </is>
      </c>
      <c r="D158" s="166" t="inlineStr">
        <is>
          <t>🟡 Automatable - not yet done</t>
        </is>
      </c>
      <c r="E158" s="166" t="inlineStr">
        <is>
          <t>Mobile UI flow - no spec asserts this case</t>
        </is>
      </c>
      <c r="F158" s="166" t="inlineStr">
        <is>
          <t>Pass 1 (mobile): MTP vs test suite</t>
        </is>
      </c>
      <c r="G158" s="166" t="inlineStr">
        <is>
          <t>QA-owned (UI/e2e - eng cannot cover)</t>
        </is>
      </c>
    </row>
    <row r="159">
      <c r="A159" s="166" t="inlineStr">
        <is>
          <t>GAP-MAP-03</t>
        </is>
      </c>
      <c r="B159" s="166" t="inlineStr">
        <is>
          <t xml:space="preserve">Case List map </t>
        </is>
      </c>
      <c r="C159" s="166" t="inlineStr">
        <is>
          <t>[Map_03] Verify polygons and points are displayed on the case list map</t>
        </is>
      </c>
      <c r="D159" s="166" t="inlineStr">
        <is>
          <t>🔴 Manual only</t>
        </is>
      </c>
      <c r="E159" s="166" t="inlineStr">
        <is>
          <t>Map canvas rendering/interaction - no stable selectors (reviewer to confirm)</t>
        </is>
      </c>
      <c r="F159" s="166" t="inlineStr">
        <is>
          <t>Pass 1 (mobile): MTP vs test suite</t>
        </is>
      </c>
      <c r="G159" s="166" t="inlineStr">
        <is>
          <t>QA-owned (manual)</t>
        </is>
      </c>
    </row>
    <row r="160">
      <c r="A160" s="166" t="inlineStr">
        <is>
          <t>GAP-MAP-04</t>
        </is>
      </c>
      <c r="B160" s="166" t="inlineStr">
        <is>
          <t xml:space="preserve">Case List map </t>
        </is>
      </c>
      <c r="C160" s="166" t="inlineStr">
        <is>
          <t>[Map_04] Verify multiple locations display correctly</t>
        </is>
      </c>
      <c r="D160" s="166" t="inlineStr">
        <is>
          <t>🔴 Manual only</t>
        </is>
      </c>
      <c r="E160" s="166" t="inlineStr">
        <is>
          <t>Map canvas rendering/interaction - no stable selectors (reviewer to confirm)</t>
        </is>
      </c>
      <c r="F160" s="166" t="inlineStr">
        <is>
          <t>Pass 1 (mobile): MTP vs test suite</t>
        </is>
      </c>
      <c r="G160" s="166" t="inlineStr">
        <is>
          <t>QA-owned (manual)</t>
        </is>
      </c>
    </row>
    <row r="161">
      <c r="A161" s="166" t="inlineStr">
        <is>
          <t>GAP-MAP-05</t>
        </is>
      </c>
      <c r="B161" s="166" t="inlineStr">
        <is>
          <t xml:space="preserve">Case List map </t>
        </is>
      </c>
      <c r="C161" s="166" t="inlineStr">
        <is>
          <t>[Map_05] Verify overlapping polygons for same coordinates</t>
        </is>
      </c>
      <c r="D161" s="166" t="inlineStr">
        <is>
          <t>🔴 Manual only</t>
        </is>
      </c>
      <c r="E161" s="166" t="inlineStr">
        <is>
          <t>Map canvas rendering/interaction - no stable selectors (reviewer to confirm)</t>
        </is>
      </c>
      <c r="F161" s="166" t="inlineStr">
        <is>
          <t>Pass 1 (mobile): MTP vs test suite</t>
        </is>
      </c>
      <c r="G161" s="166" t="inlineStr">
        <is>
          <t>QA-owned (manual)</t>
        </is>
      </c>
    </row>
    <row r="162">
      <c r="A162" s="166" t="inlineStr">
        <is>
          <t>GAP-MAP-06</t>
        </is>
      </c>
      <c r="B162" s="166" t="inlineStr">
        <is>
          <t xml:space="preserve">Case List map </t>
        </is>
      </c>
      <c r="C162" s="166" t="inlineStr">
        <is>
          <t>[Map_06] Verify case name popup appears on clicking a polygon</t>
        </is>
      </c>
      <c r="D162" s="166" t="inlineStr">
        <is>
          <t>🔴 Manual only</t>
        </is>
      </c>
      <c r="E162" s="166" t="inlineStr">
        <is>
          <t>Map canvas rendering/interaction - no stable selectors (reviewer to confirm)</t>
        </is>
      </c>
      <c r="F162" s="166" t="inlineStr">
        <is>
          <t>Pass 1 (mobile): MTP vs test suite</t>
        </is>
      </c>
      <c r="G162" s="166" t="inlineStr">
        <is>
          <t>QA-owned (manual)</t>
        </is>
      </c>
    </row>
    <row r="163">
      <c r="A163" s="166" t="inlineStr">
        <is>
          <t>GAP-MAP-07</t>
        </is>
      </c>
      <c r="B163" s="166" t="inlineStr">
        <is>
          <t xml:space="preserve">Case List map </t>
        </is>
      </c>
      <c r="C163" s="166" t="inlineStr">
        <is>
          <t>[Map_07] Verify user can open the Case Follow-Up form by clicking on case name</t>
        </is>
      </c>
      <c r="D163" s="166" t="inlineStr">
        <is>
          <t>🔴 Manual only</t>
        </is>
      </c>
      <c r="E163" s="166" t="inlineStr">
        <is>
          <t>Map canvas rendering/interaction - no stable selectors (reviewer to confirm)</t>
        </is>
      </c>
      <c r="F163" s="166" t="inlineStr">
        <is>
          <t>Pass 1 (mobile): MTP vs test suite</t>
        </is>
      </c>
      <c r="G163" s="166" t="inlineStr">
        <is>
          <t>QA-owned (manual)</t>
        </is>
      </c>
    </row>
    <row r="164">
      <c r="A164" s="166" t="inlineStr">
        <is>
          <t>GAP-MAP-08</t>
        </is>
      </c>
      <c r="B164" s="166" t="inlineStr">
        <is>
          <t xml:space="preserve">Case List map </t>
        </is>
      </c>
      <c r="C164" s="166" t="inlineStr">
        <is>
          <t>[Map_08] Verify warning message on the mobile map for wrong configuration</t>
        </is>
      </c>
      <c r="D164" s="166" t="inlineStr">
        <is>
          <t>🔴 Manual only</t>
        </is>
      </c>
      <c r="E164" s="166" t="inlineStr">
        <is>
          <t>Map canvas rendering/interaction - no stable selectors (reviewer to confirm)</t>
        </is>
      </c>
      <c r="F164" s="166" t="inlineStr">
        <is>
          <t>Pass 1 (mobile): MTP vs test suite</t>
        </is>
      </c>
      <c r="G164" s="166" t="inlineStr">
        <is>
          <t>QA-owned (manual)</t>
        </is>
      </c>
    </row>
    <row r="165">
      <c r="A165" s="166" t="inlineStr">
        <is>
          <t>GAP-MAP-09</t>
        </is>
      </c>
      <c r="B165" s="166" t="inlineStr">
        <is>
          <t xml:space="preserve">Case List map </t>
        </is>
      </c>
      <c r="C165" s="166" t="inlineStr">
        <is>
          <t>[Map_09] Verify visibility of individual toggles based on entity count</t>
        </is>
      </c>
      <c r="D165" s="166" t="inlineStr">
        <is>
          <t>🔴 Manual only</t>
        </is>
      </c>
      <c r="E165" s="166" t="inlineStr">
        <is>
          <t>Map canvas rendering/interaction - no stable selectors (reviewer to confirm)</t>
        </is>
      </c>
      <c r="F165" s="166" t="inlineStr">
        <is>
          <t>Pass 1 (mobile): MTP vs test suite</t>
        </is>
      </c>
      <c r="G165" s="166" t="inlineStr">
        <is>
          <t>QA-owned (manual)</t>
        </is>
      </c>
    </row>
    <row r="166">
      <c r="A166" s="166" t="inlineStr">
        <is>
          <t>GAP-MAP-10</t>
        </is>
      </c>
      <c r="B166" s="166" t="inlineStr">
        <is>
          <t xml:space="preserve">Case List map </t>
        </is>
      </c>
      <c r="C166" s="166" t="inlineStr">
        <is>
          <t>[Map_10] Verify toggles are shown when multiple entities exist</t>
        </is>
      </c>
      <c r="D166" s="166" t="inlineStr">
        <is>
          <t>🔴 Manual only</t>
        </is>
      </c>
      <c r="E166" s="166" t="inlineStr">
        <is>
          <t>Map canvas rendering/interaction - no stable selectors (reviewer to confirm)</t>
        </is>
      </c>
      <c r="F166" s="166" t="inlineStr">
        <is>
          <t>Pass 1 (mobile): MTP vs test suite</t>
        </is>
      </c>
      <c r="G166" s="166" t="inlineStr">
        <is>
          <t>QA-owned (manual)</t>
        </is>
      </c>
    </row>
    <row r="167">
      <c r="A167" s="166" t="inlineStr">
        <is>
          <t>GAP-MAP-11</t>
        </is>
      </c>
      <c r="B167" s="166" t="inlineStr">
        <is>
          <t xml:space="preserve">Case List map </t>
        </is>
      </c>
      <c r="C167" s="166" t="inlineStr">
        <is>
          <t>[Map_11] Verify user can toggle polygons and points ON/OFF</t>
        </is>
      </c>
      <c r="D167" s="166" t="inlineStr">
        <is>
          <t>🔴 Manual only</t>
        </is>
      </c>
      <c r="E167" s="166" t="inlineStr">
        <is>
          <t>Map canvas rendering/interaction - no stable selectors (reviewer to confirm)</t>
        </is>
      </c>
      <c r="F167" s="166" t="inlineStr">
        <is>
          <t>Pass 1 (mobile): MTP vs test suite</t>
        </is>
      </c>
      <c r="G167" s="166" t="inlineStr">
        <is>
          <t>QA-owned (manual)</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6.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2026-07-10T08:49:53Z</dcterms:modified>
</cp:coreProperties>
</file>