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Summary" sheetId="2" state="visible" r:id="rId2"/>
    <sheet name="Coverage Tracker" sheetId="3" state="visible" r:id="rId3"/>
    <sheet name=" Test Tracker" sheetId="4" state="visible" r:id="rId4"/>
    <sheet name="Personal ID Tests" sheetId="5" state="visible" r:id="rId5"/>
    <sheet name="Integration Tests (Connect)" sheetId="6" state="visible" r:id="rId6"/>
    <sheet name="Connect Landing Page" sheetId="7" state="visible" r:id="rId7"/>
    <sheet name="Connect messaging" sheetId="8" state="visible" r:id="rId8"/>
    <sheet name="Connect Notifications" sheetId="9" state="visible" r:id="rId9"/>
    <sheet name="Connect worker History" sheetId="10" state="visible" r:id="rId10"/>
    <sheet name="Case List map " sheetId="11" state="visible" r:id="rId11"/>
    <sheet name="Test Tracker Horizontal" sheetId="12" state="hidden" r:id="rId12"/>
    <sheet name="Automation Status" sheetId="13" state="visible" r:id="rId13"/>
    <sheet name="Gap Analysis" sheetId="14" state="visible" r:id="rId14"/>
    <sheet name="Automation Coverage" sheetId="15" state="visible" r:id="rId15"/>
  </sheets>
  <definedNames/>
  <calcPr calcId="124519" fullCalcOnLoad="1"/>
</workbook>
</file>

<file path=xl/styles.xml><?xml version="1.0" encoding="utf-8"?>
<styleSheet xmlns="http://schemas.openxmlformats.org/spreadsheetml/2006/main">
  <numFmts count="1">
    <numFmt numFmtId="164" formatCode="mm/dd/yyyy"/>
  </numFmts>
  <fonts count="29">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
      <b val="1"/>
      <sz val="15"/>
    </font>
    <font>
      <i val="1"/>
      <color rgb="00555555"/>
    </font>
    <font>
      <b val="1"/>
      <sz val="13"/>
    </font>
    <font>
      <i val="1"/>
    </font>
  </fonts>
  <fills count="22">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8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xf numFmtId="0" fontId="24" fillId="0" borderId="0" pivotButton="0" quotePrefix="0" xfId="0"/>
    <xf numFmtId="0" fontId="23"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9" fontId="0" fillId="0" borderId="0" applyAlignment="1" pivotButton="0" quotePrefix="0" xfId="0">
      <alignment vertical="top" wrapText="1"/>
    </xf>
    <xf numFmtId="0" fontId="23" fillId="20" borderId="0" applyAlignment="1" pivotButton="0" quotePrefix="0" xfId="0">
      <alignment vertical="top" wrapText="1"/>
    </xf>
    <xf numFmtId="9" fontId="23" fillId="20" borderId="0" applyAlignment="1" pivotButton="0" quotePrefix="0" xfId="0">
      <alignment vertical="top" wrapText="1"/>
    </xf>
    <xf numFmtId="0" fontId="23" fillId="21" borderId="0" applyAlignment="1" pivotButton="0" quotePrefix="0" xfId="0">
      <alignment vertical="top" wrapText="1"/>
    </xf>
    <xf numFmtId="0" fontId="3" fillId="0" borderId="0" applyAlignment="1" pivotButton="0" quotePrefix="0" xfId="0">
      <alignment vertical="top" wrapText="1"/>
    </xf>
    <xf numFmtId="0" fontId="28"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42" customWidth="1" style="145" min="1" max="1"/>
    <col width="100" customWidth="1" style="145" min="2" max="2"/>
  </cols>
  <sheetData>
    <row r="1">
      <c r="A1" s="171" t="inlineStr">
        <is>
          <t>Read Me — Tab Guide &amp; Legend</t>
        </is>
      </c>
      <c r="B1" s="166" t="n"/>
    </row>
    <row r="2">
      <c r="A2" s="172" t="inlineStr">
        <is>
          <t>Connect QA Gap Analysis · Mobile App Regression stream</t>
        </is>
      </c>
      <c r="B2" s="166" t="n"/>
    </row>
    <row r="3">
      <c r="A3" s="166" t="inlineStr"/>
      <c r="B3" s="166" t="n"/>
    </row>
    <row r="4">
      <c r="A4" s="168" t="inlineStr">
        <is>
          <t>WHAT THIS EXERCISE PRODUCED — two separate outputs</t>
        </is>
      </c>
      <c r="B4" s="166" t="n"/>
    </row>
    <row r="5">
      <c r="A5" s="166" t="inlineStr">
        <is>
          <t>Output 1: MTP completeness</t>
        </is>
      </c>
      <c r="B5" s="166" t="inlineStr">
        <is>
          <t>Everything the product does that was NOT documented in this test plan. ALL functional gaps get added to the plan, whether or not engineering already tests them.</t>
        </is>
      </c>
    </row>
    <row r="6">
      <c r="A6" s="166" t="inlineStr">
        <is>
          <t>Output 2: QA automation backlog</t>
        </is>
      </c>
      <c r="B6" s="166" t="inlineStr">
        <is>
          <t>The subset of those gaps that QA still needs to automate — i.e. the ones engineering does NOT already cover. Filter the Action column for "Automate".</t>
        </is>
      </c>
    </row>
    <row r="7">
      <c r="A7" s="166" t="inlineStr"/>
      <c r="B7" s="166" t="n"/>
    </row>
    <row r="8">
      <c r="A8" s="168" t="inlineStr">
        <is>
          <t>TAB GUIDE — what each tab is</t>
        </is>
      </c>
      <c r="B8" s="166" t="n"/>
    </row>
    <row r="9">
      <c r="A9" s="166" t="inlineStr">
        <is>
          <t>Read Me</t>
        </is>
      </c>
      <c r="B9" s="166" t="inlineStr">
        <is>
          <t>This tab. The key to the whole workbook.</t>
        </is>
      </c>
    </row>
    <row r="10">
      <c r="A10" s="166" t="inlineStr">
        <is>
          <t>Summary</t>
        </is>
      </c>
      <c r="B10" s="166" t="inlineStr">
        <is>
          <t>A one-screen dashboard of the numbers, auto-calculated. Shows Output 1 (MTP completeness), Output 2 (automation backlog), plus dev unit-test and reconcile counts. Read this first for the big picture.</t>
        </is>
      </c>
    </row>
    <row r="11">
      <c r="A11" s="166" t="inlineStr">
        <is>
          <t>Test Tracker / Test Tracker Horizontal</t>
        </is>
      </c>
      <c r="B11" s="166" t="inlineStr">
        <is>
          <t>ORIGINAL tabs (not from this exercise). The pre-existing execution trackers — who ran the manual test rounds and pass/fail counts. Left untouched.</t>
        </is>
      </c>
    </row>
    <row r="12">
      <c r="A12" s="166" t="inlineStr">
        <is>
          <t>The surface tabs (Login, Opportunity creation, Visit verification, Microplanning, etc.)</t>
        </is>
      </c>
      <c r="B12" s="166" t="inlineStr">
        <is>
          <t>ORIGINAL tabs. This IS the existing master test plan — the documented test cases grouped by product screen/area. The "before" picture that the gap analysis was measured against.</t>
        </is>
      </c>
    </row>
    <row r="13">
      <c r="A13" s="166" t="inlineStr">
        <is>
          <t>Gap Analysis  (MAIN OUTPUT)</t>
        </is>
      </c>
      <c r="B13" s="166" t="inlineStr">
        <is>
          <t>Every coverage gap we found — behaviour that exists in the product code but had NO case in the surface tabs. Each row carries its Bucket, Eng Coverage, and Action. This is the deliverable: what was missing, and what to do about it. Reviewers work here.</t>
        </is>
      </c>
    </row>
    <row r="14">
      <c r="A14" s="166" t="inlineStr">
        <is>
          <t>Automation Coverage</t>
        </is>
      </c>
      <c r="B14" s="166" t="inlineStr">
        <is>
          <t>The pass-1 baseline: the existing master test cases checked against QA's CURRENT automated suite (the pytest tests in dimagi-qa-ccc) — "of what we already documented, how much is automated." Migration bookkeeping; context, not the headline.</t>
        </is>
      </c>
    </row>
    <row r="15">
      <c r="A15" s="166" t="inlineStr">
        <is>
          <t>Automation Status</t>
        </is>
      </c>
      <c r="B15" s="166" t="inlineStr">
        <is>
          <t>The short list of master-plan cases confirmed as ALREADY automated (the green cases). "What is already done."</t>
        </is>
      </c>
    </row>
    <row r="16">
      <c r="A16" s="166" t="inlineStr"/>
      <c r="B16" s="166" t="n"/>
    </row>
    <row r="17">
      <c r="A17" s="166" t="inlineStr">
        <is>
          <t>ONE-LINE DISTINCTION</t>
        </is>
      </c>
      <c r="B17" s="166" t="n"/>
    </row>
    <row r="18">
      <c r="A18" s="168" t="inlineStr">
        <is>
          <t>Gap Analysis</t>
        </is>
      </c>
      <c r="B18" s="166" t="inlineStr">
        <is>
          <t>What was MISSING from the plan (new findings from reading the code) = completeness of the plan.</t>
        </is>
      </c>
    </row>
    <row r="19">
      <c r="A19" s="166" t="inlineStr">
        <is>
          <t>Automation Coverage / Status</t>
        </is>
      </c>
      <c r="B19" s="166" t="inlineStr">
        <is>
          <t>Of what was ALREADY in the plan, how much is automated = automation of the plan.</t>
        </is>
      </c>
    </row>
    <row r="20">
      <c r="A20" s="166" t="inlineStr"/>
      <c r="B20" s="166" t="n"/>
    </row>
    <row r="21">
      <c r="A21" s="168" t="inlineStr">
        <is>
          <t>GAP ANALYSIS — the 3 row types (by Gap ID prefix)</t>
        </is>
      </c>
      <c r="B21" s="166" t="n"/>
    </row>
    <row r="22">
      <c r="A22" s="166" t="inlineStr">
        <is>
          <t>Functional gap</t>
        </is>
      </c>
      <c r="B22" s="166" t="inlineStr">
        <is>
          <t>Behaviour in the code with no test case in the MTP. The core finding; QA-automation candidates. IDs: GAP-SRC-*, GAP-BE-*, GAP-FE-*.</t>
        </is>
      </c>
    </row>
    <row r="23">
      <c r="A23" s="166" t="inlineStr">
        <is>
          <t>Unit-test-coverage gap (dev)</t>
        </is>
      </c>
      <c r="B23" s="166" t="inlineStr">
        <is>
          <t>Where the ENGINEERING code lacks a unit test. A note for dev teams, not QA automation. IDs: GAP-UTC-*.</t>
        </is>
      </c>
    </row>
    <row r="24">
      <c r="A24" s="166" t="inlineStr">
        <is>
          <t>Cross-cutting</t>
        </is>
      </c>
      <c r="B24" s="166" t="inlineStr">
        <is>
          <t>Not a single missing case: hygiene (e.g. duplicate IDs), MTP-vs-code discrepancies, or automation/dead-code notes. IDs: GAP-MISC-*, GAP-MMISC-*.</t>
        </is>
      </c>
    </row>
    <row r="25">
      <c r="A25" s="166" t="inlineStr"/>
      <c r="B25" s="166" t="n"/>
    </row>
    <row r="26">
      <c r="A26" s="166" t="inlineStr">
        <is>
          <t>BUCKET column</t>
        </is>
      </c>
      <c r="B26" s="166" t="n"/>
    </row>
    <row r="27">
      <c r="A27" s="168" t="inlineStr">
        <is>
          <t>🟢 Already automated</t>
        </is>
      </c>
      <c r="B27" s="166" t="inlineStr">
        <is>
          <t>A spec exists and runs (tracked in Automation Status).</t>
        </is>
      </c>
    </row>
    <row r="28">
      <c r="A28" s="166" t="inlineStr">
        <is>
          <t>🟡 Automatable - not yet done</t>
        </is>
      </c>
      <c r="B28" s="166" t="inlineStr">
        <is>
          <t>Can be automated; the automation backlog.</t>
        </is>
      </c>
    </row>
    <row r="29">
      <c r="A29" s="166" t="inlineStr">
        <is>
          <t>🔴 Manual only</t>
        </is>
      </c>
      <c r="B29" s="166" t="inlineStr">
        <is>
          <t>Impractical/impossible to automate (real SMS/OTP, push, camera, biometric, device, time-dependent).</t>
        </is>
      </c>
    </row>
    <row r="30">
      <c r="A30" s="166" t="inlineStr"/>
      <c r="B30" s="166" t="n"/>
    </row>
    <row r="31">
      <c r="A31" s="166" t="inlineStr">
        <is>
          <t>ENG COVERAGE column — does engineering already test this? (avoid duplicating eng work)</t>
        </is>
      </c>
      <c r="B31" s="166" t="n"/>
    </row>
    <row r="32">
      <c r="A32" s="168" t="inlineStr">
        <is>
          <t>Eng-covered (logic)</t>
        </is>
      </c>
      <c r="B32" s="166" t="inlineStr">
        <is>
          <t>Eng PR-run tests cover the logic. QA adds an e2e test only if on a critical user journey.</t>
        </is>
      </c>
    </row>
    <row r="33">
      <c r="A33" s="166" t="inlineStr">
        <is>
          <t>QA-owned</t>
        </is>
      </c>
      <c r="B33" s="166" t="inlineStr">
        <is>
          <t>Real device/external (SMS/OTP/push/camera) — eng cannot unit-test either. QA-owned priority.</t>
        </is>
      </c>
    </row>
    <row r="34">
      <c r="A34" s="166" t="inlineStr">
        <is>
          <t>Partial</t>
        </is>
      </c>
      <c r="B34" s="166" t="inlineStr">
        <is>
          <t>Some eng coverage; confirm with eng.</t>
        </is>
      </c>
    </row>
    <row r="35">
      <c r="A35" s="166" t="inlineStr">
        <is>
          <t>Eng GAP</t>
        </is>
      </c>
      <c r="B35" s="166" t="inlineStr">
        <is>
          <t>Eng has no unit test here (a GAP-UTC row).</t>
        </is>
      </c>
    </row>
    <row r="36">
      <c r="A36" s="166" t="inlineStr">
        <is>
          <t>N/A</t>
        </is>
      </c>
      <c r="B36" s="166" t="inlineStr">
        <is>
          <t>Hygiene/discrepancy/automation note.</t>
        </is>
      </c>
    </row>
    <row r="37">
      <c r="A37" s="166" t="inlineStr"/>
      <c r="B37" s="166" t="n"/>
    </row>
    <row r="38">
      <c r="A38" s="166" t="inlineStr">
        <is>
          <t>ACTION column — the decision per row</t>
        </is>
      </c>
      <c r="B38" s="166" t="n"/>
    </row>
    <row r="39">
      <c r="A39" s="168" t="inlineStr">
        <is>
          <t>Add to MTP only (eng-covered)</t>
        </is>
      </c>
      <c r="B39" s="166" t="inlineStr">
        <is>
          <t>Document it in the plan; do NOT automate — eng already tests it.</t>
        </is>
      </c>
    </row>
    <row r="40">
      <c r="A40" s="166" t="inlineStr">
        <is>
          <t>Add to MTP + Automate (QA-owned)</t>
        </is>
      </c>
      <c r="B40" s="166" t="inlineStr">
        <is>
          <t>Add to plan AND automate — eng cannot cover it.</t>
        </is>
      </c>
    </row>
    <row r="41">
      <c r="A41" s="166" t="inlineStr">
        <is>
          <t>Add to MTP + Automate (confirm w/ eng)</t>
        </is>
      </c>
      <c r="B41" s="166" t="inlineStr">
        <is>
          <t>Add to plan; likely automate — confirm eng coverage first.</t>
        </is>
      </c>
    </row>
    <row r="42">
      <c r="A42" s="166" t="inlineStr">
        <is>
          <t>Dev: add unit test</t>
        </is>
      </c>
      <c r="B42" s="166" t="inlineStr">
        <is>
          <t>For the dev team — product code missing a unit test.</t>
        </is>
      </c>
    </row>
    <row r="43">
      <c r="A43" s="166" t="inlineStr">
        <is>
          <t>Reconcile (plan/code)</t>
        </is>
      </c>
      <c r="B43" s="166" t="inlineStr">
        <is>
          <t>Fix the plan or the code (hygiene / discrepancy).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5" min="1" max="1"/>
    <col width="12" customWidth="1" style="145" min="2" max="2"/>
  </cols>
  <sheetData>
    <row r="1">
      <c r="A1" s="169" t="inlineStr">
        <is>
          <t>Gap Analysis — Summary</t>
        </is>
      </c>
    </row>
    <row r="2">
      <c r="A2" s="0" t="inlineStr"/>
    </row>
    <row r="3">
      <c r="A3" s="170" t="inlineStr">
        <is>
          <t>OUTPUT 1 — MTP completeness (all functional gaps: add to the MTP)</t>
        </is>
      </c>
      <c r="B3" s="0">
        <f>COUNTIF('Gap Analysis'!$L$2:$L$1000,"Add to MTP*")</f>
        <v/>
      </c>
    </row>
    <row r="4">
      <c r="A4" s="0" t="inlineStr">
        <is>
          <t xml:space="preserve">   ...of which already eng-covered (add to MTP only, do NOT automate)</t>
        </is>
      </c>
      <c r="B4" s="0">
        <f>COUNTIF('Gap Analysis'!$L$2:$L$1000,"Add to MTP only*")</f>
        <v/>
      </c>
    </row>
    <row r="5">
      <c r="A5" s="0" t="inlineStr">
        <is>
          <t xml:space="preserve">   ...of which QA to automate (see Output 2)</t>
        </is>
      </c>
      <c r="B5" s="0">
        <f>COUNTIF('Gap Analysis'!$L$2:$L$1000,"*Automate*")</f>
        <v/>
      </c>
    </row>
    <row r="6">
      <c r="A6" s="0" t="inlineStr"/>
    </row>
    <row r="7">
      <c r="A7" s="170" t="inlineStr">
        <is>
          <t>OUTPUT 2 — QA automation backlog (functional gaps NOT eng-covered)</t>
        </is>
      </c>
      <c r="B7" s="0">
        <f>COUNTIF('Gap Analysis'!$L$2:$L$1000,"*Automate*")</f>
        <v/>
      </c>
    </row>
    <row r="8">
      <c r="A8" s="0" t="inlineStr">
        <is>
          <t xml:space="preserve">   QA-owned (real device/SMS/push - eng cannot cover)</t>
        </is>
      </c>
      <c r="B8" s="0">
        <f>COUNTIF('Gap Analysis'!$L$2:$L$1000,"*QA-owned*")</f>
        <v/>
      </c>
    </row>
    <row r="9">
      <c r="A9" s="0" t="inlineStr">
        <is>
          <t xml:space="preserve">   Automatable, confirm w/ eng (partial coverage)</t>
        </is>
      </c>
      <c r="B9" s="0">
        <f>COUNTIF('Gap Analysis'!$L$2:$L$1000,"*confirm w/ eng*")</f>
        <v/>
      </c>
    </row>
    <row r="10">
      <c r="A10" s="0" t="inlineStr"/>
    </row>
    <row r="11">
      <c r="A11" s="170" t="inlineStr">
        <is>
          <t>DEV deliverable — unit-test-coverage gaps (eng to add unit tests)</t>
        </is>
      </c>
      <c r="B11" s="0">
        <f>COUNTIF('Gap Analysis'!$L$2:$L$1000,"Dev:*")</f>
        <v/>
      </c>
    </row>
    <row r="12">
      <c r="A12" s="170" t="inlineStr">
        <is>
          <t>CROSS-CUTTING — reconcile plan/code (hygiene/discrepancy)</t>
        </is>
      </c>
      <c r="B12" s="0">
        <f>COUNTIF('Gap Analysis'!$L$2:$L$1000,"Reconcile*")</f>
        <v/>
      </c>
    </row>
    <row r="13">
      <c r="A13" s="0" t="inlineStr"/>
    </row>
    <row r="14">
      <c r="A14" s="170" t="inlineStr">
        <is>
          <t>TOTAL Gap Analysis rows</t>
        </is>
      </c>
      <c r="B14" s="0">
        <f>COUNTA('Gap Analysis'!$L$2:$L$1000)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2" customWidth="1" style="145" min="1" max="1"/>
    <col width="20" customWidth="1" style="145" min="2" max="2"/>
    <col width="20" customWidth="1" style="145" min="3" max="3"/>
    <col width="20" customWidth="1" style="145" min="4" max="4"/>
    <col width="20" customWidth="1" style="145" min="5" max="5"/>
    <col width="20" customWidth="1" style="145" min="6" max="6"/>
    <col width="30" customWidth="1" style="145" min="7" max="7"/>
  </cols>
  <sheetData>
    <row r="1">
      <c r="A1" s="173" t="inlineStr">
        <is>
          <t>Coverage Tracker — automation coverage of existing MTP cases (live)</t>
        </is>
      </c>
      <c r="B1" s="166" t="n"/>
      <c r="C1" s="166" t="n"/>
      <c r="D1" s="166" t="n"/>
      <c r="E1" s="166" t="n"/>
      <c r="F1" s="166" t="n"/>
      <c r="G1" s="166" t="n"/>
    </row>
    <row r="2">
      <c r="A2" s="166" t="n"/>
      <c r="B2" s="166" t="n"/>
      <c r="C2" s="166" t="n"/>
      <c r="D2" s="166" t="n"/>
      <c r="E2" s="166" t="n"/>
      <c r="F2" s="166" t="n"/>
      <c r="G2" s="166" t="n"/>
    </row>
    <row r="3">
      <c r="A3" s="168" t="inlineStr">
        <is>
          <t>Surface</t>
        </is>
      </c>
      <c r="B3" s="168" t="inlineStr">
        <is>
          <t>Automated (built)</t>
        </is>
      </c>
      <c r="C3" s="168" t="inlineStr">
        <is>
          <t>Automatable (not built)</t>
        </is>
      </c>
      <c r="D3" s="168" t="inlineStr">
        <is>
          <t>Manual only</t>
        </is>
      </c>
      <c r="E3" s="168" t="inlineStr">
        <is>
          <t>Total tracked</t>
        </is>
      </c>
      <c r="F3" s="168" t="inlineStr">
        <is>
          <t>% Automated</t>
        </is>
      </c>
      <c r="G3" s="168" t="inlineStr">
        <is>
          <t>Note</t>
        </is>
      </c>
    </row>
    <row r="4">
      <c r="A4" s="166" t="inlineStr">
        <is>
          <t>Personal ID Tests</t>
        </is>
      </c>
      <c r="B4" s="166">
        <f>COUNTIF('Automation Status'!$A:$A,$A4)</f>
        <v/>
      </c>
      <c r="C4" s="166">
        <f>COUNTIFS('Automation Coverage'!$B:$B,$A4,'Automation Coverage'!$D:$D,"🟡*")</f>
        <v/>
      </c>
      <c r="D4" s="166">
        <f>COUNTIFS('Automation Coverage'!$B:$B,$A4,'Automation Coverage'!$D:$D,"🔴*")</f>
        <v/>
      </c>
      <c r="E4" s="166">
        <f>B4+C4+D4</f>
        <v/>
      </c>
      <c r="F4" s="174">
        <f>IF(E4&gt;0,B4/E4,0)</f>
        <v/>
      </c>
      <c r="G4" s="166" t="inlineStr"/>
    </row>
    <row r="5">
      <c r="A5" s="166" t="inlineStr">
        <is>
          <t>Integration Tests (Connect)</t>
        </is>
      </c>
      <c r="B5" s="166">
        <f>COUNTIF('Automation Status'!$A:$A,$A5)</f>
        <v/>
      </c>
      <c r="C5" s="166">
        <f>COUNTIFS('Automation Coverage'!$B:$B,$A5,'Automation Coverage'!$D:$D,"🟡*")</f>
        <v/>
      </c>
      <c r="D5" s="166">
        <f>COUNTIFS('Automation Coverage'!$B:$B,$A5,'Automation Coverage'!$D:$D,"🔴*")</f>
        <v/>
      </c>
      <c r="E5" s="166">
        <f>B5+C5+D5</f>
        <v/>
      </c>
      <c r="F5" s="174">
        <f>IF(E5&gt;0,B5/E5,0)</f>
        <v/>
      </c>
      <c r="G5" s="166" t="inlineStr"/>
    </row>
    <row r="6">
      <c r="A6" s="166" t="inlineStr">
        <is>
          <t>Connect Landing Page</t>
        </is>
      </c>
      <c r="B6" s="166">
        <f>COUNTIF('Automation Status'!$A:$A,$A6)</f>
        <v/>
      </c>
      <c r="C6" s="166">
        <f>COUNTIFS('Automation Coverage'!$B:$B,$A6,'Automation Coverage'!$D:$D,"🟡*")</f>
        <v/>
      </c>
      <c r="D6" s="166">
        <f>COUNTIFS('Automation Coverage'!$B:$B,$A6,'Automation Coverage'!$D:$D,"🔴*")</f>
        <v/>
      </c>
      <c r="E6" s="166">
        <f>B6+C6+D6</f>
        <v/>
      </c>
      <c r="F6" s="174">
        <f>IF(E6&gt;0,B6/E6,0)</f>
        <v/>
      </c>
      <c r="G6" s="166" t="inlineStr"/>
    </row>
    <row r="7">
      <c r="A7" s="166" t="inlineStr">
        <is>
          <t>Connect messaging</t>
        </is>
      </c>
      <c r="B7" s="166">
        <f>COUNTIF('Automation Status'!$A:$A,$A7)</f>
        <v/>
      </c>
      <c r="C7" s="166">
        <f>COUNTIFS('Automation Coverage'!$B:$B,$A7,'Automation Coverage'!$D:$D,"🟡*")</f>
        <v/>
      </c>
      <c r="D7" s="166">
        <f>COUNTIFS('Automation Coverage'!$B:$B,$A7,'Automation Coverage'!$D:$D,"🔴*")</f>
        <v/>
      </c>
      <c r="E7" s="166">
        <f>B7+C7+D7</f>
        <v/>
      </c>
      <c r="F7" s="174">
        <f>IF(E7&gt;0,B7/E7,0)</f>
        <v/>
      </c>
      <c r="G7" s="166" t="inlineStr"/>
    </row>
    <row r="8">
      <c r="A8" s="166" t="inlineStr">
        <is>
          <t>Connect Notifications</t>
        </is>
      </c>
      <c r="B8" s="166">
        <f>COUNTIF('Automation Status'!$A:$A,$A8)</f>
        <v/>
      </c>
      <c r="C8" s="166">
        <f>COUNTIFS('Automation Coverage'!$B:$B,$A8,'Automation Coverage'!$D:$D,"🟡*")</f>
        <v/>
      </c>
      <c r="D8" s="166">
        <f>COUNTIFS('Automation Coverage'!$B:$B,$A8,'Automation Coverage'!$D:$D,"🔴*")</f>
        <v/>
      </c>
      <c r="E8" s="166">
        <f>B8+C8+D8</f>
        <v/>
      </c>
      <c r="F8" s="174">
        <f>IF(E8&gt;0,B8/E8,0)</f>
        <v/>
      </c>
      <c r="G8" s="166" t="inlineStr"/>
    </row>
    <row r="9">
      <c r="A9" s="166" t="inlineStr">
        <is>
          <t>Connect worker History</t>
        </is>
      </c>
      <c r="B9" s="166">
        <f>COUNTIF('Automation Status'!$A:$A,$A9)</f>
        <v/>
      </c>
      <c r="C9" s="166">
        <f>COUNTIFS('Automation Coverage'!$B:$B,$A9,'Automation Coverage'!$D:$D,"🟡*")</f>
        <v/>
      </c>
      <c r="D9" s="166">
        <f>COUNTIFS('Automation Coverage'!$B:$B,$A9,'Automation Coverage'!$D:$D,"🔴*")</f>
        <v/>
      </c>
      <c r="E9" s="166">
        <f>B9+C9+D9</f>
        <v/>
      </c>
      <c r="F9" s="174">
        <f>IF(E9&gt;0,B9/E9,0)</f>
        <v/>
      </c>
      <c r="G9" s="166" t="inlineStr"/>
    </row>
    <row r="10">
      <c r="A10" s="166" t="inlineStr">
        <is>
          <t xml:space="preserve">Case List map </t>
        </is>
      </c>
      <c r="B10" s="166">
        <f>COUNTIF('Automation Status'!$A:$A,$A10)</f>
        <v/>
      </c>
      <c r="C10" s="166">
        <f>COUNTIFS('Automation Coverage'!$B:$B,$A10,'Automation Coverage'!$D:$D,"🟡*")</f>
        <v/>
      </c>
      <c r="D10" s="166">
        <f>COUNTIFS('Automation Coverage'!$B:$B,$A10,'Automation Coverage'!$D:$D,"🔴*")</f>
        <v/>
      </c>
      <c r="E10" s="166">
        <f>B10+C10+D10</f>
        <v/>
      </c>
      <c r="F10" s="174">
        <f>IF(E10&gt;0,B10/E10,0)</f>
        <v/>
      </c>
      <c r="G10" s="166" t="inlineStr"/>
    </row>
    <row r="11">
      <c r="A11" s="175" t="inlineStr">
        <is>
          <t>TOTAL</t>
        </is>
      </c>
      <c r="B11" s="175">
        <f>SUM(B4:B10)</f>
        <v/>
      </c>
      <c r="C11" s="175">
        <f>SUM(C4:C10)</f>
        <v/>
      </c>
      <c r="D11" s="175">
        <f>SUM(D4:D10)</f>
        <v/>
      </c>
      <c r="E11" s="175">
        <f>SUM(E4:E10)</f>
        <v/>
      </c>
      <c r="F11" s="176">
        <f>IF(E11&gt;0,B11/E11,0)</f>
        <v/>
      </c>
      <c r="G11" s="175" t="inlineStr"/>
    </row>
    <row r="12">
      <c r="A12" s="166" t="n"/>
      <c r="B12" s="166" t="n"/>
      <c r="C12" s="166" t="n"/>
      <c r="D12" s="166" t="n"/>
      <c r="E12" s="166" t="n"/>
      <c r="F12" s="166" t="n"/>
      <c r="G12" s="166" t="n"/>
    </row>
    <row r="13">
      <c r="A13" s="177" t="inlineStr">
        <is>
          <t>Gap Analysis — new findings from source analysis (not in the counts above)</t>
        </is>
      </c>
      <c r="B13" s="166" t="n"/>
      <c r="C13" s="166" t="n"/>
      <c r="D13" s="166" t="n"/>
      <c r="E13" s="166" t="n"/>
      <c r="F13" s="166" t="n"/>
      <c r="G13" s="166" t="n"/>
    </row>
    <row r="14">
      <c r="A14" s="178" t="inlineStr">
        <is>
          <t>Output 1: functional gaps to ADD to MTP</t>
        </is>
      </c>
      <c r="B14" s="166">
        <f>COUNTIF('Gap Analysis'!$L:$L,"Add to MTP*")</f>
        <v/>
      </c>
      <c r="C14" s="166" t="n"/>
      <c r="D14" s="166" t="n"/>
      <c r="E14" s="166" t="n"/>
      <c r="F14" s="166" t="n"/>
      <c r="G14" s="166" t="n"/>
    </row>
    <row r="15">
      <c r="A15" s="179" t="inlineStr">
        <is>
          <t xml:space="preserve">   ...of which eng-covered (add to MTP only, do NOT automate)</t>
        </is>
      </c>
      <c r="B15" s="166">
        <f>COUNTIF('Gap Analysis'!$L:$L,"Add to MTP only*")</f>
        <v/>
      </c>
      <c r="C15" s="166" t="n"/>
      <c r="D15" s="166" t="n"/>
      <c r="E15" s="166" t="n"/>
      <c r="F15" s="166" t="n"/>
      <c r="G15" s="166" t="n"/>
    </row>
    <row r="16">
      <c r="A16" s="178" t="inlineStr">
        <is>
          <t>Output 2: functional gaps to AUTOMATE (QA backlog)</t>
        </is>
      </c>
      <c r="B16" s="166">
        <f>COUNTIF('Gap Analysis'!$L:$L,"*Automate*")</f>
        <v/>
      </c>
      <c r="C16" s="166" t="n"/>
      <c r="D16" s="166" t="n"/>
      <c r="E16" s="166" t="n"/>
      <c r="F16" s="166" t="n"/>
      <c r="G16" s="166" t="n"/>
    </row>
    <row r="17">
      <c r="A17" s="179" t="inlineStr">
        <is>
          <t xml:space="preserve">   ...of which manual-only (red bucket)</t>
        </is>
      </c>
      <c r="B17" s="166">
        <f>COUNTIF('Gap Analysis'!$D:$D,"🔴*")</f>
        <v/>
      </c>
      <c r="C17" s="166" t="n"/>
      <c r="D17" s="166" t="n"/>
      <c r="E17" s="166" t="n"/>
      <c r="F17" s="166" t="n"/>
      <c r="G17" s="166" t="n"/>
    </row>
    <row r="18">
      <c r="A18" s="178" t="inlineStr">
        <is>
          <t>Dev: unit-test-coverage gaps</t>
        </is>
      </c>
      <c r="B18" s="166">
        <f>COUNTIF('Gap Analysis'!$L:$L,"Dev:*")</f>
        <v/>
      </c>
      <c r="C18" s="166" t="n"/>
      <c r="D18" s="166" t="n"/>
      <c r="E18" s="166" t="n"/>
      <c r="F18" s="166" t="n"/>
      <c r="G18" s="166" t="n"/>
    </row>
    <row r="19">
      <c r="A19" s="178" t="inlineStr">
        <is>
          <t>Cross-cutting: reconcile plan/code</t>
        </is>
      </c>
      <c r="B19" s="166">
        <f>COUNTIF('Gap Analysis'!$L:$L,"Reconcile*")</f>
        <v/>
      </c>
      <c r="C19" s="166" t="n"/>
      <c r="D19" s="166" t="n"/>
      <c r="E19" s="166" t="n"/>
      <c r="F19" s="166" t="n"/>
      <c r="G19" s="166"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5.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 width="40" customWidth="1" style="145" min="12" max="12"/>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c r="L1" s="165" t="inlineStr">
        <is>
          <t>Action</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c r="L2" s="166" t="inlineStr">
        <is>
          <t>Reconcile (plan/code)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c r="L3" s="166" t="inlineStr">
        <is>
          <t>Reconcile (plan/code)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c r="L4" s="166" t="inlineStr">
        <is>
          <t>Reconcile (plan/code)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c r="L5" s="166" t="inlineStr">
        <is>
          <t>Reconcile (plan/code)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c r="L6" s="166" t="inlineStr">
        <is>
          <t>Reconcile (plan/code)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c r="L7" s="166" t="inlineStr">
        <is>
          <t>Reconcile (plan/code)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c r="L8" s="166" t="inlineStr">
        <is>
          <t>Add to MTP + Automate (QA-owned)</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c r="L9" s="166" t="inlineStr">
        <is>
          <t>Add to MTP only (eng-covered)</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c r="L10" s="166" t="inlineStr">
        <is>
          <t>Add to MTP + Automate (QA-owned)</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c r="L11" s="166" t="inlineStr">
        <is>
          <t>Add to MTP + Automate (QA-owned)</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c r="L12" s="166" t="inlineStr">
        <is>
          <t>Add to MTP only (eng-covered)</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c r="L13" s="166" t="inlineStr">
        <is>
          <t>Add to MTP only (eng-covered)</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c r="L14" s="166" t="inlineStr">
        <is>
          <t>Add to MTP only (eng-covered)</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c r="L15" s="166" t="inlineStr">
        <is>
          <t>Add to MTP + Automate (QA-owned)</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c r="L16" s="166" t="inlineStr">
        <is>
          <t>Add to MTP only (eng-covered)</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c r="L17" s="166" t="inlineStr">
        <is>
          <t>Add to MTP only (eng-covered)</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c r="L18" s="166" t="inlineStr">
        <is>
          <t>Add to MTP + Automate (QA-owned)</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c r="L19" s="166" t="inlineStr">
        <is>
          <t>Add to MTP only (eng-covered)</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c r="L20" s="166" t="inlineStr">
        <is>
          <t>Add to MTP only (eng-covered)</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c r="L21" s="166" t="inlineStr">
        <is>
          <t>Add to MTP + Automate (QA-owned)</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c r="L22" s="166" t="inlineStr">
        <is>
          <t>Add to MTP + Automate (QA-owned)</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c r="L23" s="166" t="inlineStr">
        <is>
          <t>Add to MTP only (eng-covered)</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c r="L24" s="166" t="inlineStr">
        <is>
          <t>Add to MTP only (eng-covered)</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c r="L25" s="166" t="inlineStr">
        <is>
          <t>Add to MTP only (eng-covered)</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c r="L26" s="166" t="inlineStr">
        <is>
          <t>Add to MTP only (eng-covered)</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c r="L27" s="166" t="inlineStr">
        <is>
          <t>Add to MTP only (eng-covered)</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c r="L28" s="166" t="inlineStr">
        <is>
          <t>Add to MTP only (eng-covered)</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c r="L29" s="166" t="inlineStr">
        <is>
          <t>Add to MTP + Automate (QA-owned)</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c r="L30" s="166" t="inlineStr">
        <is>
          <t>Add to MTP only (eng-covered)</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c r="L31" s="166" t="inlineStr">
        <is>
          <t>Add to MTP only (eng-covered)</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c r="L32" s="166" t="inlineStr">
        <is>
          <t>Add to MTP + Automate (QA-owned)</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c r="L33" s="166" t="inlineStr">
        <is>
          <t>Dev: add unit test</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c r="L34" s="166" t="inlineStr">
        <is>
          <t>Dev: add unit test</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c r="L35" s="166" t="inlineStr">
        <is>
          <t>Dev: add unit test</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c r="L36" s="166" t="inlineStr">
        <is>
          <t>Dev: add unit test</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c r="L37" s="166" t="inlineStr">
        <is>
          <t>Dev: add unit test</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c r="L38" s="166" t="inlineStr">
        <is>
          <t>Add to MTP only (eng-covered)</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c r="L39" s="166" t="inlineStr">
        <is>
          <t>Add to MTP only (eng-covered)</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c r="L40" s="166" t="inlineStr">
        <is>
          <t>Add to MTP only (eng-covered)</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c r="L41" s="166" t="inlineStr">
        <is>
          <t>Add to MTP only (eng-covered)</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c r="L42" s="166" t="inlineStr">
        <is>
          <t>Add to MTP only (eng-covered)</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c r="L43" s="166" t="inlineStr">
        <is>
          <t>Add to MTP + Automate (QA-owned)</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c r="L44" s="166" t="inlineStr">
        <is>
          <t>Add to MTP + Automate (QA-owned)</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c r="L45" s="166" t="inlineStr">
        <is>
          <t>Add to MTP only (eng-covered)</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c r="L46" s="166" t="inlineStr">
        <is>
          <t>Add to MTP only (eng-covered)</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c r="L47" s="166" t="inlineStr">
        <is>
          <t>Add to MTP only (eng-covered)</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c r="L48" s="166" t="inlineStr">
        <is>
          <t>Add to MTP only (eng-covered)</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c r="L49" s="166" t="inlineStr">
        <is>
          <t>Add to MTP only (eng-covered)</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c r="L50" s="166" t="inlineStr">
        <is>
          <t>Reconcile (plan/code)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c r="L51" s="166" t="inlineStr">
        <is>
          <t>Reconcile (plan/code)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c r="L52" s="166" t="inlineStr">
        <is>
          <t>Reconcile (plan/code)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c r="L53" s="166" t="inlineStr">
        <is>
          <t>Add to MTP only (eng-covered)</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c r="L54" s="166" t="inlineStr">
        <is>
          <t>Add to MTP only (eng-covered)</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c r="L55" s="166" t="inlineStr">
        <is>
          <t>Add to MTP only (eng-covered)</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c r="L56" s="166" t="inlineStr">
        <is>
          <t>Add to MTP only (eng-covered)</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c r="L57" s="166" t="inlineStr">
        <is>
          <t>Add to MTP only (eng-covered)</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c r="L58" s="166" t="inlineStr">
        <is>
          <t>Add to MTP only (eng-covered)</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c r="L59" s="166" t="inlineStr">
        <is>
          <t>Add to MTP only (eng-covered)</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c r="L60" s="166" t="inlineStr">
        <is>
          <t>Add to MTP only (eng-covered)</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c r="L61" s="166" t="inlineStr">
        <is>
          <t>Add to MTP only (eng-covered)</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c r="L62" s="166" t="inlineStr">
        <is>
          <t>Add to MTP only (eng-covered)</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c r="L63" s="166" t="inlineStr">
        <is>
          <t>Add to MTP only (eng-covered)</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c r="L64" s="166" t="inlineStr">
        <is>
          <t>Add to MTP only (eng-covered)</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c r="L65" s="166" t="inlineStr">
        <is>
          <t>Add to MTP only (eng-covered)</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c r="L66" s="166" t="inlineStr">
        <is>
          <t>Add to MTP only (eng-covered)</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c r="L67" s="166" t="inlineStr">
        <is>
          <t>Add to MTP only (eng-covered)</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c r="L68" s="166" t="inlineStr">
        <is>
          <t>Add to MTP only (eng-covered)</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c r="L69" s="166" t="inlineStr">
        <is>
          <t>Add to MTP only (eng-covered)</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c r="L70" s="166" t="inlineStr">
        <is>
          <t>Add to MTP only (eng-covered)</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c r="L71" s="166" t="inlineStr">
        <is>
          <t>Add to MTP only (eng-covered)</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c r="L72" s="166" t="inlineStr">
        <is>
          <t>Add to MTP only (eng-covered)</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c r="L73" s="166" t="inlineStr">
        <is>
          <t>Add to MTP only (eng-covered)</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c r="L74" s="166" t="inlineStr">
        <is>
          <t>Add to MTP only (eng-covered)</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c r="L75" s="166" t="inlineStr">
        <is>
          <t>Add to MTP only (eng-covered)</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c r="L76" s="166" t="inlineStr">
        <is>
          <t>Add to MTP only (eng-covered)</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c r="L77" s="166" t="inlineStr">
        <is>
          <t>Add to MTP only (eng-covered)</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c r="L78" s="166" t="inlineStr">
        <is>
          <t>Add to MTP only (eng-covered)</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c r="L79" s="166" t="inlineStr">
        <is>
          <t>Add to MTP only (eng-covered)</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c r="L80" s="166" t="inlineStr">
        <is>
          <t>Add to MTP only (eng-covered)</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c r="L81" s="166" t="inlineStr">
        <is>
          <t>Add to MTP only (eng-covered)</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c r="L82" s="166" t="inlineStr">
        <is>
          <t>Add to MTP only (eng-covered)</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c r="L83" s="166" t="inlineStr">
        <is>
          <t>Add to MTP only (eng-covered)</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c r="L84" s="166" t="inlineStr">
        <is>
          <t>Add to MTP only (eng-covered)</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c r="L85" s="166" t="inlineStr">
        <is>
          <t>Add to MTP only (eng-covered)</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c r="L86" s="166" t="inlineStr">
        <is>
          <t>Add to MTP only (eng-covered)</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c r="L87" s="166" t="inlineStr">
        <is>
          <t>Add to MTP only (eng-covered)</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c r="L88" s="166" t="inlineStr">
        <is>
          <t>Add to MTP only (eng-covered)</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c r="L89" s="166" t="inlineStr">
        <is>
          <t>Add to MTP only (eng-covered)</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c r="L90" s="166" t="inlineStr">
        <is>
          <t>Add to MTP only (eng-covered)</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c r="L91" s="166" t="inlineStr">
        <is>
          <t>Add to MTP only (eng-covered)</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c r="L92" s="166" t="inlineStr">
        <is>
          <t>Reconcile (plan/code)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c r="L93" s="166" t="inlineStr">
        <is>
          <t>Add to MTP only (eng-covered)</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c r="L94" s="166" t="inlineStr">
        <is>
          <t>Add to MTP only (eng-covered)</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c r="L95" s="166" t="inlineStr">
        <is>
          <t>Add to MTP only (eng-covered)</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c r="L96" s="166" t="inlineStr">
        <is>
          <t>Add to MTP only (eng-covered)</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c r="L97" s="166" t="inlineStr">
        <is>
          <t>Add to MTP only (eng-covered)</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c r="L98" s="166" t="inlineStr">
        <is>
          <t>Add to MTP only (eng-covered)</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c r="L99" s="166" t="inlineStr">
        <is>
          <t>Add to MTP only (eng-covered)</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c r="L100" s="166" t="inlineStr">
        <is>
          <t>Add to MTP only (eng-covered)</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c r="L101" s="166" t="inlineStr">
        <is>
          <t>Add to MTP only (eng-covered)</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c r="L102" s="166" t="inlineStr">
        <is>
          <t>Add to MTP only (eng-covered)</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c r="L103" s="166" t="inlineStr">
        <is>
          <t>Add to MTP only (eng-covered)</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c r="L104" s="166" t="inlineStr">
        <is>
          <t>Add to MTP only (eng-covered)</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c r="L105" s="166" t="inlineStr">
        <is>
          <t>Add to MTP only (eng-covered)</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c r="L106" s="166" t="inlineStr">
        <is>
          <t>Dev: add unit test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2026-07-10T06:53:54Z</dcterms:modified>
</cp:coreProperties>
</file>