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verage Summary" sheetId="2" state="visible" r:id="rId2"/>
    <sheet xmlns:r="http://schemas.openxmlformats.org/officeDocument/2006/relationships" name="Prerequisites" sheetId="3" state="visible" r:id="rId3"/>
    <sheet xmlns:r="http://schemas.openxmlformats.org/officeDocument/2006/relationships" name="Channel Lifecycle" sheetId="4" state="visible" r:id="rId4"/>
    <sheet xmlns:r="http://schemas.openxmlformats.org/officeDocument/2006/relationships" name="Broadcasts" sheetId="5" state="visible" r:id="rId5"/>
    <sheet xmlns:r="http://schemas.openxmlformats.org/officeDocument/2006/relationships" name="Conditional Alerts" sheetId="6" state="visible" r:id="rId6"/>
    <sheet xmlns:r="http://schemas.openxmlformats.org/officeDocument/2006/relationships" name="Keywords" sheetId="7" state="visible" r:id="rId7"/>
    <sheet xmlns:r="http://schemas.openxmlformats.org/officeDocument/2006/relationships" name="Subscription" sheetId="8" state="visible" r:id="rId8"/>
    <sheet xmlns:r="http://schemas.openxmlformats.org/officeDocument/2006/relationships" name="Message Delivery" sheetId="9" state="visible" r:id="rId9"/>
    <sheet xmlns:r="http://schemas.openxmlformats.org/officeDocument/2006/relationships" name="Regression &amp; Impact" sheetId="10" state="visible" r:id="rId10"/>
    <sheet xmlns:r="http://schemas.openxmlformats.org/officeDocument/2006/relationships" name="Legacy Coverage Map" sheetId="11" state="visible" r:id="rId11"/>
    <sheet xmlns:r="http://schemas.openxmlformats.org/officeDocument/2006/relationships" name="Delivery Waves" sheetId="12" state="visible" r:id="rId12"/>
  </sheets>
  <definedNames>
    <definedName name="_xlnm._FilterDatabase" localSheetId="3" hidden="1">'Channel Lifecycle'!$A$1:$H$10</definedName>
    <definedName name="_xlnm._FilterDatabase" localSheetId="4" hidden="1">'Broadcasts'!$A$1:$H$6</definedName>
    <definedName name="_xlnm._FilterDatabase" localSheetId="5" hidden="1">'Conditional Alerts'!$A$1:$H$9</definedName>
    <definedName name="_xlnm._FilterDatabase" localSheetId="6" hidden="1">'Keywords'!$A$1:$H$8</definedName>
    <definedName name="_xlnm._FilterDatabase" localSheetId="7" hidden="1">'Subscription'!$A$1:$H$9</definedName>
    <definedName name="_xlnm._FilterDatabase" localSheetId="8" hidden="1">'Message Delivery'!$A$1:$H$11</definedName>
    <definedName name="_xlnm._FilterDatabase" localSheetId="9" hidden="1">'Regression &amp; Impact'!$A$1:$H$6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sz val="10"/>
    </font>
    <font>
      <name val="Arial"/>
      <b val="1"/>
      <sz val="11"/>
    </font>
    <font>
      <name val="Arial"/>
      <b val="1"/>
      <color rgb="00FFFFFF"/>
      <sz val="10"/>
    </font>
    <font>
      <name val="Arial"/>
      <b val="1"/>
      <sz val="10"/>
    </font>
    <font>
      <name val="Arial"/>
      <i val="1"/>
      <sz val="9"/>
    </font>
    <font>
      <name val="Arial"/>
      <b val="1"/>
      <i val="1"/>
      <color rgb="001F3864"/>
      <sz val="10"/>
    </font>
  </fonts>
  <fills count="4">
    <fill>
      <patternFill/>
    </fill>
    <fill>
      <patternFill patternType="gray125"/>
    </fill>
    <fill>
      <patternFill patternType="solid">
        <fgColor rgb="001F3864"/>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2" fillId="0" borderId="1" pivotButton="0" quotePrefix="0" xfId="0"/>
    <xf numFmtId="0" fontId="5" fillId="3" borderId="1" pivotButton="0" quotePrefix="0" xfId="0"/>
    <xf numFmtId="0" fontId="6" fillId="0" borderId="0" pivotButton="0" quotePrefix="0" xfId="0"/>
    <xf numFmtId="0" fontId="4" fillId="2" borderId="1" applyAlignment="1" pivotButton="0" quotePrefix="0" xfId="0">
      <alignment vertical="center" wrapText="1"/>
    </xf>
    <xf numFmtId="0" fontId="2" fillId="0" borderId="1" applyAlignment="1" pivotButton="0" quotePrefix="0" xfId="0">
      <alignment vertical="top" wrapText="1"/>
    </xf>
    <xf numFmtId="0" fontId="7"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0" customWidth="1" min="1" max="1"/>
  </cols>
  <sheetData>
    <row r="1">
      <c r="A1" s="1" t="inlineStr">
        <is>
          <t>Connect Messaging - Automation Test Plan</t>
        </is>
      </c>
    </row>
    <row r="2">
      <c r="A2" s="2" t="inlineStr"/>
    </row>
    <row r="3">
      <c r="A3" s="2" t="inlineStr">
        <is>
          <t>Ticket: CCCT-2671 - End to end testing scripts for Connect messaging on mobile</t>
        </is>
      </c>
    </row>
    <row r="4">
      <c r="A4" s="2" t="inlineStr">
        <is>
          <t>https://dimagi.atlassian.net/browse/CCCT-2671</t>
        </is>
      </c>
    </row>
    <row r="5">
      <c r="A5" s="2" t="inlineStr"/>
    </row>
    <row r="6">
      <c r="A6" s="3" t="inlineStr">
        <is>
          <t>Scope</t>
        </is>
      </c>
    </row>
    <row r="7">
      <c r="A7" s="2" t="inlineStr">
        <is>
          <t>Every way a Connect message can reach a worker's device, and everything the worker can do with it.</t>
        </is>
      </c>
    </row>
    <row r="8">
      <c r="A8" s="2" t="inlineStr">
        <is>
          <t>Cases are derived from three sources: the manual 'Connect messaging' sheet in</t>
        </is>
      </c>
    </row>
    <row r="9">
      <c r="A9" s="2" t="inlineStr">
        <is>
          <t>test_plans/CCC_Mobile_App_Regression_MTP.xlsx (9 cases); the app surface read from commcare-android</t>
        </is>
      </c>
    </row>
    <row r="10">
      <c r="A10" s="2" t="inlineStr">
        <is>
          <t>(channel list, unread state, consent, push deep-link, delivery ticks, encryption keys); and the</t>
        </is>
      </c>
    </row>
    <row r="11">
      <c r="A11" s="2" t="inlineStr">
        <is>
          <t>HQ trigger types (consent request, broadcast, conditional alert, keyword).</t>
        </is>
      </c>
    </row>
    <row r="12">
      <c r="A12" s="2" t="inlineStr"/>
    </row>
    <row r="13">
      <c r="A13" s="3" t="inlineStr">
        <is>
          <t>How to read this</t>
        </is>
      </c>
    </row>
    <row r="14">
      <c r="A14" s="2" t="inlineStr">
        <is>
          <t>One sheet per functional area. 'Automation Target' names the test or flow that covers a case,</t>
        </is>
      </c>
    </row>
    <row r="15">
      <c r="A15" s="2" t="inlineStr">
        <is>
          <t>or 'Manual only'. 'Phase' says which engine runs it. Same shape as</t>
        </is>
      </c>
    </row>
    <row r="16">
      <c r="A16" s="2" t="inlineStr">
        <is>
          <t>Tasking_Workflow_Automation_Test_Plan.xlsx (PR #23) so the two plans read alike.</t>
        </is>
      </c>
    </row>
    <row r="17">
      <c r="A17" s="2" t="inlineStr"/>
    </row>
    <row r="18">
      <c r="A18" s="2" t="inlineStr">
        <is>
          <t>Legacy Coverage Map maps each manual case to what the Selenium/Appium suite already automates</t>
        </is>
      </c>
    </row>
    <row r="19">
      <c r="A19" s="2" t="inlineStr">
        <is>
          <t>(test_tc_09, test_tc_10) and what has to be built. Delivery Waves gives the suggested order.</t>
        </is>
      </c>
    </row>
    <row r="20">
      <c r="A20" s="2" t="inlineStr"/>
    </row>
    <row r="21">
      <c r="A21" s="3" t="inlineStr">
        <is>
          <t>Two constraints that shape everything here</t>
        </is>
      </c>
    </row>
    <row r="22">
      <c r="A22" s="2" t="inlineStr">
        <is>
          <t>1. Messages are end-to-end encrypted with a per-channel key held only on the device, so no test</t>
        </is>
      </c>
    </row>
    <row r="23">
      <c r="A23" s="2" t="inlineStr">
        <is>
          <t xml:space="preserve">   can assert message CONTENT server-side. Content is asserted on-device, in the app UI.</t>
        </is>
      </c>
    </row>
    <row r="24">
      <c r="A24" s="2" t="inlineStr">
        <is>
          <t>2. Chat messages do not originate in commcare-connect - it has no channel or message model. They</t>
        </is>
      </c>
    </row>
    <row r="25">
      <c r="A25" s="2" t="inlineStr">
        <is>
          <t xml:space="preserve">   come from CommCare HQ via ConnectID /messaging/ and FCM. Seeding a message means driving HQ.</t>
        </is>
      </c>
    </row>
    <row r="26">
      <c r="A26" s="2" t="inlineStr"/>
    </row>
    <row r="27">
      <c r="A27" s="2" t="inlineStr">
        <is>
          <t>Environments: every case runs on both stage and prod. The APK follows the environment</t>
        </is>
      </c>
    </row>
    <row r="28">
      <c r="A28" s="2" t="inlineStr">
        <is>
          <t>(stage -&gt; app-cccStaging-release.apk, prod -&gt; app-commcare-release.apk; same package, so they</t>
        </is>
      </c>
    </row>
    <row r="29">
      <c r="A29" s="2" t="inlineStr">
        <is>
          <t>cannot coexist), and each environment needs its own PersonalID numbers.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Coverage Summary</t>
        </is>
      </c>
    </row>
    <row r="3">
      <c r="A3" s="4" t="inlineStr">
        <is>
          <t>Area</t>
        </is>
      </c>
      <c r="B3" s="4" t="inlineStr">
        <is>
          <t>Total cases</t>
        </is>
      </c>
      <c r="C3" s="4" t="inlineStr">
        <is>
          <t>Automatable</t>
        </is>
      </c>
      <c r="D3" s="4" t="inlineStr">
        <is>
          <t>Done</t>
        </is>
      </c>
      <c r="E3" s="4" t="inlineStr">
        <is>
          <t>Left to build</t>
        </is>
      </c>
      <c r="F3" s="4" t="inlineStr">
        <is>
          <t>Manual only</t>
        </is>
      </c>
      <c r="G3" s="4" t="inlineStr">
        <is>
          <t>Web</t>
        </is>
      </c>
      <c r="H3" s="4" t="inlineStr">
        <is>
          <t>Hybrid</t>
        </is>
      </c>
      <c r="I3" s="4" t="inlineStr">
        <is>
          <t>Mobile</t>
        </is>
      </c>
    </row>
    <row r="4">
      <c r="A4" s="5" t="inlineStr">
        <is>
          <t>Channel Lifecycle</t>
        </is>
      </c>
      <c r="B4" s="5">
        <f>COUNTIF('Channel Lifecycle'!$A:$A,"TC-CHN-*")</f>
        <v/>
      </c>
      <c r="C4" s="5">
        <f>COUNTIFS('Channel Lifecycle'!$A:$A,"TC-CHN-*",'Channel Lifecycle'!$F:$F,"&lt;&gt;Manual only")</f>
        <v/>
      </c>
      <c r="D4" s="5">
        <f>COUNTIFS('Channel Lifecycle'!$A:$A,"TC-CHN-*",'Channel Lifecycle'!$G:$G,"Automated")</f>
        <v/>
      </c>
      <c r="E4" s="5">
        <f>COUNTIFS('Channel Lifecycle'!$A:$A,"TC-CHN-*",'Channel Lifecycle'!$F:$F,"&lt;&gt;Manual only")-COUNTIFS('Channel Lifecycle'!$A:$A,"TC-CHN-*",'Channel Lifecycle'!$G:$G,"Automated")</f>
        <v/>
      </c>
      <c r="F4" s="5">
        <f>COUNTIFS('Channel Lifecycle'!$A:$A,"TC-CHN-*",'Channel Lifecycle'!$F:$F,"Manual only")</f>
        <v/>
      </c>
      <c r="G4" s="5">
        <f>COUNTIFS('Channel Lifecycle'!$A:$A,"TC-CHN-*",'Channel Lifecycle'!$E:$E,"1 - Web (Playwright)")</f>
        <v/>
      </c>
      <c r="H4" s="5">
        <f>COUNTIFS('Channel Lifecycle'!$A:$A,"TC-CHN-*",'Channel Lifecycle'!$E:$E,"2 - Hybrid (Web+Mobile)")</f>
        <v/>
      </c>
      <c r="I4" s="5">
        <f>COUNTIFS('Channel Lifecycle'!$A:$A,"TC-CHN-*",'Channel Lifecycle'!$E:$E,"3 - Mobile (Maestro)")</f>
        <v/>
      </c>
    </row>
    <row r="5">
      <c r="A5" s="5" t="inlineStr">
        <is>
          <t>Broadcasts</t>
        </is>
      </c>
      <c r="B5" s="5">
        <f>COUNTIF('Broadcasts'!$A:$A,"TC-BRD-*")</f>
        <v/>
      </c>
      <c r="C5" s="5">
        <f>COUNTIFS('Broadcasts'!$A:$A,"TC-BRD-*",'Broadcasts'!$F:$F,"&lt;&gt;Manual only")</f>
        <v/>
      </c>
      <c r="D5" s="5">
        <f>COUNTIFS('Broadcasts'!$A:$A,"TC-BRD-*",'Broadcasts'!$G:$G,"Automated")</f>
        <v/>
      </c>
      <c r="E5" s="5">
        <f>COUNTIFS('Broadcasts'!$A:$A,"TC-BRD-*",'Broadcasts'!$F:$F,"&lt;&gt;Manual only")-COUNTIFS('Broadcasts'!$A:$A,"TC-BRD-*",'Broadcasts'!$G:$G,"Automated")</f>
        <v/>
      </c>
      <c r="F5" s="5">
        <f>COUNTIFS('Broadcasts'!$A:$A,"TC-BRD-*",'Broadcasts'!$F:$F,"Manual only")</f>
        <v/>
      </c>
      <c r="G5" s="5">
        <f>COUNTIFS('Broadcasts'!$A:$A,"TC-BRD-*",'Broadcasts'!$E:$E,"1 - Web (Playwright)")</f>
        <v/>
      </c>
      <c r="H5" s="5">
        <f>COUNTIFS('Broadcasts'!$A:$A,"TC-BRD-*",'Broadcasts'!$E:$E,"2 - Hybrid (Web+Mobile)")</f>
        <v/>
      </c>
      <c r="I5" s="5">
        <f>COUNTIFS('Broadcasts'!$A:$A,"TC-BRD-*",'Broadcasts'!$E:$E,"3 - Mobile (Maestro)")</f>
        <v/>
      </c>
    </row>
    <row r="6">
      <c r="A6" s="5" t="inlineStr">
        <is>
          <t>Conditional Alerts</t>
        </is>
      </c>
      <c r="B6" s="5">
        <f>COUNTIF('Conditional Alerts'!$A:$A,"TC-CAL-*")</f>
        <v/>
      </c>
      <c r="C6" s="5">
        <f>COUNTIFS('Conditional Alerts'!$A:$A,"TC-CAL-*",'Conditional Alerts'!$F:$F,"&lt;&gt;Manual only")</f>
        <v/>
      </c>
      <c r="D6" s="5">
        <f>COUNTIFS('Conditional Alerts'!$A:$A,"TC-CAL-*",'Conditional Alerts'!$G:$G,"Automated")</f>
        <v/>
      </c>
      <c r="E6" s="5">
        <f>COUNTIFS('Conditional Alerts'!$A:$A,"TC-CAL-*",'Conditional Alerts'!$F:$F,"&lt;&gt;Manual only")-COUNTIFS('Conditional Alerts'!$A:$A,"TC-CAL-*",'Conditional Alerts'!$G:$G,"Automated")</f>
        <v/>
      </c>
      <c r="F6" s="5">
        <f>COUNTIFS('Conditional Alerts'!$A:$A,"TC-CAL-*",'Conditional Alerts'!$F:$F,"Manual only")</f>
        <v/>
      </c>
      <c r="G6" s="5">
        <f>COUNTIFS('Conditional Alerts'!$A:$A,"TC-CAL-*",'Conditional Alerts'!$E:$E,"1 - Web (Playwright)")</f>
        <v/>
      </c>
      <c r="H6" s="5">
        <f>COUNTIFS('Conditional Alerts'!$A:$A,"TC-CAL-*",'Conditional Alerts'!$E:$E,"2 - Hybrid (Web+Mobile)")</f>
        <v/>
      </c>
      <c r="I6" s="5">
        <f>COUNTIFS('Conditional Alerts'!$A:$A,"TC-CAL-*",'Conditional Alerts'!$E:$E,"3 - Mobile (Maestro)")</f>
        <v/>
      </c>
    </row>
    <row r="7">
      <c r="A7" s="5" t="inlineStr">
        <is>
          <t>Keywords</t>
        </is>
      </c>
      <c r="B7" s="5">
        <f>COUNTIF('Keywords'!$A:$A,"TC-KWD-*")</f>
        <v/>
      </c>
      <c r="C7" s="5">
        <f>COUNTIFS('Keywords'!$A:$A,"TC-KWD-*",'Keywords'!$F:$F,"&lt;&gt;Manual only")</f>
        <v/>
      </c>
      <c r="D7" s="5">
        <f>COUNTIFS('Keywords'!$A:$A,"TC-KWD-*",'Keywords'!$G:$G,"Automated")</f>
        <v/>
      </c>
      <c r="E7" s="5">
        <f>COUNTIFS('Keywords'!$A:$A,"TC-KWD-*",'Keywords'!$F:$F,"&lt;&gt;Manual only")-COUNTIFS('Keywords'!$A:$A,"TC-KWD-*",'Keywords'!$G:$G,"Automated")</f>
        <v/>
      </c>
      <c r="F7" s="5">
        <f>COUNTIFS('Keywords'!$A:$A,"TC-KWD-*",'Keywords'!$F:$F,"Manual only")</f>
        <v/>
      </c>
      <c r="G7" s="5">
        <f>COUNTIFS('Keywords'!$A:$A,"TC-KWD-*",'Keywords'!$E:$E,"1 - Web (Playwright)")</f>
        <v/>
      </c>
      <c r="H7" s="5">
        <f>COUNTIFS('Keywords'!$A:$A,"TC-KWD-*",'Keywords'!$E:$E,"2 - Hybrid (Web+Mobile)")</f>
        <v/>
      </c>
      <c r="I7" s="5">
        <f>COUNTIFS('Keywords'!$A:$A,"TC-KWD-*",'Keywords'!$E:$E,"3 - Mobile (Maestro)")</f>
        <v/>
      </c>
    </row>
    <row r="8">
      <c r="A8" s="5" t="inlineStr">
        <is>
          <t>Subscription</t>
        </is>
      </c>
      <c r="B8" s="5">
        <f>COUNTIF('Subscription'!$A:$A,"TC-SUB-*")</f>
        <v/>
      </c>
      <c r="C8" s="5">
        <f>COUNTIFS('Subscription'!$A:$A,"TC-SUB-*",'Subscription'!$F:$F,"&lt;&gt;Manual only")</f>
        <v/>
      </c>
      <c r="D8" s="5">
        <f>COUNTIFS('Subscription'!$A:$A,"TC-SUB-*",'Subscription'!$G:$G,"Automated")</f>
        <v/>
      </c>
      <c r="E8" s="5">
        <f>COUNTIFS('Subscription'!$A:$A,"TC-SUB-*",'Subscription'!$F:$F,"&lt;&gt;Manual only")-COUNTIFS('Subscription'!$A:$A,"TC-SUB-*",'Subscription'!$G:$G,"Automated")</f>
        <v/>
      </c>
      <c r="F8" s="5">
        <f>COUNTIFS('Subscription'!$A:$A,"TC-SUB-*",'Subscription'!$F:$F,"Manual only")</f>
        <v/>
      </c>
      <c r="G8" s="5">
        <f>COUNTIFS('Subscription'!$A:$A,"TC-SUB-*",'Subscription'!$E:$E,"1 - Web (Playwright)")</f>
        <v/>
      </c>
      <c r="H8" s="5">
        <f>COUNTIFS('Subscription'!$A:$A,"TC-SUB-*",'Subscription'!$E:$E,"2 - Hybrid (Web+Mobile)")</f>
        <v/>
      </c>
      <c r="I8" s="5">
        <f>COUNTIFS('Subscription'!$A:$A,"TC-SUB-*",'Subscription'!$E:$E,"3 - Mobile (Maestro)")</f>
        <v/>
      </c>
    </row>
    <row r="9">
      <c r="A9" s="5" t="inlineStr">
        <is>
          <t>Message Delivery</t>
        </is>
      </c>
      <c r="B9" s="5">
        <f>COUNTIF('Message Delivery'!$A:$A,"TC-MSG-*")</f>
        <v/>
      </c>
      <c r="C9" s="5">
        <f>COUNTIFS('Message Delivery'!$A:$A,"TC-MSG-*",'Message Delivery'!$F:$F,"&lt;&gt;Manual only")</f>
        <v/>
      </c>
      <c r="D9" s="5">
        <f>COUNTIFS('Message Delivery'!$A:$A,"TC-MSG-*",'Message Delivery'!$G:$G,"Automated")</f>
        <v/>
      </c>
      <c r="E9" s="5">
        <f>COUNTIFS('Message Delivery'!$A:$A,"TC-MSG-*",'Message Delivery'!$F:$F,"&lt;&gt;Manual only")-COUNTIFS('Message Delivery'!$A:$A,"TC-MSG-*",'Message Delivery'!$G:$G,"Automated")</f>
        <v/>
      </c>
      <c r="F9" s="5">
        <f>COUNTIFS('Message Delivery'!$A:$A,"TC-MSG-*",'Message Delivery'!$F:$F,"Manual only")</f>
        <v/>
      </c>
      <c r="G9" s="5">
        <f>COUNTIFS('Message Delivery'!$A:$A,"TC-MSG-*",'Message Delivery'!$E:$E,"1 - Web (Playwright)")</f>
        <v/>
      </c>
      <c r="H9" s="5">
        <f>COUNTIFS('Message Delivery'!$A:$A,"TC-MSG-*",'Message Delivery'!$E:$E,"2 - Hybrid (Web+Mobile)")</f>
        <v/>
      </c>
      <c r="I9" s="5">
        <f>COUNTIFS('Message Delivery'!$A:$A,"TC-MSG-*",'Message Delivery'!$E:$E,"3 - Mobile (Maestro)")</f>
        <v/>
      </c>
    </row>
    <row r="10">
      <c r="A10" s="5" t="inlineStr">
        <is>
          <t>Regression &amp; Impact</t>
        </is>
      </c>
      <c r="B10" s="5">
        <f>COUNTIF('Regression &amp; Impact'!$A:$A,"TC-IMP-*")</f>
        <v/>
      </c>
      <c r="C10" s="5">
        <f>COUNTIFS('Regression &amp; Impact'!$A:$A,"TC-IMP-*",'Regression &amp; Impact'!$F:$F,"&lt;&gt;Manual only")</f>
        <v/>
      </c>
      <c r="D10" s="5">
        <f>COUNTIFS('Regression &amp; Impact'!$A:$A,"TC-IMP-*",'Regression &amp; Impact'!$G:$G,"Automated")</f>
        <v/>
      </c>
      <c r="E10" s="5">
        <f>COUNTIFS('Regression &amp; Impact'!$A:$A,"TC-IMP-*",'Regression &amp; Impact'!$F:$F,"&lt;&gt;Manual only")-COUNTIFS('Regression &amp; Impact'!$A:$A,"TC-IMP-*",'Regression &amp; Impact'!$G:$G,"Automated")</f>
        <v/>
      </c>
      <c r="F10" s="5">
        <f>COUNTIFS('Regression &amp; Impact'!$A:$A,"TC-IMP-*",'Regression &amp; Impact'!$F:$F,"Manual only")</f>
        <v/>
      </c>
      <c r="G10" s="5">
        <f>COUNTIFS('Regression &amp; Impact'!$A:$A,"TC-IMP-*",'Regression &amp; Impact'!$E:$E,"1 - Web (Playwright)")</f>
        <v/>
      </c>
      <c r="H10" s="5">
        <f>COUNTIFS('Regression &amp; Impact'!$A:$A,"TC-IMP-*",'Regression &amp; Impact'!$E:$E,"2 - Hybrid (Web+Mobile)")</f>
        <v/>
      </c>
      <c r="I10" s="5">
        <f>COUNTIFS('Regression &amp; Impact'!$A:$A,"TC-IMP-*",'Regression &amp; Impact'!$E:$E,"3 - Mobile (Maestro)")</f>
        <v/>
      </c>
    </row>
    <row r="11">
      <c r="A11" s="6" t="inlineStr">
        <is>
          <t>TOTAL</t>
        </is>
      </c>
      <c r="B11" s="6">
        <f>SUM(B4:B10)</f>
        <v/>
      </c>
      <c r="C11" s="6">
        <f>SUM(C4:C10)</f>
        <v/>
      </c>
      <c r="D11" s="6">
        <f>SUM(D4:D10)</f>
        <v/>
      </c>
      <c r="E11" s="6">
        <f>SUM(E4:E10)</f>
        <v/>
      </c>
      <c r="F11" s="6">
        <f>SUM(F4:F10)</f>
        <v/>
      </c>
      <c r="G11" s="6">
        <f>SUM(G4:G10)</f>
        <v/>
      </c>
      <c r="H11" s="6">
        <f>SUM(H4:H10)</f>
        <v/>
      </c>
      <c r="I11" s="6">
        <f>SUM(I4:I10)</f>
        <v/>
      </c>
    </row>
    <row r="13">
      <c r="A13" s="7" t="inlineStr">
        <is>
          <t>Counts are formulas over the area sheets - they update as cases are added or retargeted.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80" customWidth="1" min="3" max="3"/>
    <col width="14" customWidth="1" min="4" max="4"/>
    <col width="18" customWidth="1" min="5" max="5"/>
  </cols>
  <sheetData>
    <row r="1">
      <c r="A1" s="8" t="inlineStr">
        <is>
          <t>#</t>
        </is>
      </c>
      <c r="B1" s="8" t="inlineStr">
        <is>
          <t>Prerequisite</t>
        </is>
      </c>
      <c r="C1" s="8" t="inlineStr">
        <is>
          <t>Details</t>
        </is>
      </c>
      <c r="D1" s="8" t="inlineStr">
        <is>
          <t>Owner</t>
        </is>
      </c>
      <c r="E1" s="8" t="inlineStr">
        <is>
          <t>Status</t>
        </is>
      </c>
    </row>
    <row r="2">
      <c r="A2" s="9" t="n">
        <v>1</v>
      </c>
      <c r="B2" s="9" t="inlineStr">
        <is>
          <t>Messaging worker, one PersonalID number per environment</t>
        </is>
      </c>
      <c r="C2" s="9" t="inlineStr">
        <is>
          <t>mobile_workers.yaml MAESTRO_MESSAGING_HYBRID. Prod: CCC- Automationuser1 (+74267426121), the account legacy test_tc_09 already used - proven by every green device build. Staging: Message Automation User (+74264678161), created 2026-08-12. Different numbers per environment on purpose: a PersonalID number cannot hold a session on two at once.</t>
        </is>
      </c>
      <c r="D2" s="9" t="inlineStr">
        <is>
          <t>Nitin</t>
        </is>
      </c>
      <c r="E2" s="9" t="inlineStr">
        <is>
          <t>Prod DONE / staging account exists</t>
        </is>
      </c>
    </row>
    <row r="3">
      <c r="A3" s="9" t="n">
        <v>2</v>
      </c>
      <c r="B3" s="9" t="inlineStr">
        <is>
          <t>That worker enrolled on an opportunity whose apps belong to THIS HQ domain</t>
        </is>
      </c>
      <c r="C3" s="9" t="inlineStr">
        <is>
          <t>Two requirements, and the second is easy to miss. (a) A Registration Form in the deliver app, needed ONLY by the conditional-alert cases (TC-CAL-003/005), which fire on a form submission - broadcasts, keywords, consent and channel cases need nothing but a PersonalID user with a channel, which is why they were built first; learn/assessment progress lives on OpportunityAccess and cannot be inherited from another opportunity. (b) The opportunity's learn and deliver apps must come from the SAME HQ domain the messaging is driven from: 'Request Messaging Consent' enumerates users linked to the domain through those apps, so a worker on an opportunity pointing elsewhere is never a Connect messaging user here - the action reports 'No channels created' and no channel can ever be made for them. Diagnosed on staging 2026-08-12.</t>
        </is>
      </c>
      <c r="D3" s="9" t="inlineStr">
        <is>
          <t>Nitin</t>
        </is>
      </c>
      <c r="E3" s="9" t="inlineStr">
        <is>
          <t>OPEN for staging</t>
        </is>
      </c>
    </row>
    <row r="4">
      <c r="A4" s="9" t="n">
        <v>3</v>
      </c>
      <c r="B4" s="9" t="inlineStr">
        <is>
          <t>A worker subscribed to no channels</t>
        </is>
      </c>
      <c r="C4" s="9" t="inlineStr">
        <is>
          <t>For the empty-state case (TC-CHN-003). MAESTRO_MESSAGING_EMPTY_STATE currently points at the login account on the assumption it has never been added to a channel. Unverified - the first device run settles it, and if the assumption holds no new account is needed.</t>
        </is>
      </c>
      <c r="D4" s="9" t="inlineStr">
        <is>
          <t>Automation</t>
        </is>
      </c>
      <c r="E4" s="9" t="inlineStr">
        <is>
          <t>To verify on first run</t>
        </is>
      </c>
    </row>
    <row r="5">
      <c r="A5" s="9" t="n">
        <v>4</v>
      </c>
      <c r="B5" s="9" t="inlineStr">
        <is>
          <t>HQ automation account with Messaging permissions</t>
        </is>
      </c>
      <c r="C5" s="9" t="inlineStr">
        <is>
          <t>Reaches Broadcasts, Conditional Alerts, Keywords and CONNECT MESSSAGING &gt; User Consent. The existing [creds] in settings.cfg work - confirmed by every green web test on connectqa-automation-prod.</t>
        </is>
      </c>
      <c r="D5" s="9" t="inlineStr">
        <is>
          <t>-</t>
        </is>
      </c>
      <c r="E5" s="9" t="inlineStr">
        <is>
          <t>DONE (prod)</t>
        </is>
      </c>
    </row>
    <row r="6">
      <c r="A6" s="9" t="n">
        <v>5</v>
      </c>
      <c r="B6" s="9" t="inlineStr">
        <is>
          <t>A survey form registered for Connect Survey content</t>
        </is>
      </c>
      <c r="C6" s="9" t="inlineStr">
        <is>
          <t>Prod: 'Delivery App - ETE &gt; Surveys &gt; Survey'. Staging: 'SMS Tests [DO NOT DELETE] &gt; Surveys &gt; Survey'. Both carried over from the legacy page object, which hardcoded them per environment; now MESSAGING.survey_form / survey_form_staging. Confirmed present in the keyword form dropdown too, so alerts, broadcasts and keywords share one value.</t>
        </is>
      </c>
      <c r="D6" s="9" t="inlineStr">
        <is>
          <t>-</t>
        </is>
      </c>
      <c r="E6" s="9" t="inlineStr">
        <is>
          <t>DONE</t>
        </is>
      </c>
    </row>
    <row r="7">
      <c r="A7" s="9" t="n">
        <v>6</v>
      </c>
      <c r="B7" s="9" t="inlineStr">
        <is>
          <t>Keywords offer the Connect content types</t>
        </is>
      </c>
      <c r="C7" s="9" t="inlineStr">
        <is>
          <t>Verified on prod: both id_sender_content_type and id_other_recipient_content_type offer ['SMS', 'No Response', 'SMS Survey', 'Connect Survey', 'Connect Message']. Keywords are served from /reminders/keywords/, not /messaging/, and are reachable only from the left sidebar.</t>
        </is>
      </c>
      <c r="D7" s="9" t="inlineStr">
        <is>
          <t>-</t>
        </is>
      </c>
      <c r="E7" s="9" t="inlineStr">
        <is>
          <t>DONE</t>
        </is>
      </c>
    </row>
    <row r="8">
      <c r="A8" s="9" t="n">
        <v>7</v>
      </c>
      <c r="B8" s="9" t="inlineStr">
        <is>
          <t>mobile_workers.yaml entries and WORKER_BY_FLOW mapping</t>
        </is>
      </c>
      <c r="C8" s="9" t="inlineStr">
        <is>
          <t>MAESTRO_MESSAGING_HYBRID and MAESTRO_MESSAGING_EMPTY_STATE added with the _staging suffix convention; every messaging flow registered in run_on_browserstack.WORKER_BY_FLOW so each resolves its own per-environment identity.</t>
        </is>
      </c>
      <c r="D8" s="9" t="inlineStr">
        <is>
          <t>Automation</t>
        </is>
      </c>
      <c r="E8" s="9" t="inlineStr">
        <is>
          <t>DONE</t>
        </is>
      </c>
    </row>
    <row r="9">
      <c r="A9" s="9" t="n">
        <v>8</v>
      </c>
      <c r="B9" s="9" t="inlineStr">
        <is>
          <t>BrowserStack credentials and APKs</t>
        </is>
      </c>
      <c r="C9" s="9" t="inlineStr">
        <is>
          <t>BROWSERSTACK_* env vars / settings.cfg, and APK_BY_ENV maps stage -&gt; app-cccStaging-release.apk, prod -&gt; app-commcare-release.apk (both 2.63.4, both package org.commcare.dalvik, so they cannot coexist on a device). NOTE: a fresh worktree needs settings.cfg copied in by hand - it is gitignored.</t>
        </is>
      </c>
      <c r="D9" s="9" t="inlineStr">
        <is>
          <t>-</t>
        </is>
      </c>
      <c r="E9" s="9" t="inlineStr">
        <is>
          <t>DONE</t>
        </is>
      </c>
    </row>
    <row r="10">
      <c r="A10" s="9" t="n">
        <v>9</v>
      </c>
      <c r="B10" s="9" t="inlineStr">
        <is>
          <t>The tasking hybrid machinery</t>
        </is>
      </c>
      <c r="C10" s="9" t="inlineStr">
        <is>
          <t>run_flows(app_env=...), flows/mobile_runner.py, env_by_flow and per-env APK selection. Merged to main in PR #23 on 2026-08-12; this branch is rebased onto it.</t>
        </is>
      </c>
      <c r="D10" s="9" t="inlineStr">
        <is>
          <t>-</t>
        </is>
      </c>
      <c r="E10" s="9" t="inlineStr">
        <is>
          <t>DONE</t>
        </is>
      </c>
    </row>
    <row r="11">
      <c r="A11" s="9" t="n">
        <v>10</v>
      </c>
      <c r="B11" s="9" t="inlineStr">
        <is>
          <t>Channel encryption key present on the device</t>
        </is>
      </c>
      <c r="C11" s="9" t="inlineStr">
        <is>
          <t>The silent-failure trap: without the per-channel key, sends no-op and inbound messages are dropped with nothing shown. Proven working rather than asserted separately - every green build decrypts and renders real message bodies, and the survey does it repeatedly across a multi-turn conversation.</t>
        </is>
      </c>
      <c r="D11" s="9" t="inlineStr">
        <is>
          <t>-</t>
        </is>
      </c>
      <c r="E11" s="9" t="inlineStr">
        <is>
          <t>DONE (proven by passing builds)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52" customWidth="1" min="3" max="3"/>
    <col width="52" customWidth="1" min="4" max="4"/>
    <col width="24" customWidth="1" min="5" max="5"/>
    <col width="30" customWidth="1" min="6" max="6"/>
    <col width="12" customWidth="1" min="7" max="7"/>
    <col width="54" customWidth="1" min="8" max="8"/>
  </cols>
  <sheetData>
    <row r="1" ht="26" customHeight="1">
      <c r="A1" s="8" t="inlineStr">
        <is>
          <t>Test Case No</t>
        </is>
      </c>
      <c r="B1" s="8" t="inlineStr">
        <is>
          <t>Description</t>
        </is>
      </c>
      <c r="C1" s="8" t="inlineStr">
        <is>
          <t>Steps to Test</t>
        </is>
      </c>
      <c r="D1" s="8" t="inlineStr">
        <is>
          <t>Expected Outcome</t>
        </is>
      </c>
      <c r="E1" s="8" t="inlineStr">
        <is>
          <t>Phase</t>
        </is>
      </c>
      <c r="F1" s="8" t="inlineStr">
        <is>
          <t>Automation Target</t>
        </is>
      </c>
      <c r="G1" s="8" t="inlineStr">
        <is>
          <t>Status</t>
        </is>
      </c>
      <c r="H1" s="8" t="inlineStr">
        <is>
          <t>Comments / Notes</t>
        </is>
      </c>
    </row>
    <row r="2">
      <c r="A2" s="10" t="inlineStr">
        <is>
          <t>Channel creation and list rendering</t>
        </is>
      </c>
      <c r="B2" s="10" t="inlineStr"/>
      <c r="C2" s="10" t="inlineStr"/>
      <c r="D2" s="10" t="inlineStr"/>
      <c r="E2" s="10" t="inlineStr"/>
      <c r="F2" s="10" t="inlineStr"/>
      <c r="G2" s="10" t="inlineStr"/>
      <c r="H2" s="10" t="inlineStr"/>
    </row>
    <row r="3">
      <c r="A3" s="9" t="inlineStr">
        <is>
          <t>TC-CHN-001a</t>
        </is>
      </c>
      <c r="B3" s="9" t="inlineStr">
        <is>
          <t>First-time consent request creates a channel</t>
        </is>
      </c>
      <c r="C3" s="9" t="inlineStr">
        <is>
          <t>1. Log in to CC HQ
2. Messaging &gt; View All (sidebar: CONNECT MESSSAGING &gt; User Consent)
3. Select the user
4. Click 'Request messaging consent'</t>
        </is>
      </c>
      <c r="D3" s="9" t="inlineStr">
        <is>
          <t>HTTP 201 from ConnectID, a 'New Channel' push fires, and the channel appears on both HQ and the device.</t>
        </is>
      </c>
      <c r="E3" s="9" t="inlineStr">
        <is>
          <t>Manual / one-off</t>
        </is>
      </c>
      <c r="F3" s="9" t="inlineStr">
        <is>
          <t>Manual only</t>
        </is>
      </c>
      <c r="G3" s="9" t="inlineStr"/>
      <c r="H3" s="9" t="inlineStr">
        <is>
          <t>Manual case 'Connect channel 1'. WHY IT IS NOT RUN EVERY TIME (as of 2026-08-12): ConnectID's CreateChannelView is get_or_create on (server, connect_user, channel_source), and channel_source is the HQ domain, which we do not vary. So the FIRST consent request for a worker creates the channel and fires the one-shot 'New Channel' push; every later request returns the existing channel, creates nothing and sends no push. Reusing one worker therefore means this case can pass exactly once and would be permanently red afterwards, which is worse than not having it. It is written to SKIP with a reason once the worker has a channel, and TC-CHN-001b covers the repeat behaviour on every run. HOW IT BECOMES A PER-RUN TEST: automate learn + assessment on the device, and each run can onboard a brand new worker - PersonalID signup is already automated (login_signup_success.yaml creates accounts in the +7426 range) and invitation is automated (ConnectWorkersPage.invite_workers), so a fresh worker gives a fresh channel and a fresh push and this case runs green every time. Learn/assessment is the only missing link; legacy Appium had it in pages/mobile_pages/learn_app_page.py to port, and porting it would also remove the same manual prerequisite from the tasking suite.</t>
        </is>
      </c>
    </row>
    <row r="4">
      <c r="A4" s="9" t="inlineStr">
        <is>
          <t>TC-CHN-001b</t>
        </is>
      </c>
      <c r="B4" s="9" t="inlineStr">
        <is>
          <t>Repeating the consent request does not duplicate the channel</t>
        </is>
      </c>
      <c r="C4" s="9" t="inlineStr">
        <is>
          <t>1. With a channel already present, request consent again for the same user</t>
        </is>
      </c>
      <c r="D4" s="9" t="inlineStr">
        <is>
          <t>HTTP 200 rather than 201, the same channel_id is returned, no second channel appears and no push is sent.</t>
        </is>
      </c>
      <c r="E4" s="9" t="inlineStr">
        <is>
          <t>1 - Web (Playwright)</t>
        </is>
      </c>
      <c r="F4" s="9" t="inlineStr">
        <is>
          <t>W3 test_messaging_channel_creation</t>
        </is>
      </c>
      <c r="G4" s="9" t="inlineStr"/>
      <c r="H4" s="9" t="inlineStr">
        <is>
          <t>The repeatable half of 'Connect channel 1', and the more valuable regression guard day to day: it is what stops a duplicate channel appearing every time consent is re-requested. Runs on every run regardless of worker state, which is exactly what TC-CHN-001a cannot do until learn and assessment are automated - see its note.</t>
        </is>
      </c>
    </row>
    <row r="5">
      <c r="A5" s="9" t="inlineStr">
        <is>
          <t>TC-CHN-002</t>
        </is>
      </c>
      <c r="B5" s="9" t="inlineStr">
        <is>
          <t>The consented channel appears in the mobile channel list</t>
        </is>
      </c>
      <c r="C5" s="9" t="inlineStr">
        <is>
          <t>1. WEB: request consent as in TC-CHN-001
2. MOBILE: sign in with PersonalID
3. Open the nav drawer &gt; Messaging</t>
        </is>
      </c>
      <c r="D5" s="9" t="inlineStr">
        <is>
          <t>The new channel is listed in 'Channels' with its name (the HQ domain, e.g. connectqa-automation).</t>
        </is>
      </c>
      <c r="E5" s="9" t="inlineStr">
        <is>
          <t>2 - Hybrid (Web+Mobile)</t>
        </is>
      </c>
      <c r="F5" s="9" t="inlineStr">
        <is>
          <t>messaging_broadcast.yaml (asserted before opening the channel)</t>
        </is>
      </c>
      <c r="G5" s="9" t="inlineStr">
        <is>
          <t>Automated</t>
        </is>
      </c>
      <c r="H5" s="9" t="inlineStr">
        <is>
          <t>Channel name comes from the channel_source JSON key (META_CHANNEL_NAME), which is the HQ domain - hence connectqa-automation on stage vs connectqa-automation-prod on prod.</t>
        </is>
      </c>
    </row>
    <row r="6">
      <c r="A6" s="9" t="inlineStr">
        <is>
          <t>TC-CHN-003</t>
        </is>
      </c>
      <c r="B6" s="9" t="inlineStr">
        <is>
          <t>Channel list empty state</t>
        </is>
      </c>
      <c r="C6" s="9" t="inlineStr">
        <is>
          <t>1. Sign in as a worker subscribed to no channels
2. Nav drawer &gt; Messaging</t>
        </is>
      </c>
      <c r="D6" s="9" t="inlineStr">
        <is>
          <t>tv_no_channel_msg reads "You're not subscribed to any messaging channels. Once you have been added to a channel, it will appear in this list"; no channel rows; no unread badge on the drawer entry.</t>
        </is>
      </c>
      <c r="E6" s="9" t="inlineStr">
        <is>
          <t>3 - Mobile (Maestro)</t>
        </is>
      </c>
      <c r="F6" s="9" t="inlineStr">
        <is>
          <t>M3 messaging_empty_state.yaml</t>
        </is>
      </c>
      <c r="G6" s="9" t="inlineStr"/>
      <c r="H6" s="9" t="inlineStr">
        <is>
          <t>Legacy verify_channel_list() accepts empty OR populated, so it pins neither state. The flow is written and passed once (staging, build e008c256) but is NOT currently reproducible: it needs an account that has never been in ANY channel on ANY domain, and no such account is reserved. Message Automation User qualified until it gained a channel; Deb Test 8/12 already carries channels from other domains (connetqa-prod, connectqa). This is a fragile resource by nature - any bulk consent request on a domain a worker belongs to populates it. Needs a dedicated never-enrolled PersonalID number, or the flow changed to sign UP a fresh account per run, which by definition has no channels.</t>
        </is>
      </c>
    </row>
    <row r="7">
      <c r="A7" s="9" t="inlineStr">
        <is>
          <t>TC-CHN-004</t>
        </is>
      </c>
      <c r="B7" s="9" t="inlineStr">
        <is>
          <t>Channel row renders its metadata</t>
        </is>
      </c>
      <c r="C7" s="9" t="inlineStr">
        <is>
          <t>1. Open Messaging with at least one channel present</t>
        </is>
      </c>
      <c r="D7" s="9" t="inlineStr">
        <is>
          <t>The row shows tvChannelName, tvChannelDescription (last-message preview) and tvLastChatTime.</t>
        </is>
      </c>
      <c r="E7" s="9" t="inlineStr">
        <is>
          <t>3 - Mobile (Maestro)</t>
        </is>
      </c>
      <c r="F7" s="9" t="inlineStr">
        <is>
          <t>M1 messaging_channel_list.yaml</t>
        </is>
      </c>
      <c r="G7" s="9" t="inlineStr"/>
      <c r="H7" s="9" t="inlineStr">
        <is>
          <t>item_channel.xml. The tappable target is itemRootLayout, not tvChannelName - tapping the name alone does nothing.</t>
        </is>
      </c>
    </row>
    <row r="8">
      <c r="A8" s="9" t="inlineStr">
        <is>
          <t>TC-CHN-005</t>
        </is>
      </c>
      <c r="B8" s="9" t="inlineStr">
        <is>
          <t>Channel encryption key is present before any assertion</t>
        </is>
      </c>
      <c r="C8" s="9" t="inlineStr">
        <is>
          <t>1. Open the channel
2. Type into etMessage
3. Assert imgSendMessage becomes visible</t>
        </is>
      </c>
      <c r="D8" s="9" t="inlineStr">
        <is>
          <t>The send control appears, proving the channel key synced (the button is gated on consent AND non-empty input; MessageManager.sendMessage no-ops without a key).</t>
        </is>
      </c>
      <c r="E8" s="9" t="inlineStr">
        <is>
          <t>3 - Mobile (Maestro)</t>
        </is>
      </c>
      <c r="F8" s="9" t="inlineStr">
        <is>
          <t>Shared precondition step (all flows)</t>
        </is>
      </c>
      <c r="G8" s="9" t="inlineStr"/>
      <c r="H8" s="9" t="inlineStr">
        <is>
          <t>Not a user-facing case - a guard. Without it, a key-sync failure and a genuine delivery failure look identical, and we would chase a phantom product bug. MessagingChannelsKeySyncWorker backfills keys for consented keyless channels.</t>
        </is>
      </c>
    </row>
    <row r="9">
      <c r="A9" s="9" t="inlineStr">
        <is>
          <t>TC-CHN-006</t>
        </is>
      </c>
      <c r="B9" s="9" t="inlineStr">
        <is>
          <t>Subscribed channels sort before unsubscribed ones</t>
        </is>
      </c>
      <c r="C9" s="9" t="inlineStr">
        <is>
          <t>1. Have one subscribed and one unsubscribed channel
2. Open Messaging</t>
        </is>
      </c>
      <c r="D9" s="9" t="inlineStr">
        <is>
          <t>Subscribed channels listed first, unsubscribed appended below.</t>
        </is>
      </c>
      <c r="E9" s="9" t="inlineStr">
        <is>
          <t>3 - Mobile (Maestro)</t>
        </is>
      </c>
      <c r="F9" s="9" t="inlineStr">
        <is>
          <t>M2 messaging_subscription.yaml</t>
        </is>
      </c>
      <c r="G9" s="9" t="inlineStr"/>
      <c r="H9" s="9" t="inlineStr">
        <is>
          <t>ChannelAdapter.setChannels. Cheap to assert once TC-SUB-001 has produced an unsubscribed channel in the same session.</t>
        </is>
      </c>
    </row>
    <row r="10">
      <c r="A10" s="9" t="inlineStr">
        <is>
          <t>TC-CHN-007</t>
        </is>
      </c>
      <c r="B10" s="9" t="inlineStr">
        <is>
          <t>Opening a channel sets the screen title to the channel name</t>
        </is>
      </c>
      <c r="C10" s="9" t="inlineStr">
        <is>
          <t>1. Tap a channel row</t>
        </is>
      </c>
      <c r="D10" s="9" t="inlineStr">
        <is>
          <t>The chat screen opens with the channel name as the activity title, and etMessage present.</t>
        </is>
      </c>
      <c r="E10" s="9" t="inlineStr">
        <is>
          <t>3 - Mobile (Maestro)</t>
        </is>
      </c>
      <c r="F10" s="9" t="inlineStr">
        <is>
          <t>M1 messaging_channel_list.yaml</t>
        </is>
      </c>
      <c r="G10" s="9" t="inlineStr"/>
      <c r="H10" s="9" t="inlineStr">
        <is>
          <t>Legacy open_channel_on_message() asserts only that MESSAGE_INPUT is displayed.</t>
        </is>
      </c>
    </row>
  </sheetData>
  <autoFilter ref="A1:H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52" customWidth="1" min="3" max="3"/>
    <col width="52" customWidth="1" min="4" max="4"/>
    <col width="24" customWidth="1" min="5" max="5"/>
    <col width="30" customWidth="1" min="6" max="6"/>
    <col width="12" customWidth="1" min="7" max="7"/>
    <col width="54" customWidth="1" min="8" max="8"/>
  </cols>
  <sheetData>
    <row r="1" ht="26" customHeight="1">
      <c r="A1" s="8" t="inlineStr">
        <is>
          <t>Test Case No</t>
        </is>
      </c>
      <c r="B1" s="8" t="inlineStr">
        <is>
          <t>Description</t>
        </is>
      </c>
      <c r="C1" s="8" t="inlineStr">
        <is>
          <t>Steps to Test</t>
        </is>
      </c>
      <c r="D1" s="8" t="inlineStr">
        <is>
          <t>Expected Outcome</t>
        </is>
      </c>
      <c r="E1" s="8" t="inlineStr">
        <is>
          <t>Phase</t>
        </is>
      </c>
      <c r="F1" s="8" t="inlineStr">
        <is>
          <t>Automation Target</t>
        </is>
      </c>
      <c r="G1" s="8" t="inlineStr">
        <is>
          <t>Status</t>
        </is>
      </c>
      <c r="H1" s="8" t="inlineStr">
        <is>
          <t>Comments / Notes</t>
        </is>
      </c>
    </row>
    <row r="2">
      <c r="A2" s="10" t="inlineStr">
        <is>
          <t>Broadcasts (Messaging &gt; Broadcasts)</t>
        </is>
      </c>
      <c r="B2" s="10" t="inlineStr"/>
      <c r="C2" s="10" t="inlineStr"/>
      <c r="D2" s="10" t="inlineStr"/>
      <c r="E2" s="10" t="inlineStr"/>
      <c r="F2" s="10" t="inlineStr"/>
      <c r="G2" s="10" t="inlineStr"/>
      <c r="H2" s="10" t="inlineStr"/>
    </row>
    <row r="3">
      <c r="A3" s="9" t="inlineStr">
        <is>
          <t>TC-BRD-001</t>
        </is>
      </c>
      <c r="B3" s="9" t="inlineStr">
        <is>
          <t>'What to Send' offers the two Connect options</t>
        </is>
      </c>
      <c r="C3" s="9" t="inlineStr">
        <is>
          <t>1. Messaging &gt; Broadcasts
2. Click '+ Add Broadcast'
3. Open the 'What to Send' dropdown</t>
        </is>
      </c>
      <c r="D3" s="9" t="inlineStr">
        <is>
          <t>Both 'Connect Message' and 'Connect Survey' are offered.</t>
        </is>
      </c>
      <c r="E3" s="9" t="inlineStr">
        <is>
          <t>1 - Web (Playwright)</t>
        </is>
      </c>
      <c r="F3" s="9" t="inlineStr">
        <is>
          <t>test_messaging_web::test_broadcast_offers_connect_content_types</t>
        </is>
      </c>
      <c r="G3" s="9" t="inlineStr">
        <is>
          <t>Automated</t>
        </is>
      </c>
      <c r="H3" s="9" t="inlineStr">
        <is>
          <t>Legacy Messaging_4 in test_tc_10. Pure web - migrates unchanged.</t>
        </is>
      </c>
    </row>
    <row r="4">
      <c r="A4" s="9" t="inlineStr">
        <is>
          <t>TC-BRD-002</t>
        </is>
      </c>
      <c r="B4" s="9" t="inlineStr">
        <is>
          <t>Broadcast with Connect Message is received in the channel</t>
        </is>
      </c>
      <c r="C4" s="9" t="inlineStr">
        <is>
          <t>1. WEB: create a broadcast, content type 'Connect Message', recipient = the test worker
2. MOBILE: open Messaging &gt; the channel
3. Assert the broadcast body appears as an incoming message</t>
        </is>
      </c>
      <c r="D4" s="9" t="inlineStr">
        <is>
          <t>The exact broadcast text renders in an incoming bubble (tvChatMessage) with a timestamp (tvChatDate).</t>
        </is>
      </c>
      <c r="E4" s="9" t="inlineStr">
        <is>
          <t>2 - Hybrid (Web+Mobile)</t>
        </is>
      </c>
      <c r="F4" s="9" t="inlineStr">
        <is>
          <t>test_messaging_hybrid::test_broadcast_connect_message_reaches_the_channel + messaging_broadcast.yaml</t>
        </is>
      </c>
      <c r="G4" s="9" t="inlineStr">
        <is>
          <t>Automated</t>
        </is>
      </c>
      <c r="H4" s="9" t="inlineStr">
        <is>
          <t>Manual 'Connect message1'; legacy Messaging_5. Migrates as-is. Legacy asserts the message text it generated, which is the stronger form and should be kept.</t>
        </is>
      </c>
    </row>
    <row r="5">
      <c r="A5" s="9" t="inlineStr">
        <is>
          <t>TC-BRD-003</t>
        </is>
      </c>
      <c r="B5" s="9" t="inlineStr">
        <is>
          <t>Broadcast with Connect Survey is received and answerable</t>
        </is>
      </c>
      <c r="C5" s="9" t="inlineStr">
        <is>
          <t>1. WEB: create a broadcast, content type 'Connect Survey'
2. MOBILE: the first question arrives as a message
3. Answer it in etMessage and send
4. Repeat until the form completes</t>
        </is>
      </c>
      <c r="D5" s="9" t="inlineStr">
        <is>
          <t>Each answer produces the next question; the conversation terminates when the form is complete.</t>
        </is>
      </c>
      <c r="E5" s="9" t="inlineStr">
        <is>
          <t>2 - Hybrid (Web+Mobile)</t>
        </is>
      </c>
      <c r="F5" s="9" t="inlineStr">
        <is>
          <t>test_messaging_hybrid::test_broadcast_connect_survey_is_answerable + messaging_survey.yaml</t>
        </is>
      </c>
      <c r="G5" s="9" t="inlineStr">
        <is>
          <t>Automated</t>
        </is>
      </c>
      <c r="H5" s="9" t="inlineStr">
        <is>
          <t>Manual 'Connect message2'; legacy Messaging_6, but legacy hardcodes exactly two questions ('Name' -&gt; 'test user', 'ID' -&gt; '101') and stops there. Replace with a question loop driven by the form definition.</t>
        </is>
      </c>
    </row>
    <row r="6">
      <c r="A6" s="9" t="inlineStr">
        <is>
          <t>TC-BRD-004</t>
        </is>
      </c>
      <c r="B6" s="9" t="inlineStr">
        <is>
          <t>The completed survey submission is visible on HQ</t>
        </is>
      </c>
      <c r="C6" s="9" t="inlineStr">
        <is>
          <t>1. After TC-BRD-003 completes
2. WEB: open the form's submission history on HQ</t>
        </is>
      </c>
      <c r="D6" s="9" t="inlineStr">
        <is>
          <t>A submission exists for the test worker, carrying the answers just given.</t>
        </is>
      </c>
      <c r="E6" s="9" t="inlineStr">
        <is>
          <t>1 - Web (Playwright)</t>
        </is>
      </c>
      <c r="F6" s="9" t="inlineStr">
        <is>
          <t>W2 test_messaging_broadcasts</t>
        </is>
      </c>
      <c r="G6" s="9" t="inlineStr"/>
      <c r="H6" s="9" t="inlineStr">
        <is>
          <t>GAP vs legacy. The manual outcome requires 'Form should get submit and able to verify it on the submit history'; legacy never checks HQ received anything, so a survey that renders but never submits would pass today.</t>
        </is>
      </c>
    </row>
  </sheetData>
  <autoFilter ref="A1:H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52" customWidth="1" min="3" max="3"/>
    <col width="52" customWidth="1" min="4" max="4"/>
    <col width="24" customWidth="1" min="5" max="5"/>
    <col width="30" customWidth="1" min="6" max="6"/>
    <col width="12" customWidth="1" min="7" max="7"/>
    <col width="54" customWidth="1" min="8" max="8"/>
  </cols>
  <sheetData>
    <row r="1" ht="26" customHeight="1">
      <c r="A1" s="8" t="inlineStr">
        <is>
          <t>Test Case No</t>
        </is>
      </c>
      <c r="B1" s="8" t="inlineStr">
        <is>
          <t>Description</t>
        </is>
      </c>
      <c r="C1" s="8" t="inlineStr">
        <is>
          <t>Steps to Test</t>
        </is>
      </c>
      <c r="D1" s="8" t="inlineStr">
        <is>
          <t>Expected Outcome</t>
        </is>
      </c>
      <c r="E1" s="8" t="inlineStr">
        <is>
          <t>Phase</t>
        </is>
      </c>
      <c r="F1" s="8" t="inlineStr">
        <is>
          <t>Automation Target</t>
        </is>
      </c>
      <c r="G1" s="8" t="inlineStr">
        <is>
          <t>Status</t>
        </is>
      </c>
      <c r="H1" s="8" t="inlineStr">
        <is>
          <t>Comments / Notes</t>
        </is>
      </c>
    </row>
    <row r="2">
      <c r="A2" s="10" t="inlineStr">
        <is>
          <t>Conditional Alerts (Messaging &gt; Conditional Alerts)</t>
        </is>
      </c>
      <c r="B2" s="10" t="inlineStr"/>
      <c r="C2" s="10" t="inlineStr"/>
      <c r="D2" s="10" t="inlineStr"/>
      <c r="E2" s="10" t="inlineStr"/>
      <c r="F2" s="10" t="inlineStr"/>
      <c r="G2" s="10" t="inlineStr"/>
      <c r="H2" s="10" t="inlineStr"/>
    </row>
    <row r="3">
      <c r="A3" s="9" t="inlineStr">
        <is>
          <t>TC-CAL-001</t>
        </is>
      </c>
      <c r="B3" s="9" t="inlineStr">
        <is>
          <t>'What to Send' offers the two Connect options</t>
        </is>
      </c>
      <c r="C3" s="9" t="inlineStr">
        <is>
          <t>1. Messaging &gt; Conditional Alerts
2. Open the 'What to Send' dropdown</t>
        </is>
      </c>
      <c r="D3" s="9" t="inlineStr">
        <is>
          <t>Both 'Connect Message' and 'Connect Survey' are offered.</t>
        </is>
      </c>
      <c r="E3" s="9" t="inlineStr">
        <is>
          <t>1 - Web (Playwright)</t>
        </is>
      </c>
      <c r="F3" s="9" t="inlineStr">
        <is>
          <t>test_messaging_web::test_conditional_alert_offers_connect_content_types</t>
        </is>
      </c>
      <c r="G3" s="9" t="inlineStr">
        <is>
          <t>Automated</t>
        </is>
      </c>
      <c r="H3" s="9" t="inlineStr">
        <is>
          <t>Legacy Messaging_1 in test_tc_09. Pure web - migrates unchanged.</t>
        </is>
      </c>
    </row>
    <row r="4">
      <c r="A4" s="9" t="inlineStr">
        <is>
          <t>TC-CAL-002</t>
        </is>
      </c>
      <c r="B4" s="9" t="inlineStr">
        <is>
          <t>Create a conditional alert with Connect Message</t>
        </is>
      </c>
      <c r="C4" s="9" t="inlineStr">
        <is>
          <t>1. Create an alert, content type 'Connect Message'
2. Recipient = the test worker
3. Condition keyed on a unique entity id for this run</t>
        </is>
      </c>
      <c r="D4" s="9" t="inlineStr">
        <is>
          <t>Alert saves and is listed.</t>
        </is>
      </c>
      <c r="E4" s="9" t="inlineStr">
        <is>
          <t>1 - Web (Playwright)</t>
        </is>
      </c>
      <c r="F4" s="9" t="inlineStr">
        <is>
          <t>test_messaging_web::test_create_connect_message_conditional_alert</t>
        </is>
      </c>
      <c r="G4" s="9" t="inlineStr">
        <is>
          <t>Automated</t>
        </is>
      </c>
      <c r="H4" s="9" t="inlineStr">
        <is>
          <t>Legacy Messaging_2. Legacy deletes any same-named alert first ('Automation Message Alert') - keep that, alerts accumulate.</t>
        </is>
      </c>
    </row>
    <row r="5">
      <c r="A5" s="9" t="inlineStr">
        <is>
          <t>TC-CAL-003</t>
        </is>
      </c>
      <c r="B5" s="9" t="inlineStr">
        <is>
          <t>The alert fires on a matching form submission</t>
        </is>
      </c>
      <c r="C5" s="9" t="inlineStr">
        <is>
          <t>1. MOBILE: open the deliver app for the opportunity
2. Submit the Registration Form with the run's unique entity id
3. Open Messaging &gt; the channel</t>
        </is>
      </c>
      <c r="D5" s="9" t="inlineStr">
        <is>
          <t>The alert's message arrives in the channel.</t>
        </is>
      </c>
      <c r="E5" s="9" t="inlineStr">
        <is>
          <t>2 - Hybrid (Web+Mobile)</t>
        </is>
      </c>
      <c r="F5" s="9" t="inlineStr">
        <is>
          <t>W1 test_messaging_conditional_alerts</t>
        </is>
      </c>
      <c r="G5" s="9" t="inlineStr"/>
      <c r="H5" s="9" t="inlineStr">
        <is>
          <t>Manual 'Connect message3'; legacy Messaging_2's mobile half. The entity id is the join between the HQ condition and the mobile submission - it must be unique per run.</t>
        </is>
      </c>
    </row>
    <row r="6">
      <c r="A6" s="9" t="inlineStr">
        <is>
          <t>TC-CAL-004</t>
        </is>
      </c>
      <c r="B6" s="9" t="inlineStr">
        <is>
          <t>Create a conditional alert with Connect Survey</t>
        </is>
      </c>
      <c r="C6" s="9" t="inlineStr">
        <is>
          <t>1. Create a second alert, content type 'Connect Survey', same condition</t>
        </is>
      </c>
      <c r="D6" s="9" t="inlineStr">
        <is>
          <t>Alert saves and is listed.</t>
        </is>
      </c>
      <c r="E6" s="9" t="inlineStr">
        <is>
          <t>1 - Web (Playwright)</t>
        </is>
      </c>
      <c r="F6" s="9" t="inlineStr">
        <is>
          <t>test_messaging_web::test_create_connect_survey_conditional_alert</t>
        </is>
      </c>
      <c r="G6" s="9" t="inlineStr">
        <is>
          <t>Automated</t>
        </is>
      </c>
      <c r="H6" s="9" t="inlineStr">
        <is>
          <t>Legacy Messaging_3 ('Automation Survey Alert').</t>
        </is>
      </c>
    </row>
    <row r="7">
      <c r="A7" s="9" t="inlineStr">
        <is>
          <t>TC-CAL-005</t>
        </is>
      </c>
      <c r="B7" s="9" t="inlineStr">
        <is>
          <t>The survey is delivered on trigger and is answerable</t>
        </is>
      </c>
      <c r="C7" s="9" t="inlineStr">
        <is>
          <t>1. After the same form submission
2. Answer each question in the channel until the form completes</t>
        </is>
      </c>
      <c r="D7" s="9" t="inlineStr">
        <is>
          <t>Questions arrive in sequence and each answer advances the form.</t>
        </is>
      </c>
      <c r="E7" s="9" t="inlineStr">
        <is>
          <t>2 - Hybrid (Web+Mobile)</t>
        </is>
      </c>
      <c r="F7" s="9" t="inlineStr">
        <is>
          <t>W1 test_messaging_conditional_alerts</t>
        </is>
      </c>
      <c r="G7" s="9" t="inlineStr"/>
      <c r="H7" s="9" t="inlineStr">
        <is>
          <t>Manual 'Connect message4'; legacy Messaging_3. Same hardcoded-questions gap as TC-BRD-003.</t>
        </is>
      </c>
    </row>
    <row r="8">
      <c r="A8" s="9" t="inlineStr">
        <is>
          <t>TC-CAL-006</t>
        </is>
      </c>
      <c r="B8" s="9" t="inlineStr">
        <is>
          <t>The completed survey submission is visible on HQ</t>
        </is>
      </c>
      <c r="C8" s="9" t="inlineStr">
        <is>
          <t>1. WEB: open the form's submission history after TC-CAL-005</t>
        </is>
      </c>
      <c r="D8" s="9" t="inlineStr">
        <is>
          <t>A submission exists for the test worker with the given answers.</t>
        </is>
      </c>
      <c r="E8" s="9" t="inlineStr">
        <is>
          <t>1 - Web (Playwright)</t>
        </is>
      </c>
      <c r="F8" s="9" t="inlineStr">
        <is>
          <t>W1 test_messaging_conditional_alerts</t>
        </is>
      </c>
      <c r="G8" s="9" t="inlineStr"/>
      <c r="H8" s="9" t="inlineStr">
        <is>
          <t>GAP vs legacy - same as TC-BRD-004.</t>
        </is>
      </c>
    </row>
    <row r="9">
      <c r="A9" s="9" t="inlineStr">
        <is>
          <t>TC-CAL-007</t>
        </is>
      </c>
      <c r="B9" s="9" t="inlineStr">
        <is>
          <t>An alert does not fire when the condition is not met</t>
        </is>
      </c>
      <c r="C9" s="9" t="inlineStr">
        <is>
          <t>1. Submit the form with an entity id that does not match the alert condition
2. Watch the channel</t>
        </is>
      </c>
      <c r="D9" s="9" t="inlineStr">
        <is>
          <t>No new message arrives for that alert.</t>
        </is>
      </c>
      <c r="E9" s="9" t="inlineStr">
        <is>
          <t>Manual / one-off</t>
        </is>
      </c>
      <c r="F9" s="9" t="inlineStr">
        <is>
          <t>Manual only</t>
        </is>
      </c>
      <c r="G9" s="9" t="inlineStr"/>
      <c r="H9" s="9" t="inlineStr">
        <is>
          <t>Negative case over an async pipeline - proving absence needs an arbitrary wait, and a slow staging round trip would read as a pass. Better left manual than automated unreliably.</t>
        </is>
      </c>
    </row>
  </sheetData>
  <autoFilter ref="A1:H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52" customWidth="1" min="3" max="3"/>
    <col width="52" customWidth="1" min="4" max="4"/>
    <col width="24" customWidth="1" min="5" max="5"/>
    <col width="30" customWidth="1" min="6" max="6"/>
    <col width="12" customWidth="1" min="7" max="7"/>
    <col width="54" customWidth="1" min="8" max="8"/>
  </cols>
  <sheetData>
    <row r="1" ht="26" customHeight="1">
      <c r="A1" s="8" t="inlineStr">
        <is>
          <t>Test Case No</t>
        </is>
      </c>
      <c r="B1" s="8" t="inlineStr">
        <is>
          <t>Description</t>
        </is>
      </c>
      <c r="C1" s="8" t="inlineStr">
        <is>
          <t>Steps to Test</t>
        </is>
      </c>
      <c r="D1" s="8" t="inlineStr">
        <is>
          <t>Expected Outcome</t>
        </is>
      </c>
      <c r="E1" s="8" t="inlineStr">
        <is>
          <t>Phase</t>
        </is>
      </c>
      <c r="F1" s="8" t="inlineStr">
        <is>
          <t>Automation Target</t>
        </is>
      </c>
      <c r="G1" s="8" t="inlineStr">
        <is>
          <t>Status</t>
        </is>
      </c>
      <c r="H1" s="8" t="inlineStr">
        <is>
          <t>Comments / Notes</t>
        </is>
      </c>
    </row>
    <row r="2">
      <c r="A2" s="10" t="inlineStr">
        <is>
          <t>Keywords (Messaging &gt; Keywords)</t>
        </is>
      </c>
      <c r="B2" s="10" t="inlineStr"/>
      <c r="C2" s="10" t="inlineStr"/>
      <c r="D2" s="10" t="inlineStr"/>
      <c r="E2" s="10" t="inlineStr"/>
      <c r="F2" s="10" t="inlineStr"/>
      <c r="G2" s="10" t="inlineStr"/>
      <c r="H2" s="10" t="inlineStr"/>
    </row>
    <row r="3">
      <c r="A3" s="9" t="inlineStr">
        <is>
          <t>TC-KWD-001</t>
        </is>
      </c>
      <c r="B3" s="9" t="inlineStr">
        <is>
          <t>Create a keyword with Connect Message content</t>
        </is>
      </c>
      <c r="C3" s="9" t="inlineStr">
        <is>
          <t>1. Messaging &gt; Keywords
2. Create a keyword, content type 'Connect Message'</t>
        </is>
      </c>
      <c r="D3" s="9" t="inlineStr">
        <is>
          <t>Keyword saves and is listed.</t>
        </is>
      </c>
      <c r="E3" s="9" t="inlineStr">
        <is>
          <t>1 - Web (Playwright)</t>
        </is>
      </c>
      <c r="F3" s="9" t="inlineStr">
        <is>
          <t>test_messaging_web::test_create_keyword_with_connect_message</t>
        </is>
      </c>
      <c r="G3" s="9" t="inlineStr">
        <is>
          <t>Automated</t>
        </is>
      </c>
      <c r="H3" s="9" t="inlineStr">
        <is>
          <t>No legacy automation at all. Confirm the content type is offered (prerequisite #6) before committing to this wave.</t>
        </is>
      </c>
    </row>
    <row r="4">
      <c r="A4" s="9" t="inlineStr">
        <is>
          <t>TC-KWD-002</t>
        </is>
      </c>
      <c r="B4" s="9" t="inlineStr">
        <is>
          <t>Triggering the keyword from the channel returns a message</t>
        </is>
      </c>
      <c r="C4" s="9" t="inlineStr">
        <is>
          <t>1. MOBILE: open the channel
2. Type the keyword into etMessage and send
3. Wait for the reply</t>
        </is>
      </c>
      <c r="D4" s="9" t="inlineStr">
        <is>
          <t>The keyword's configured Connect Message arrives as an incoming message.</t>
        </is>
      </c>
      <c r="E4" s="9" t="inlineStr">
        <is>
          <t>2 - Hybrid (Web+Mobile)</t>
        </is>
      </c>
      <c r="F4" s="9" t="inlineStr">
        <is>
          <t>test_messaging_hybrid::test_keyword_triggered_from_channel_returns_a_message + messaging_keyword.yaml</t>
        </is>
      </c>
      <c r="G4" s="9" t="inlineStr">
        <is>
          <t>Automated</t>
        </is>
      </c>
      <c r="H4" s="9" t="inlineStr">
        <is>
          <t>Manual 'Connect message5'. This is the only case that exercises the worker-initiated send path with a product consequence to assert - it subsumes a standalone 'send free text' test.</t>
        </is>
      </c>
    </row>
    <row r="5">
      <c r="A5" s="9" t="inlineStr">
        <is>
          <t>TC-KWD-003</t>
        </is>
      </c>
      <c r="B5" s="9" t="inlineStr">
        <is>
          <t>Create a keyword with Connect Survey content</t>
        </is>
      </c>
      <c r="C5" s="9" t="inlineStr">
        <is>
          <t>1. Messaging &gt; Keywords
2. Create a keyword, content type 'Connect Survey'</t>
        </is>
      </c>
      <c r="D5" s="9" t="inlineStr">
        <is>
          <t>Keyword saves and is listed.</t>
        </is>
      </c>
      <c r="E5" s="9" t="inlineStr">
        <is>
          <t>1 - Web (Playwright)</t>
        </is>
      </c>
      <c r="F5" s="9" t="inlineStr">
        <is>
          <t>test_messaging_web::test_create_keyword_with_connect_survey</t>
        </is>
      </c>
      <c r="G5" s="9" t="inlineStr">
        <is>
          <t>Automated</t>
        </is>
      </c>
      <c r="H5" s="9" t="inlineStr"/>
    </row>
    <row r="6">
      <c r="A6" s="9" t="inlineStr">
        <is>
          <t>TC-KWD-004</t>
        </is>
      </c>
      <c r="B6" s="9" t="inlineStr">
        <is>
          <t>Triggering the keyword returns a survey that can be completed</t>
        </is>
      </c>
      <c r="C6" s="9" t="inlineStr">
        <is>
          <t>1. MOBILE: send the keyword in the channel
2. Answer each question until the form completes</t>
        </is>
      </c>
      <c r="D6" s="9" t="inlineStr">
        <is>
          <t>The first question arrives; each answer advances the form to completion.</t>
        </is>
      </c>
      <c r="E6" s="9" t="inlineStr">
        <is>
          <t>2 - Hybrid (Web+Mobile)</t>
        </is>
      </c>
      <c r="F6" s="9" t="inlineStr">
        <is>
          <t>W4 test_messaging_keywords</t>
        </is>
      </c>
      <c r="G6" s="9" t="inlineStr"/>
      <c r="H6" s="9" t="inlineStr">
        <is>
          <t>Manual 'Connect message6'.</t>
        </is>
      </c>
    </row>
    <row r="7">
      <c r="A7" s="9" t="inlineStr">
        <is>
          <t>TC-KWD-005</t>
        </is>
      </c>
      <c r="B7" s="9" t="inlineStr">
        <is>
          <t>The keyword-triggered survey submission is visible on HQ</t>
        </is>
      </c>
      <c r="C7" s="9" t="inlineStr">
        <is>
          <t>1. WEB: open the form's submission history</t>
        </is>
      </c>
      <c r="D7" s="9" t="inlineStr">
        <is>
          <t>A submission exists for the test worker.</t>
        </is>
      </c>
      <c r="E7" s="9" t="inlineStr">
        <is>
          <t>1 - Web (Playwright)</t>
        </is>
      </c>
      <c r="F7" s="9" t="inlineStr">
        <is>
          <t>W4 test_messaging_keywords</t>
        </is>
      </c>
      <c r="G7" s="9" t="inlineStr"/>
      <c r="H7" s="9" t="inlineStr">
        <is>
          <t>Explicit in the manual outcome for 'Connect message6'.</t>
        </is>
      </c>
    </row>
    <row r="8">
      <c r="A8" s="9" t="inlineStr">
        <is>
          <t>TC-KWD-006</t>
        </is>
      </c>
      <c r="B8" s="9" t="inlineStr">
        <is>
          <t>An unrecognised keyword produces no response</t>
        </is>
      </c>
      <c r="C8" s="9" t="inlineStr">
        <is>
          <t>1. Send arbitrary text that matches no keyword
2. Watch the channel</t>
        </is>
      </c>
      <c r="D8" s="9" t="inlineStr">
        <is>
          <t>No automated reply arrives; the sent message still renders as an outgoing bubble.</t>
        </is>
      </c>
      <c r="E8" s="9" t="inlineStr">
        <is>
          <t>Manual / one-off</t>
        </is>
      </c>
      <c r="F8" s="9" t="inlineStr">
        <is>
          <t>Manual only</t>
        </is>
      </c>
      <c r="G8" s="9" t="inlineStr"/>
      <c r="H8" s="9" t="inlineStr">
        <is>
          <t>Same absence-proving problem as TC-CAL-007.</t>
        </is>
      </c>
    </row>
  </sheetData>
  <autoFilter ref="A1:H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52" customWidth="1" min="3" max="3"/>
    <col width="52" customWidth="1" min="4" max="4"/>
    <col width="24" customWidth="1" min="5" max="5"/>
    <col width="30" customWidth="1" min="6" max="6"/>
    <col width="12" customWidth="1" min="7" max="7"/>
    <col width="54" customWidth="1" min="8" max="8"/>
  </cols>
  <sheetData>
    <row r="1" ht="26" customHeight="1">
      <c r="A1" s="8" t="inlineStr">
        <is>
          <t>Test Case No</t>
        </is>
      </c>
      <c r="B1" s="8" t="inlineStr">
        <is>
          <t>Description</t>
        </is>
      </c>
      <c r="C1" s="8" t="inlineStr">
        <is>
          <t>Steps to Test</t>
        </is>
      </c>
      <c r="D1" s="8" t="inlineStr">
        <is>
          <t>Expected Outcome</t>
        </is>
      </c>
      <c r="E1" s="8" t="inlineStr">
        <is>
          <t>Phase</t>
        </is>
      </c>
      <c r="F1" s="8" t="inlineStr">
        <is>
          <t>Automation Target</t>
        </is>
      </c>
      <c r="G1" s="8" t="inlineStr">
        <is>
          <t>Status</t>
        </is>
      </c>
      <c r="H1" s="8" t="inlineStr">
        <is>
          <t>Comments / Notes</t>
        </is>
      </c>
    </row>
    <row r="2">
      <c r="A2" s="10" t="inlineStr">
        <is>
          <t>Subscription / consent (mobile overflow menu)</t>
        </is>
      </c>
      <c r="B2" s="10" t="inlineStr"/>
      <c r="C2" s="10" t="inlineStr"/>
      <c r="D2" s="10" t="inlineStr"/>
      <c r="E2" s="10" t="inlineStr"/>
      <c r="F2" s="10" t="inlineStr"/>
      <c r="G2" s="10" t="inlineStr"/>
      <c r="H2" s="10" t="inlineStr"/>
    </row>
    <row r="3">
      <c r="A3" s="9" t="inlineStr">
        <is>
          <t>TC-SUB-001</t>
        </is>
      </c>
      <c r="B3" s="9" t="inlineStr">
        <is>
          <t>Unsubscribe from a channel</t>
        </is>
      </c>
      <c r="C3" s="9" t="inlineStr">
        <is>
          <t>1. Open the channel
2. Overflow ('More options') menu &gt; Unsubscribe
3. Confirm in the dialog</t>
        </is>
      </c>
      <c r="D3" s="9" t="inlineStr">
        <is>
          <t>The dialog closes and the channel is unsubscribed.</t>
        </is>
      </c>
      <c r="E3" s="9" t="inlineStr">
        <is>
          <t>3 - Mobile (Maestro)</t>
        </is>
      </c>
      <c r="F3" s="9" t="inlineStr">
        <is>
          <t>test_messaging_hybrid::test_channel_unsubscribe_and_resubscribe + messaging_consent.yaml</t>
        </is>
      </c>
      <c r="G3" s="9" t="inlineStr">
        <is>
          <t>Automated</t>
        </is>
      </c>
      <c r="H3" s="9" t="inlineStr">
        <is>
          <t>Manual 'Connect message7'. No dedicated consent screen exists - consent is an overflow action backed by POST /messaging/update_consent/.</t>
        </is>
      </c>
    </row>
    <row r="4">
      <c r="A4" s="9" t="inlineStr">
        <is>
          <t>TC-SUB-002</t>
        </is>
      </c>
      <c r="B4" s="9" t="inlineStr">
        <is>
          <t>An unsubscribed channel disables sending</t>
        </is>
      </c>
      <c r="C4" s="9" t="inlineStr">
        <is>
          <t>1. Remain on the unsubscribed channel</t>
        </is>
      </c>
      <c r="D4" s="9" t="inlineStr">
        <is>
          <t>etMessage is disabled and shows 'You are not subscribed to this messaging channel'; imgSendMessage stays hidden.</t>
        </is>
      </c>
      <c r="E4" s="9" t="inlineStr">
        <is>
          <t>3 - Mobile (Maestro)</t>
        </is>
      </c>
      <c r="F4" s="9" t="inlineStr">
        <is>
          <t>test_messaging_hybrid::test_channel_unsubscribe_and_resubscribe + messaging_consent.yaml</t>
        </is>
      </c>
      <c r="G4" s="9" t="inlineStr">
        <is>
          <t>Automated</t>
        </is>
      </c>
      <c r="H4" s="9" t="inlineStr">
        <is>
          <t>etMessage doubles as the not-subscribed banner, so the same view is both the input and the message.</t>
        </is>
      </c>
    </row>
    <row r="5">
      <c r="A5" s="9" t="inlineStr">
        <is>
          <t>TC-SUB-003</t>
        </is>
      </c>
      <c r="B5" s="9" t="inlineStr">
        <is>
          <t>The channel row shows the unsubscribed pill</t>
        </is>
      </c>
      <c r="C5" s="9" t="inlineStr">
        <is>
          <t>1. Go back to the channel list</t>
        </is>
      </c>
      <c r="D5" s="9" t="inlineStr">
        <is>
          <t>tvUnsubscribedPill is visible on that channel's row.</t>
        </is>
      </c>
      <c r="E5" s="9" t="inlineStr">
        <is>
          <t>3 - Mobile (Maestro)</t>
        </is>
      </c>
      <c r="F5" s="9" t="inlineStr">
        <is>
          <t>test_messaging_hybrid::test_channel_unsubscribe_and_resubscribe + messaging_consent.yaml</t>
        </is>
      </c>
      <c r="G5" s="9" t="inlineStr">
        <is>
          <t>Automated</t>
        </is>
      </c>
      <c r="H5" s="9" t="inlineStr"/>
    </row>
    <row r="6">
      <c r="A6" s="9" t="inlineStr">
        <is>
          <t>TC-SUB-004</t>
        </is>
      </c>
      <c r="B6" s="9" t="inlineStr">
        <is>
          <t>No messages are received while unsubscribed</t>
        </is>
      </c>
      <c r="C6" s="9" t="inlineStr">
        <is>
          <t>1. MOBILE: unsubscribe (own device session)
2. WEB: send a broadcast to the worker
3. Assert the send is refused</t>
        </is>
      </c>
      <c r="D6" s="9" t="inlineStr">
        <is>
          <t>ConnectID rejects the send with HTTP 400 NO_USER_CONSENT; nothing reaches the channel.</t>
        </is>
      </c>
      <c r="E6" s="9" t="inlineStr">
        <is>
          <t>2 - Hybrid (Web+Mobile)</t>
        </is>
      </c>
      <c r="F6" s="9" t="inlineStr">
        <is>
          <t>W3 test_messaging_channel_creation</t>
        </is>
      </c>
      <c r="G6" s="9" t="inlineStr"/>
      <c r="H6" s="9" t="inlineStr">
        <is>
          <t>Asserted on the WEB side, not by proving absence on a device: SendServerConnectMessage returns 400 NO_USER_CONSENT for an unconsented channel, so there is a definite signal instead of an arbitrary wait. Needs two run_flows() calls with the send between them - one build cannot be paused midway.</t>
        </is>
      </c>
    </row>
    <row r="7">
      <c r="A7" s="9" t="inlineStr">
        <is>
          <t>TC-SUB-007</t>
        </is>
      </c>
      <c r="B7" s="9" t="inlineStr">
        <is>
          <t>Message history survives unsubscribe and resubscribe</t>
        </is>
      </c>
      <c r="C7" s="9" t="inlineStr">
        <is>
          <t>1. Open a channel with existing messages
2. Unsubscribe
3. Resubscribe
4. Leave and re-enter the thread</t>
        </is>
      </c>
      <c r="D7" s="9" t="inlineStr">
        <is>
          <t>The existing messages remain visible throughout.</t>
        </is>
      </c>
      <c r="E7" s="9" t="inlineStr">
        <is>
          <t>3 - Mobile (Maestro)</t>
        </is>
      </c>
      <c r="F7" s="9" t="inlineStr">
        <is>
          <t>messaging_consent_history.yaml</t>
        </is>
      </c>
      <c r="G7" s="9" t="inlineStr">
        <is>
          <t>Automated</t>
        </is>
      </c>
      <c r="H7" s="9" t="inlineStr">
        <is>
          <t>Not in the manual plan. Added after the thread rendered completely empty immediately following a resubscribe, on a channel that had messages minutes earlier. ConnectID's UpdateConsentView only flips a boolean and never touches messages, so history loss would be device-side and unintended. The flow's checkpoints are placed so that where it stops identifies the cause.</t>
        </is>
      </c>
    </row>
    <row r="8">
      <c r="A8" s="9" t="inlineStr">
        <is>
          <t>TC-SUB-005</t>
        </is>
      </c>
      <c r="B8" s="9" t="inlineStr">
        <is>
          <t>Resubscribe to the channel</t>
        </is>
      </c>
      <c r="C8" s="9" t="inlineStr">
        <is>
          <t>1. Open the channel
2. Overflow menu &gt; Resubscribe
3. Confirm in the dialog</t>
        </is>
      </c>
      <c r="D8" s="9" t="inlineStr">
        <is>
          <t>The channel is resubscribed; etMessage is editable again and the unsubscribed pill is gone.</t>
        </is>
      </c>
      <c r="E8" s="9" t="inlineStr">
        <is>
          <t>3 - Mobile (Maestro)</t>
        </is>
      </c>
      <c r="F8" s="9" t="inlineStr">
        <is>
          <t>test_messaging_hybrid::test_channel_unsubscribe_and_resubscribe + messaging_consent.yaml</t>
        </is>
      </c>
      <c r="G8" s="9" t="inlineStr">
        <is>
          <t>Automated</t>
        </is>
      </c>
      <c r="H8" s="9" t="inlineStr">
        <is>
          <t>Manual 'Connect message8'. Confirmed reversible with no server-side cleanup, so this is re-runnable.</t>
        </is>
      </c>
    </row>
    <row r="9">
      <c r="A9" s="9" t="inlineStr">
        <is>
          <t>TC-SUB-006</t>
        </is>
      </c>
      <c r="B9" s="9" t="inlineStr">
        <is>
          <t>Message delivery resumes after resubscribing</t>
        </is>
      </c>
      <c r="C9" s="9" t="inlineStr">
        <is>
          <t>1. WEB: send a broadcast after resubscription
2. MOBILE: open the channel</t>
        </is>
      </c>
      <c r="D9" s="9" t="inlineStr">
        <is>
          <t>The new broadcast arrives.</t>
        </is>
      </c>
      <c r="E9" s="9" t="inlineStr">
        <is>
          <t>2 - Hybrid (Web+Mobile)</t>
        </is>
      </c>
      <c r="F9" s="9" t="inlineStr">
        <is>
          <t>W3 test_messaging_channel_creation</t>
        </is>
      </c>
      <c r="G9" s="9" t="inlineStr"/>
      <c r="H9" s="9" t="inlineStr">
        <is>
          <t>Pairs with TC-SUB-004: on its own, TC-SUB-004 would still pass if delivery were broken permanently. Same reasoning the tasking plan used for its blocked/unblocked visit pair.</t>
        </is>
      </c>
    </row>
  </sheetData>
  <autoFilter ref="A1:H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52" customWidth="1" min="3" max="3"/>
    <col width="52" customWidth="1" min="4" max="4"/>
    <col width="24" customWidth="1" min="5" max="5"/>
    <col width="30" customWidth="1" min="6" max="6"/>
    <col width="12" customWidth="1" min="7" max="7"/>
    <col width="54" customWidth="1" min="8" max="8"/>
  </cols>
  <sheetData>
    <row r="1" ht="26" customHeight="1">
      <c r="A1" s="8" t="inlineStr">
        <is>
          <t>Test Case No</t>
        </is>
      </c>
      <c r="B1" s="8" t="inlineStr">
        <is>
          <t>Description</t>
        </is>
      </c>
      <c r="C1" s="8" t="inlineStr">
        <is>
          <t>Steps to Test</t>
        </is>
      </c>
      <c r="D1" s="8" t="inlineStr">
        <is>
          <t>Expected Outcome</t>
        </is>
      </c>
      <c r="E1" s="8" t="inlineStr">
        <is>
          <t>Phase</t>
        </is>
      </c>
      <c r="F1" s="8" t="inlineStr">
        <is>
          <t>Automation Target</t>
        </is>
      </c>
      <c r="G1" s="8" t="inlineStr">
        <is>
          <t>Status</t>
        </is>
      </c>
      <c r="H1" s="8" t="inlineStr">
        <is>
          <t>Comments / Notes</t>
        </is>
      </c>
    </row>
    <row r="2">
      <c r="A2" s="10" t="inlineStr">
        <is>
          <t>Message delivery, unread state and notifications</t>
        </is>
      </c>
      <c r="B2" s="10" t="inlineStr"/>
      <c r="C2" s="10" t="inlineStr"/>
      <c r="D2" s="10" t="inlineStr"/>
      <c r="E2" s="10" t="inlineStr"/>
      <c r="F2" s="10" t="inlineStr"/>
      <c r="G2" s="10" t="inlineStr"/>
      <c r="H2" s="10" t="inlineStr"/>
    </row>
    <row r="3">
      <c r="A3" s="9" t="inlineStr">
        <is>
          <t>TC-MSG-001</t>
        </is>
      </c>
      <c r="B3" s="9" t="inlineStr">
        <is>
          <t>Send control appears only for non-empty input</t>
        </is>
      </c>
      <c r="C3" s="9" t="inlineStr">
        <is>
          <t>1. Open a subscribed channel
2. Assert imgSendMessage is not visible
3. Type into etMessage</t>
        </is>
      </c>
      <c r="D3" s="9" t="inlineStr">
        <is>
          <t>imgSendMessage is GONE while the input is empty and appears once it is not.</t>
        </is>
      </c>
      <c r="E3" s="9" t="inlineStr">
        <is>
          <t>3 - Mobile (Maestro)</t>
        </is>
      </c>
      <c r="F3" s="9" t="inlineStr">
        <is>
          <t>messaging_consent_history.yaml (seeds its history by sending)</t>
        </is>
      </c>
      <c r="G3" s="9" t="inlineStr">
        <is>
          <t>Automated</t>
        </is>
      </c>
      <c r="H3" s="9" t="inlineStr">
        <is>
          <t>ConnectMessageFragment.createTextWatcher gates on non-empty AND consented. Maestro must type before tapping - a blind tap on the send button fails.</t>
        </is>
      </c>
    </row>
    <row r="4">
      <c r="A4" s="9" t="inlineStr">
        <is>
          <t>TC-MSG-002</t>
        </is>
      </c>
      <c r="B4" s="9" t="inlineStr">
        <is>
          <t>A sent message renders and is confirmed</t>
        </is>
      </c>
      <c r="C4" s="9" t="inlineStr">
        <is>
          <t>1. Send a message</t>
        </is>
      </c>
      <c r="D4" s="9" t="inlineStr">
        <is>
          <t>An outgoing bubble appears immediately, and imgMessageReadStatus advances from sent to confirmed.</t>
        </is>
      </c>
      <c r="E4" s="9" t="inlineStr">
        <is>
          <t>3 - Mobile (Maestro)</t>
        </is>
      </c>
      <c r="F4" s="9" t="inlineStr">
        <is>
          <t>messaging_consent_history.yaml (seeds its history by sending)</t>
        </is>
      </c>
      <c r="G4" s="9" t="inlineStr">
        <is>
          <t>Automated</t>
        </is>
      </c>
      <c r="H4" s="9" t="inlineStr">
        <is>
          <t>Sends are optimistic: stored locally with confirmed=false and shown BEFORE the network call, so asserting the bubble alone proves nothing about delivery - the tick is the real assertion.</t>
        </is>
      </c>
    </row>
    <row r="5">
      <c r="A5" s="9" t="inlineStr">
        <is>
          <t>TC-MSG-003</t>
        </is>
      </c>
      <c r="B5" s="9" t="inlineStr">
        <is>
          <t>Per-channel unread count</t>
        </is>
      </c>
      <c r="C5" s="9" t="inlineStr">
        <is>
          <t>1. Receive a message without opening the thread
2. View the channel list</t>
        </is>
      </c>
      <c r="D5" s="9" t="inlineStr">
        <is>
          <t>tvUnreadCount on that channel's row shows the number of unread messages.</t>
        </is>
      </c>
      <c r="E5" s="9" t="inlineStr">
        <is>
          <t>2 - Hybrid (Web+Mobile)</t>
        </is>
      </c>
      <c r="F5" s="9" t="inlineStr">
        <is>
          <t>messaging_broadcast.yaml</t>
        </is>
      </c>
      <c r="G5" s="9" t="inlineStr">
        <is>
          <t>Automated</t>
        </is>
      </c>
      <c r="H5" s="9" t="inlineStr">
        <is>
          <t>Folded into the alert test: it already has a message arriving unviewed. A mobile-only flow would have to fake that moment.</t>
        </is>
      </c>
    </row>
    <row r="6">
      <c r="A6" s="9" t="inlineStr">
        <is>
          <t>TC-MSG-004</t>
        </is>
      </c>
      <c r="B6" s="9" t="inlineStr">
        <is>
          <t>Global nav-drawer unread badge</t>
        </is>
      </c>
      <c r="C6" s="9" t="inlineStr">
        <is>
          <t>1. With unread messages outstanding, open the nav drawer</t>
        </is>
      </c>
      <c r="D6" s="9" t="inlineStr">
        <is>
          <t>The Messaging entry carries an unread badge.</t>
        </is>
      </c>
      <c r="E6" s="9" t="inlineStr">
        <is>
          <t>2 - Hybrid (Web+Mobile)</t>
        </is>
      </c>
      <c r="F6" s="9" t="inlineStr">
        <is>
          <t>W1 test_messaging_conditional_alerts</t>
        </is>
      </c>
      <c r="G6" s="9" t="inlineStr"/>
      <c r="H6" s="9" t="inlineStr">
        <is>
          <t>BaseDrawerController, fed by ConnectMessagingDatabaseHelper.getUnviewedMessages().</t>
        </is>
      </c>
    </row>
    <row r="7">
      <c r="A7" s="9" t="inlineStr">
        <is>
          <t>TC-MSG-005</t>
        </is>
      </c>
      <c r="B7" s="9" t="inlineStr">
        <is>
          <t>Opening a thread clears unread state</t>
        </is>
      </c>
      <c r="C7" s="9" t="inlineStr">
        <is>
          <t>1. Open the channel with unread messages
2. Go back to the channel list and the drawer</t>
        </is>
      </c>
      <c r="D7" s="9" t="inlineStr">
        <is>
          <t>tvUnreadCount is gone from the row and the drawer badge is cleared.</t>
        </is>
      </c>
      <c r="E7" s="9" t="inlineStr">
        <is>
          <t>2 - Hybrid (Web+Mobile)</t>
        </is>
      </c>
      <c r="F7" s="9" t="inlineStr">
        <is>
          <t>messaging_broadcast.yaml</t>
        </is>
      </c>
      <c r="G7" s="9" t="inlineStr">
        <is>
          <t>Automated</t>
        </is>
      </c>
      <c r="H7" s="9" t="inlineStr">
        <is>
          <t>Opening a thread marks all its messages userViewed=true.</t>
        </is>
      </c>
    </row>
    <row r="8">
      <c r="A8" s="9" t="inlineStr">
        <is>
          <t>TC-MSG-006</t>
        </is>
      </c>
      <c r="B8" s="9" t="inlineStr">
        <is>
          <t>A messaging push deep-links into the thread</t>
        </is>
      </c>
      <c r="C8" s="9" t="inlineStr">
        <is>
          <t>1. Background the app
2. WEB: send a broadcast
3. Wait for the push in the notification shade
4. Tap it</t>
        </is>
      </c>
      <c r="D8" s="9" t="inlineStr">
        <is>
          <t>ConnectMessagingActivity opens the correct channel thread (via the PersonalID unlock path if locked).</t>
        </is>
      </c>
      <c r="E8" s="9" t="inlineStr">
        <is>
          <t>Manual / one-off</t>
        </is>
      </c>
      <c r="F8" s="9" t="inlineStr">
        <is>
          <t>Manual only</t>
        </is>
      </c>
      <c r="G8" s="9" t="inlineStr"/>
      <c r="H8" s="9" t="inlineStr">
        <is>
          <t>MANUAL by decision (2026-08-12), not by omission. The case needs a message to arrive while the app is backgrounded, but every BrowserStack build starts from a fresh install and cannot be paused, so the web half must send before the device boots - by sign-in the message is already queued and arrives on first sync, never as a push. The ordering would need two builds with a send between, and the second reinstalls and wipes the session. Automatable on a local emulator, where the session persists, if it is ever judged worth the CI cost.</t>
        </is>
      </c>
    </row>
    <row r="9">
      <c r="A9" s="9" t="inlineStr">
        <is>
          <t>TC-MSG-007</t>
        </is>
      </c>
      <c r="B9" s="9" t="inlineStr">
        <is>
          <t>Push is suppressed while the channel is in the foreground</t>
        </is>
      </c>
      <c r="C9" s="9" t="inlineStr">
        <is>
          <t>1. Stay on the channel list or in the thread
2. WEB: send a broadcast</t>
        </is>
      </c>
      <c r="D9" s="9" t="inlineStr">
        <is>
          <t>No notification is posted; the message appears in the UI directly.</t>
        </is>
      </c>
      <c r="E9" s="9" t="inlineStr">
        <is>
          <t>Manual / one-off</t>
        </is>
      </c>
      <c r="F9" s="9" t="inlineStr">
        <is>
          <t>Manual only</t>
        </is>
      </c>
      <c r="G9" s="9" t="inlineStr"/>
      <c r="H9" s="9" t="inlineStr">
        <is>
          <t>Deliberate behaviour (isActive / getActiveChannel), but asserting a notification's absence over an async pipeline has the same unreliability as TC-CAL-007.</t>
        </is>
      </c>
    </row>
    <row r="10">
      <c r="A10" s="9" t="inlineStr">
        <is>
          <t>TC-MSG-008</t>
        </is>
      </c>
      <c r="B10" s="9" t="inlineStr">
        <is>
          <t>An open thread refreshes without a push</t>
        </is>
      </c>
      <c r="C10" s="9" t="inlineStr">
        <is>
          <t>1. Sit in the thread with notifications off
2. WEB: send a message
3. Wait</t>
        </is>
      </c>
      <c r="D10" s="9" t="inlineStr">
        <is>
          <t>The message appears within the 30-second poll interval.</t>
        </is>
      </c>
      <c r="E10" s="9" t="inlineStr">
        <is>
          <t>Manual / one-off</t>
        </is>
      </c>
      <c r="F10" s="9" t="inlineStr">
        <is>
          <t>Manual only</t>
        </is>
      </c>
      <c r="G10" s="9" t="inlineStr"/>
      <c r="H10" s="9" t="inlineStr">
        <is>
          <t>ConnectMessageFragment polls on a 30s INTERVAL. Automatable in principle but costs a device session to assert a timer - low value against ~8 minutes of BrowserStack per run.</t>
        </is>
      </c>
    </row>
    <row r="11">
      <c r="A11" s="9" t="inlineStr">
        <is>
          <t>TC-MSG-009</t>
        </is>
      </c>
      <c r="B11" s="9" t="inlineStr">
        <is>
          <t>An unsent message is retried on returning to the channel list</t>
        </is>
      </c>
      <c r="C11" s="9" t="inlineStr">
        <is>
          <t>1. Send with the network off
2. Restore the network
3. Return to the channel list</t>
        </is>
      </c>
      <c r="D11" s="9" t="inlineStr">
        <is>
          <t>The queued message is sent and confirmed.</t>
        </is>
      </c>
      <c r="E11" s="9" t="inlineStr">
        <is>
          <t>Manual / one-off</t>
        </is>
      </c>
      <c r="F11" s="9" t="inlineStr">
        <is>
          <t>Manual only</t>
        </is>
      </c>
      <c r="G11" s="9" t="inlineStr"/>
      <c r="H11" s="9" t="inlineStr">
        <is>
          <t>See TC-IMP-003 - MessageManager.sendUnsentMessages breaks after the first message, so with two queued only one is retried per visit. Verify the behaviour manually before writing a test that encodes it.</t>
        </is>
      </c>
    </row>
  </sheetData>
  <autoFilter ref="A1:H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52" customWidth="1" min="3" max="3"/>
    <col width="52" customWidth="1" min="4" max="4"/>
    <col width="24" customWidth="1" min="5" max="5"/>
    <col width="30" customWidth="1" min="6" max="6"/>
    <col width="12" customWidth="1" min="7" max="7"/>
    <col width="54" customWidth="1" min="8" max="8"/>
  </cols>
  <sheetData>
    <row r="1" ht="26" customHeight="1">
      <c r="A1" s="8" t="inlineStr">
        <is>
          <t>Test Case No</t>
        </is>
      </c>
      <c r="B1" s="8" t="inlineStr">
        <is>
          <t>Description</t>
        </is>
      </c>
      <c r="C1" s="8" t="inlineStr">
        <is>
          <t>Steps to Test</t>
        </is>
      </c>
      <c r="D1" s="8" t="inlineStr">
        <is>
          <t>Expected Outcome</t>
        </is>
      </c>
      <c r="E1" s="8" t="inlineStr">
        <is>
          <t>Phase</t>
        </is>
      </c>
      <c r="F1" s="8" t="inlineStr">
        <is>
          <t>Automation Target</t>
        </is>
      </c>
      <c r="G1" s="8" t="inlineStr">
        <is>
          <t>Status</t>
        </is>
      </c>
      <c r="H1" s="8" t="inlineStr">
        <is>
          <t>Comments / Notes</t>
        </is>
      </c>
    </row>
    <row r="2">
      <c r="A2" s="10" t="inlineStr">
        <is>
          <t>Impact areas found by reading commcare-android / commcare-connect</t>
        </is>
      </c>
      <c r="B2" s="10" t="inlineStr"/>
      <c r="C2" s="10" t="inlineStr"/>
      <c r="D2" s="10" t="inlineStr"/>
      <c r="E2" s="10" t="inlineStr"/>
      <c r="F2" s="10" t="inlineStr"/>
      <c r="G2" s="10" t="inlineStr"/>
      <c r="H2" s="10" t="inlineStr"/>
    </row>
    <row r="3">
      <c r="A3" s="9" t="inlineStr">
        <is>
          <t>TC-IMP-001</t>
        </is>
      </c>
      <c r="B3" s="9" t="inlineStr">
        <is>
          <t>Sending with no channel key fails silently</t>
        </is>
      </c>
      <c r="C3" s="9" t="inlineStr">
        <is>
          <t>1. Reach a channel whose encryption key has not synced
2. Send a message</t>
        </is>
      </c>
      <c r="D3" s="9" t="inlineStr">
        <is>
          <t>Expected: the user is told. Actual: MessageManager.sendMessage logs and returns - no toast, no error, the bubble stays unconfirmed.</t>
        </is>
      </c>
      <c r="E3" s="9" t="inlineStr">
        <is>
          <t>Manual / one-off</t>
        </is>
      </c>
      <c r="F3" s="9" t="inlineStr">
        <is>
          <t>Manual only</t>
        </is>
      </c>
      <c r="G3" s="9" t="inlineStr"/>
      <c r="H3" s="9" t="inlineStr">
        <is>
          <t>Product risk, not a test gap. Raise separately if confirmed. TC-CHN-005 guards our suite against mistaking this for a delivery failure.</t>
        </is>
      </c>
    </row>
    <row r="4">
      <c r="A4" s="9" t="inlineStr">
        <is>
          <t>TC-IMP-002</t>
        </is>
      </c>
      <c r="B4" s="9" t="inlineStr">
        <is>
          <t>Inbound message dropped when decryption fails</t>
        </is>
      </c>
      <c r="C4" s="9" t="inlineStr">
        <is>
          <t>1. Deliver a message the device cannot decrypt</t>
        </is>
      </c>
      <c r="D4" s="9" t="inlineStr">
        <is>
          <t>ConnectMessagingMessageRecord.fromJson returns null and the message is silently discarded - it never appears and nothing is logged to the user.</t>
        </is>
      </c>
      <c r="E4" s="9" t="inlineStr">
        <is>
          <t>Manual / one-off</t>
        </is>
      </c>
      <c r="F4" s="9" t="inlineStr">
        <is>
          <t>Manual only</t>
        </is>
      </c>
      <c r="G4" s="9" t="inlineStr"/>
      <c r="H4" s="9" t="inlineStr">
        <is>
          <t>Also the reason no test can assert message CONTENT server-side: bodies are AEAD-encrypted per channel and only the device holds the key.</t>
        </is>
      </c>
    </row>
    <row r="5">
      <c r="A5" s="9" t="inlineStr">
        <is>
          <t>TC-IMP-003</t>
        </is>
      </c>
      <c r="B5" s="9" t="inlineStr">
        <is>
          <t>Only one queued message is retried per channel-list visit</t>
        </is>
      </c>
      <c r="C5" s="9" t="inlineStr">
        <is>
          <t>1. Queue two unsent messages offline
2. Restore the network
3. Return to the channel list</t>
        </is>
      </c>
      <c r="D5" s="9" t="inlineStr">
        <is>
          <t>Suspected: only the first is sent, because sendUnsentMessages breaks out of the loop after one.</t>
        </is>
      </c>
      <c r="E5" s="9" t="inlineStr">
        <is>
          <t>Manual / one-off</t>
        </is>
      </c>
      <c r="F5" s="9" t="inlineStr">
        <is>
          <t>Manual only</t>
        </is>
      </c>
      <c r="G5" s="9" t="inlineStr"/>
      <c r="H5" s="9" t="inlineStr">
        <is>
          <t>Code-review finding, unverified against a running app. Confirm before filing - and before TC-MSG-009 encodes any behaviour.</t>
        </is>
      </c>
    </row>
    <row r="6">
      <c r="A6" s="9" t="inlineStr">
        <is>
          <t>TC-IMP-004</t>
        </is>
      </c>
      <c r="B6" s="9" t="inlineStr">
        <is>
          <t>Legacy Maestro login flows are broken on APK 2.63.4</t>
        </is>
      </c>
      <c r="C6" s="9" t="inlineStr">
        <is>
          <t>1. Run login_signup_success.yaml / login_account_locked.yaml against 2.63.4</t>
        </is>
      </c>
      <c r="D6" s="9" t="inlineStr">
        <is>
          <t>They reference the removed connect_backup_code_input and assert drawer items that no longer render.</t>
        </is>
      </c>
      <c r="E6" s="9" t="inlineStr">
        <is>
          <t>Manual / one-off</t>
        </is>
      </c>
      <c r="F6" s="9" t="inlineStr">
        <is>
          <t>Manual only</t>
        </is>
      </c>
      <c r="G6" s="9" t="inlineStr"/>
      <c r="H6" s="9" t="inlineStr">
        <is>
          <t>Tracked in PR #23. Not messaging work, but every messaging flow signs in first. The six-box NumericCodeView pattern is already solved in worker_relearn_task.yaml - reuse it rather than the old shared flow.</t>
        </is>
      </c>
    </row>
  </sheetData>
  <autoFilter ref="A1:H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5"/>
  <cols>
    <col width="20" customWidth="1" min="1" max="1"/>
    <col width="46" customWidth="1" min="2" max="2"/>
    <col width="22" customWidth="1" min="3" max="3"/>
    <col width="18" customWidth="1" min="4" max="4"/>
    <col width="26" customWidth="1" min="5" max="5"/>
    <col width="62" customWidth="1" min="6" max="6"/>
  </cols>
  <sheetData>
    <row r="1">
      <c r="A1" s="1" t="inlineStr">
        <is>
          <t>What the legacy Selenium/Appium suite already covers</t>
        </is>
      </c>
    </row>
    <row r="3">
      <c r="A3" s="8" t="inlineStr">
        <is>
          <t>Manual MTP Case</t>
        </is>
      </c>
      <c r="B3" s="8" t="inlineStr">
        <is>
          <t>Description</t>
        </is>
      </c>
      <c r="C3" s="8" t="inlineStr">
        <is>
          <t>Legacy Test</t>
        </is>
      </c>
      <c r="D3" s="8" t="inlineStr">
        <is>
          <t>Legacy Coverage</t>
        </is>
      </c>
      <c r="E3" s="8" t="inlineStr">
        <is>
          <t>New Plan Case(s)</t>
        </is>
      </c>
      <c r="F3" s="8" t="inlineStr">
        <is>
          <t>Migration Action</t>
        </is>
      </c>
    </row>
    <row r="4">
      <c r="A4" s="9" t="inlineStr">
        <is>
          <t>Connect channel 1</t>
        </is>
      </c>
      <c r="B4" s="9" t="inlineStr">
        <is>
          <t>Create a connect channel via HQ consent request</t>
        </is>
      </c>
      <c r="C4" s="9" t="inlineStr">
        <is>
          <t>-</t>
        </is>
      </c>
      <c r="D4" s="9" t="inlineStr">
        <is>
          <t>None</t>
        </is>
      </c>
      <c r="E4" s="9" t="inlineStr">
        <is>
          <t>TC-CHN-001, TC-CHN-002</t>
        </is>
      </c>
      <c r="F4" s="9" t="inlineStr">
        <is>
          <t>NEW. Also removes the manual channel-seeding prerequisite for every other case.</t>
        </is>
      </c>
    </row>
    <row r="5">
      <c r="A5" s="9" t="inlineStr">
        <is>
          <t>Connect message1</t>
        </is>
      </c>
      <c r="B5" s="9" t="inlineStr">
        <is>
          <t>Broadcast with Connect Message option</t>
        </is>
      </c>
      <c r="C5" s="9" t="inlineStr">
        <is>
          <t>test_tc_10 (Messaging_5)</t>
        </is>
      </c>
      <c r="D5" s="9" t="inlineStr">
        <is>
          <t>Full</t>
        </is>
      </c>
      <c r="E5" s="9" t="inlineStr">
        <is>
          <t>TC-BRD-002</t>
        </is>
      </c>
      <c r="F5" s="9" t="inlineStr">
        <is>
          <t>MIGRATE as-is. Keep legacy's assertion on the exact generated text.</t>
        </is>
      </c>
    </row>
    <row r="6">
      <c r="A6" s="9" t="inlineStr">
        <is>
          <t>Connect message2</t>
        </is>
      </c>
      <c r="B6" s="9" t="inlineStr">
        <is>
          <t>Broadcast with Connect Survey option</t>
        </is>
      </c>
      <c r="C6" s="9" t="inlineStr">
        <is>
          <t>test_tc_10 (Messaging_6)</t>
        </is>
      </c>
      <c r="D6" s="9" t="inlineStr">
        <is>
          <t>Partial</t>
        </is>
      </c>
      <c r="E6" s="9" t="inlineStr">
        <is>
          <t>TC-BRD-003, TC-BRD-004</t>
        </is>
      </c>
      <c r="F6" s="9" t="inlineStr">
        <is>
          <t>MIGRATE + EXTEND. fill_survey_form() hardcodes two questions and never checks HQ received the submission.</t>
        </is>
      </c>
    </row>
    <row r="7">
      <c r="A7" s="9" t="inlineStr">
        <is>
          <t>Connect message3</t>
        </is>
      </c>
      <c r="B7" s="9" t="inlineStr">
        <is>
          <t>Conditional alert with Connect Message option</t>
        </is>
      </c>
      <c r="C7" s="9" t="inlineStr">
        <is>
          <t>test_tc_09 (Messaging_2)</t>
        </is>
      </c>
      <c r="D7" s="9" t="inlineStr">
        <is>
          <t>Full</t>
        </is>
      </c>
      <c r="E7" s="9" t="inlineStr">
        <is>
          <t>TC-CAL-002, TC-CAL-003</t>
        </is>
      </c>
      <c r="F7" s="9" t="inlineStr">
        <is>
          <t>MIGRATE as-is.</t>
        </is>
      </c>
    </row>
    <row r="8">
      <c r="A8" s="9" t="inlineStr">
        <is>
          <t>Connect message4</t>
        </is>
      </c>
      <c r="B8" s="9" t="inlineStr">
        <is>
          <t>Conditional alert with Connect Survey option</t>
        </is>
      </c>
      <c r="C8" s="9" t="inlineStr">
        <is>
          <t>test_tc_09 (Messaging_3)</t>
        </is>
      </c>
      <c r="D8" s="9" t="inlineStr">
        <is>
          <t>Partial</t>
        </is>
      </c>
      <c r="E8" s="9" t="inlineStr">
        <is>
          <t>TC-CAL-004, TC-CAL-005, TC-CAL-006</t>
        </is>
      </c>
      <c r="F8" s="9" t="inlineStr">
        <is>
          <t>MIGRATE + EXTEND. Same survey gap as Connect message2.</t>
        </is>
      </c>
    </row>
    <row r="9">
      <c r="A9" s="9" t="inlineStr">
        <is>
          <t>Connect message5</t>
        </is>
      </c>
      <c r="B9" s="9" t="inlineStr">
        <is>
          <t>Keyword for Connect Message</t>
        </is>
      </c>
      <c r="C9" s="9" t="inlineStr">
        <is>
          <t>-</t>
        </is>
      </c>
      <c r="D9" s="9" t="inlineStr">
        <is>
          <t>None</t>
        </is>
      </c>
      <c r="E9" s="9" t="inlineStr">
        <is>
          <t>TC-KWD-001, TC-KWD-002</t>
        </is>
      </c>
      <c r="F9" s="9" t="inlineStr">
        <is>
          <t>NEW.</t>
        </is>
      </c>
    </row>
    <row r="10">
      <c r="A10" s="9" t="inlineStr">
        <is>
          <t>Connect message6</t>
        </is>
      </c>
      <c r="B10" s="9" t="inlineStr">
        <is>
          <t>Keyword for Connect Survey</t>
        </is>
      </c>
      <c r="C10" s="9" t="inlineStr">
        <is>
          <t>-</t>
        </is>
      </c>
      <c r="D10" s="9" t="inlineStr">
        <is>
          <t>None</t>
        </is>
      </c>
      <c r="E10" s="9" t="inlineStr">
        <is>
          <t>TC-KWD-003, TC-KWD-004, TC-KWD-005</t>
        </is>
      </c>
      <c r="F10" s="9" t="inlineStr">
        <is>
          <t>NEW.</t>
        </is>
      </c>
    </row>
    <row r="11">
      <c r="A11" s="9" t="inlineStr">
        <is>
          <t>Connect message7</t>
        </is>
      </c>
      <c r="B11" s="9" t="inlineStr">
        <is>
          <t>Unsubscribe from a channel</t>
        </is>
      </c>
      <c r="C11" s="9" t="inlineStr">
        <is>
          <t>-</t>
        </is>
      </c>
      <c r="D11" s="9" t="inlineStr">
        <is>
          <t>None</t>
        </is>
      </c>
      <c r="E11" s="9" t="inlineStr">
        <is>
          <t>TC-SUB-001..004</t>
        </is>
      </c>
      <c r="F11" s="9" t="inlineStr">
        <is>
          <t>NEW.</t>
        </is>
      </c>
    </row>
    <row r="12">
      <c r="A12" s="9" t="inlineStr">
        <is>
          <t>Connect message8</t>
        </is>
      </c>
      <c r="B12" s="9" t="inlineStr">
        <is>
          <t>Resubscribe to a channel</t>
        </is>
      </c>
      <c r="C12" s="9" t="inlineStr">
        <is>
          <t>-</t>
        </is>
      </c>
      <c r="D12" s="9" t="inlineStr">
        <is>
          <t>None</t>
        </is>
      </c>
      <c r="E12" s="9" t="inlineStr">
        <is>
          <t>TC-SUB-005, TC-SUB-006</t>
        </is>
      </c>
      <c r="F12" s="9" t="inlineStr">
        <is>
          <t>NEW.</t>
        </is>
      </c>
    </row>
    <row r="13">
      <c r="A13" s="9" t="inlineStr">
        <is>
          <t>(no manual id)</t>
        </is>
      </c>
      <c r="B13" s="9" t="inlineStr">
        <is>
          <t>'What to Send' offers Connect Message + Connect Survey (alerts)</t>
        </is>
      </c>
      <c r="C13" s="9" t="inlineStr">
        <is>
          <t>test_tc_09 (Messaging_1)</t>
        </is>
      </c>
      <c r="D13" s="9" t="inlineStr">
        <is>
          <t>Full</t>
        </is>
      </c>
      <c r="E13" s="9" t="inlineStr">
        <is>
          <t>TC-CAL-001</t>
        </is>
      </c>
      <c r="F13" s="9" t="inlineStr">
        <is>
          <t>MIGRATE. Automated in legacy with no manual case behind it - worth keeping.</t>
        </is>
      </c>
    </row>
    <row r="14">
      <c r="A14" s="9" t="inlineStr">
        <is>
          <t>(no manual id)</t>
        </is>
      </c>
      <c r="B14" s="9" t="inlineStr">
        <is>
          <t>'What to Send' offers Connect Message + Connect Survey (broadcasts)</t>
        </is>
      </c>
      <c r="C14" s="9" t="inlineStr">
        <is>
          <t>test_tc_10 (Messaging_4)</t>
        </is>
      </c>
      <c r="D14" s="9" t="inlineStr">
        <is>
          <t>Full</t>
        </is>
      </c>
      <c r="E14" s="9" t="inlineStr">
        <is>
          <t>TC-BRD-001</t>
        </is>
      </c>
      <c r="F14" s="9" t="inlineStr">
        <is>
          <t>MIGRATE. As above.</t>
        </is>
      </c>
    </row>
    <row r="15">
      <c r="A15" s="9" t="inlineStr">
        <is>
          <t>(no manual id)</t>
        </is>
      </c>
      <c r="B15" s="9" t="inlineStr">
        <is>
          <t>Channel list screen renders</t>
        </is>
      </c>
      <c r="C15" s="9" t="inlineStr">
        <is>
          <t>test_tc_07 (verify_channel_list)</t>
        </is>
      </c>
      <c r="D15" s="9" t="inlineStr">
        <is>
          <t>Incidental</t>
        </is>
      </c>
      <c r="E15" s="9" t="inlineStr">
        <is>
          <t>TC-CHN-003, TC-CHN-004</t>
        </is>
      </c>
      <c r="F15" s="9" t="inlineStr">
        <is>
          <t>REPLACE. Legacy accepts empty OR populated, so it pins neither state.</t>
        </is>
      </c>
    </row>
    <row r="16">
      <c r="A16" s="9" t="inlineStr">
        <is>
          <t>(not in MTP)</t>
        </is>
      </c>
      <c r="B16" s="9" t="inlineStr">
        <is>
          <t>Unread counts, drawer badge, push deep-link, send-button gating, delivery ticks</t>
        </is>
      </c>
      <c r="C16" s="9" t="inlineStr">
        <is>
          <t>-</t>
        </is>
      </c>
      <c r="D16" s="9" t="inlineStr">
        <is>
          <t>None</t>
        </is>
      </c>
      <c r="E16" s="9" t="inlineStr">
        <is>
          <t>TC-MSG-001..006</t>
        </is>
      </c>
      <c r="F16" s="9" t="inlineStr">
        <is>
          <t>NEW. Found by reading commcare-android; absent from the manual plan.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24" customWidth="1" min="1" max="1"/>
    <col width="46" customWidth="1" min="2" max="2"/>
    <col width="44" customWidth="1" min="3" max="3"/>
    <col width="22" customWidth="1" min="4" max="4"/>
    <col width="88" customWidth="1" min="5" max="5"/>
  </cols>
  <sheetData>
    <row r="1">
      <c r="A1" s="1" t="inlineStr">
        <is>
          <t>Delivery order and current status</t>
        </is>
      </c>
    </row>
    <row r="3">
      <c r="A3" s="8" t="inlineStr">
        <is>
          <t>Stage</t>
        </is>
      </c>
      <c r="B3" s="8" t="inlineStr">
        <is>
          <t>Scope</t>
        </is>
      </c>
      <c r="C3" s="8" t="inlineStr">
        <is>
          <t>Cases</t>
        </is>
      </c>
      <c r="D3" s="8" t="inlineStr">
        <is>
          <t>Status</t>
        </is>
      </c>
      <c r="E3" s="8" t="inlineStr">
        <is>
          <t>Notes</t>
        </is>
      </c>
    </row>
    <row r="4">
      <c r="A4" s="9" t="inlineStr">
        <is>
          <t>1. HQ configuration</t>
        </is>
      </c>
      <c r="B4" s="9" t="inlineStr">
        <is>
          <t>Creating alerts, broadcasts and keywords, and the content-type options</t>
        </is>
      </c>
      <c r="C4" s="9" t="inlineStr">
        <is>
          <t>TC-CAL-001/002/004, TC-BRD-001, TC-KWD-001/003</t>
        </is>
      </c>
      <c r="D4" s="9" t="inlineStr">
        <is>
          <t>DONE - green on prod</t>
        </is>
      </c>
      <c r="E4" s="9" t="inlineStr">
        <is>
          <t>No device needed. Two HQ behaviours cost a day between them: fields bind with valueUpdate:'afterkeydown' so Playwright's fill() leaves the model empty, and select2 token fields silently drop a value if the option list has not resolved.</t>
        </is>
      </c>
    </row>
    <row r="5">
      <c r="A5" s="9" t="inlineStr">
        <is>
          <t>2. Broadcast delivery</t>
        </is>
      </c>
      <c r="B5" s="9" t="inlineStr">
        <is>
          <t>A broadcast reaching the worker's channel, and unread state</t>
        </is>
      </c>
      <c r="C5" s="9" t="inlineStr">
        <is>
          <t>TC-BRD-002/003, TC-CHN-002, TC-MSG-003/005</t>
        </is>
      </c>
      <c r="D5" s="9" t="inlineStr">
        <is>
          <t>DONE - green on prod</t>
        </is>
      </c>
      <c r="E5" s="9" t="inlineStr">
        <is>
          <t>Chosen as the first hybrid stage because a broadcast needs only a PersonalID user with a channel - no opportunity, learning, assessment or delivery - so the whole device path was exercised without waiting on an enrolled worker.</t>
        </is>
      </c>
    </row>
    <row r="6">
      <c r="A6" s="9" t="inlineStr">
        <is>
          <t>3. Worker-initiated</t>
        </is>
      </c>
      <c r="B6" s="9" t="inlineStr">
        <is>
          <t>Sending from the device: keyword trigger and free text</t>
        </is>
      </c>
      <c r="C6" s="9" t="inlineStr">
        <is>
          <t>TC-KWD-002, TC-MSG-001/002</t>
        </is>
      </c>
      <c r="D6" s="9" t="inlineStr">
        <is>
          <t>DONE - green on prod</t>
        </is>
      </c>
      <c r="E6" s="9" t="inlineStr">
        <is>
          <t>The keyword is the only send with a product consequence to assert. An outgoing bubble alone proves nothing: the app stores and renders it optimistically before the network call.</t>
        </is>
      </c>
    </row>
    <row r="7">
      <c r="A7" s="9" t="inlineStr">
        <is>
          <t>4. Consent</t>
        </is>
      </c>
      <c r="B7" s="9" t="inlineStr">
        <is>
          <t>Unsubscribe, resubscribe, and whether history survives them</t>
        </is>
      </c>
      <c r="C7" s="9" t="inlineStr">
        <is>
          <t>TC-SUB-001/002/003/005/007</t>
        </is>
      </c>
      <c r="D7" s="9" t="inlineStr">
        <is>
          <t>DONE - green on prod</t>
        </is>
      </c>
      <c r="E7" s="9" t="inlineStr">
        <is>
          <t>TC-SUB-007 was added mid-stage after a thread looked empty post-resubscribe; it turned out history is device-local and does not survive a reinstall, so the flow now seeds its own.</t>
        </is>
      </c>
    </row>
    <row r="8">
      <c r="A8" s="9" t="inlineStr">
        <is>
          <t>5. Conditional alerts</t>
        </is>
      </c>
      <c r="B8" s="9" t="inlineStr">
        <is>
          <t>An alert firing on a form submission and reaching the channel</t>
        </is>
      </c>
      <c r="C8" s="9" t="inlineStr">
        <is>
          <t>TC-CAL-003/005</t>
        </is>
      </c>
      <c r="D8" s="9" t="inlineStr">
        <is>
          <t>NEXT</t>
        </is>
      </c>
      <c r="E8" s="9" t="inlineStr">
        <is>
          <t>The last legacy port (test_tc_09). Test first whether the triggering form must come from the worker's own device: the alert matches a case property while its recipient is a user, so they may not need to be the same person - if not, this needs no enrolled worker at all.</t>
        </is>
      </c>
    </row>
    <row r="9">
      <c r="A9" s="9" t="inlineStr">
        <is>
          <t>6. Channel creation</t>
        </is>
      </c>
      <c r="B9" s="9" t="inlineStr">
        <is>
          <t>Re-requesting consent does not duplicate the channel</t>
        </is>
      </c>
      <c r="C9" s="9" t="inlineStr">
        <is>
          <t>TC-CHN-001b</t>
        </is>
      </c>
      <c r="D9" s="9" t="inlineStr">
        <is>
          <t>TO DO</t>
        </is>
      </c>
      <c r="E9" s="9" t="inlineStr">
        <is>
          <t>Needs the CONNECT MESSSAGING &gt; User Consent page mapped. TC-CHN-001a (first-time creation) is manual by nature - get_or_create makes it one-shot per worker and domain.</t>
        </is>
      </c>
    </row>
    <row r="10">
      <c r="A10" s="9" t="inlineStr">
        <is>
          <t>7. Submission proof</t>
        </is>
      </c>
      <c r="B10" s="9" t="inlineStr">
        <is>
          <t>The completed survey reached HQ</t>
        </is>
      </c>
      <c r="C10" s="9" t="inlineStr">
        <is>
          <t>TC-BRD-004, TC-CAL-006, TC-KWD-005</t>
        </is>
      </c>
      <c r="D10" s="9" t="inlineStr">
        <is>
          <t>TO DO</t>
        </is>
      </c>
      <c r="E10" s="9" t="inlineStr">
        <is>
          <t>The gap legacy left: it answers surveys but never checks HQ received anything, so a survey that renders and never submits would pass. Needs the Submit History report mapped. Answers are already unique per run so the submission is findable.</t>
        </is>
      </c>
    </row>
    <row r="11">
      <c r="A11" s="9" t="inlineStr">
        <is>
          <t>8. Consent-blocked delivery</t>
        </is>
      </c>
      <c r="B11" s="9" t="inlineStr">
        <is>
          <t>Nothing arrives while unsubscribed; delivery resumes after</t>
        </is>
      </c>
      <c r="C11" s="9" t="inlineStr">
        <is>
          <t>TC-SUB-004/006</t>
        </is>
      </c>
      <c r="D11" s="9" t="inlineStr">
        <is>
          <t>TO DO</t>
        </is>
      </c>
      <c r="E11" s="9" t="inlineStr">
        <is>
          <t>Needs two run_flows() calls with a web send between them - one build cannot be paused. ConnectID returns 400 NO_USER_CONSENT, so the first half is assertable from the web side rather than by proving absence on a device.</t>
        </is>
      </c>
    </row>
    <row r="12">
      <c r="A12" s="9" t="inlineStr">
        <is>
          <t>9. Empty state</t>
        </is>
      </c>
      <c r="B12" s="9" t="inlineStr">
        <is>
          <t>A worker in no channels sees the empty-state message</t>
        </is>
      </c>
      <c r="C12" s="9" t="inlineStr">
        <is>
          <t>TC-CHN-003</t>
        </is>
      </c>
      <c r="D12" s="9" t="inlineStr">
        <is>
          <t>BLOCKED</t>
        </is>
      </c>
      <c r="E12" s="9" t="inlineStr">
        <is>
          <t>Needs a worker subscribed to no channels. MAESTRO_MESSAGING_EMPTY_STATE currently points at the login account on the assumption it has never been added to one - unverified, and the first device run settles it.</t>
        </is>
      </c>
    </row>
    <row r="13">
      <c r="A13" s="9" t="inlineStr">
        <is>
          <t>10. Staging</t>
        </is>
      </c>
      <c r="B13" s="9" t="inlineStr">
        <is>
          <t>Everything above, on staging</t>
        </is>
      </c>
      <c r="C13" s="9" t="inlineStr">
        <is>
          <t>all</t>
        </is>
      </c>
      <c r="D13" s="9" t="inlineStr">
        <is>
          <t>BLOCKED</t>
        </is>
      </c>
      <c r="E13" s="9" t="inlineStr">
        <is>
          <t>Only the conditional-alert cases actually need it: 'Message Automation User' must be enrolled on an opportunity with a Registration Form and taken past learn and assessment. Broadcasts, keywords and consent need nothing but the account, which exists. The staging worker_user_id can be read off HQ once enrolled.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2026-08-14T06:10:25Z</dcterms:created>
  <dcterms:modified xmlns:dcterms="http://purl.org/dc/terms/" xmlns:xsi="http://www.w3.org/2001/XMLSchema-instance" xsi:type="dcterms:W3CDTF">2026-08-14T06:10:25Z</dcterms:modified>
</cp:coreProperties>
</file>