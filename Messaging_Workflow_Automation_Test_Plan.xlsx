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verage Summary" sheetId="2" state="visible" r:id="rId2"/>
    <sheet xmlns:r="http://schemas.openxmlformats.org/officeDocument/2006/relationships" name="Prerequisites" sheetId="3" state="visible" r:id="rId3"/>
    <sheet xmlns:r="http://schemas.openxmlformats.org/officeDocument/2006/relationships" name="Channel Lifecycle" sheetId="4" state="visible" r:id="rId4"/>
    <sheet xmlns:r="http://schemas.openxmlformats.org/officeDocument/2006/relationships" name="Broadcasts" sheetId="5" state="visible" r:id="rId5"/>
    <sheet xmlns:r="http://schemas.openxmlformats.org/officeDocument/2006/relationships" name="Conditional Alerts" sheetId="6" state="visible" r:id="rId6"/>
    <sheet xmlns:r="http://schemas.openxmlformats.org/officeDocument/2006/relationships" name="Keywords" sheetId="7" state="visible" r:id="rId7"/>
    <sheet xmlns:r="http://schemas.openxmlformats.org/officeDocument/2006/relationships" name="Subscription" sheetId="8" state="visible" r:id="rId8"/>
    <sheet xmlns:r="http://schemas.openxmlformats.org/officeDocument/2006/relationships" name="Message Delivery" sheetId="9" state="visible" r:id="rId9"/>
    <sheet xmlns:r="http://schemas.openxmlformats.org/officeDocument/2006/relationships" name="Regression &amp; Impact" sheetId="10" state="visible" r:id="rId10"/>
    <sheet xmlns:r="http://schemas.openxmlformats.org/officeDocument/2006/relationships" name="Legacy Coverage Map" sheetId="11" state="visible" r:id="rId11"/>
    <sheet xmlns:r="http://schemas.openxmlformats.org/officeDocument/2006/relationships" name="Delivery Waves" sheetId="12" state="visible" r:id="rId12"/>
  </sheets>
  <definedNames>
    <definedName name="_xlnm._FilterDatabase" localSheetId="3" hidden="1">'Channel Lifecycle'!$A$1:$H$10</definedName>
    <definedName name="_xlnm._FilterDatabase" localSheetId="4" hidden="1">'Broadcasts'!$A$1:$H$6</definedName>
    <definedName name="_xlnm._FilterDatabase" localSheetId="5" hidden="1">'Conditional Alerts'!$A$1:$H$9</definedName>
    <definedName name="_xlnm._FilterDatabase" localSheetId="6" hidden="1">'Keywords'!$A$1:$H$8</definedName>
    <definedName name="_xlnm._FilterDatabase" localSheetId="7" hidden="1">'Subscription'!$A$1:$H$9</definedName>
    <definedName name="_xlnm._FilterDatabase" localSheetId="8" hidden="1">'Message Delivery'!$A$1:$H$11</definedName>
    <definedName name="_xlnm._FilterDatabase" localSheetId="9" hidden="1">'Regression &amp; Impact'!$A$1:$H$6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sz val="10"/>
    </font>
    <font>
      <name val="Arial"/>
      <i val="1"/>
      <sz val="9"/>
    </font>
    <font>
      <name val="Arial"/>
      <b val="1"/>
      <i val="1"/>
      <color rgb="001F3864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" fillId="0" borderId="1" pivotButton="0" quotePrefix="0" xfId="0"/>
    <xf numFmtId="0" fontId="5" fillId="3" borderId="1" pivotButton="0" quotePrefix="0" xfId="0"/>
    <xf numFmtId="0" fontId="6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Connect Messaging - Automation Test Plan</t>
        </is>
      </c>
    </row>
    <row r="2">
      <c r="A2" s="2" t="inlineStr"/>
    </row>
    <row r="3">
      <c r="A3" s="2" t="inlineStr">
        <is>
          <t>Ticket: CCCT-2671 - End to end testing scripts for Connect messaging on mobile</t>
        </is>
      </c>
    </row>
    <row r="4">
      <c r="A4" s="2" t="inlineStr">
        <is>
          <t>https://dimagi.atlassian.net/browse/CCCT-2671</t>
        </is>
      </c>
    </row>
    <row r="5">
      <c r="A5" s="2" t="inlineStr"/>
    </row>
    <row r="6">
      <c r="A6" s="3" t="inlineStr">
        <is>
          <t>Scope</t>
        </is>
      </c>
    </row>
    <row r="7">
      <c r="A7" s="2" t="inlineStr">
        <is>
          <t>Every way a Connect message can reach a worker's device, and everything the worker can do with it.</t>
        </is>
      </c>
    </row>
    <row r="8">
      <c r="A8" s="2" t="inlineStr">
        <is>
          <t>Cases are derived from three sources: the manual 'Connect messaging' sheet in</t>
        </is>
      </c>
    </row>
    <row r="9">
      <c r="A9" s="2" t="inlineStr">
        <is>
          <t>test_plans/CCC_Mobile_App_Regression_MTP.xlsx (9 cases); the app surface read from commcare-android</t>
        </is>
      </c>
    </row>
    <row r="10">
      <c r="A10" s="2" t="inlineStr">
        <is>
          <t>(channel list, unread state, consent, push deep-link, delivery ticks, encryption keys); and the</t>
        </is>
      </c>
    </row>
    <row r="11">
      <c r="A11" s="2" t="inlineStr">
        <is>
          <t>HQ trigger types (consent request, broadcast, conditional alert, keyword).</t>
        </is>
      </c>
    </row>
    <row r="12">
      <c r="A12" s="2" t="inlineStr"/>
    </row>
    <row r="13">
      <c r="A13" s="3" t="inlineStr">
        <is>
          <t>How to read this</t>
        </is>
      </c>
    </row>
    <row r="14">
      <c r="A14" s="2" t="inlineStr">
        <is>
          <t>One sheet per functional area. 'Automation Target' names the test or flow that covers a case,</t>
        </is>
      </c>
    </row>
    <row r="15">
      <c r="A15" s="2" t="inlineStr">
        <is>
          <t>or 'Manual only'. 'Phase' says which engine runs it. Same shape as</t>
        </is>
      </c>
    </row>
    <row r="16">
      <c r="A16" s="2" t="inlineStr">
        <is>
          <t>Tasking_Workflow_Automation_Test_Plan.xlsx (PR #23) so the two plans read alike.</t>
        </is>
      </c>
    </row>
    <row r="17">
      <c r="A17" s="2" t="inlineStr"/>
    </row>
    <row r="18">
      <c r="A18" s="2" t="inlineStr">
        <is>
          <t>Legacy Coverage Map maps each manual case to what the Selenium/Appium suite already automates</t>
        </is>
      </c>
    </row>
    <row r="19">
      <c r="A19" s="2" t="inlineStr">
        <is>
          <t>(test_tc_09, test_tc_10) and what has to be built. Delivery Waves gives the suggested order.</t>
        </is>
      </c>
    </row>
    <row r="20">
      <c r="A20" s="2" t="inlineStr"/>
    </row>
    <row r="21">
      <c r="A21" s="3" t="inlineStr">
        <is>
          <t>Two constraints that shape everything here</t>
        </is>
      </c>
    </row>
    <row r="22">
      <c r="A22" s="2" t="inlineStr">
        <is>
          <t>1. Messages are end-to-end encrypted with a per-channel key held only on the device, so no test</t>
        </is>
      </c>
    </row>
    <row r="23">
      <c r="A23" s="2" t="inlineStr">
        <is>
          <t xml:space="preserve">   can assert message CONTENT server-side. Content is asserted on-device, in the app UI.</t>
        </is>
      </c>
    </row>
    <row r="24">
      <c r="A24" s="2" t="inlineStr">
        <is>
          <t>2. Chat messages do not originate in commcare-connect - it has no channel or message model. They</t>
        </is>
      </c>
    </row>
    <row r="25">
      <c r="A25" s="2" t="inlineStr">
        <is>
          <t xml:space="preserve">   come from CommCare HQ via ConnectID /messaging/ and FCM. Seeding a message means driving HQ.</t>
        </is>
      </c>
    </row>
    <row r="26">
      <c r="A26" s="2" t="inlineStr"/>
    </row>
    <row r="27">
      <c r="A27" s="2" t="inlineStr">
        <is>
          <t>Environments: every case runs on both stage and prod. The APK follows the environment</t>
        </is>
      </c>
    </row>
    <row r="28">
      <c r="A28" s="2" t="inlineStr">
        <is>
          <t>(stage -&gt; app-cccStaging-release.apk, prod -&gt; app-commcare-release.apk; same package, so they</t>
        </is>
      </c>
    </row>
    <row r="29">
      <c r="A29" s="2" t="inlineStr">
        <is>
          <t>cannot coexist), and each environment needs its own PersonalID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Coverage Summary</t>
        </is>
      </c>
    </row>
    <row r="3">
      <c r="A3" s="4" t="inlineStr">
        <is>
          <t>Area</t>
        </is>
      </c>
      <c r="B3" s="4" t="inlineStr">
        <is>
          <t>Total cases</t>
        </is>
      </c>
      <c r="C3" s="4" t="inlineStr">
        <is>
          <t>Automatable</t>
        </is>
      </c>
      <c r="D3" s="4" t="inlineStr">
        <is>
          <t>Done</t>
        </is>
      </c>
      <c r="E3" s="4" t="inlineStr">
        <is>
          <t>Left to build</t>
        </is>
      </c>
      <c r="F3" s="4" t="inlineStr">
        <is>
          <t>Manual only</t>
        </is>
      </c>
      <c r="G3" s="4" t="inlineStr">
        <is>
          <t>Web</t>
        </is>
      </c>
      <c r="H3" s="4" t="inlineStr">
        <is>
          <t>Hybrid</t>
        </is>
      </c>
      <c r="I3" s="4" t="inlineStr">
        <is>
          <t>Mobile</t>
        </is>
      </c>
    </row>
    <row r="4">
      <c r="A4" s="5" t="inlineStr">
        <is>
          <t>Channel Lifecycle</t>
        </is>
      </c>
      <c r="B4" s="5">
        <f>COUNTIF('Channel Lifecycle'!$A:$A,"TC-CHN-*")</f>
        <v/>
      </c>
      <c r="C4" s="5">
        <f>COUNTIFS('Channel Lifecycle'!$A:$A,"TC-CHN-*",'Channel Lifecycle'!$F:$F,"&lt;&gt;Manual only")</f>
        <v/>
      </c>
      <c r="D4" s="5">
        <f>COUNTIFS('Channel Lifecycle'!$A:$A,"TC-CHN-*",'Channel Lifecycle'!$G:$G,"Automated")</f>
        <v/>
      </c>
      <c r="E4" s="5">
        <f>COUNTIFS('Channel Lifecycle'!$A:$A,"TC-CHN-*",'Channel Lifecycle'!$F:$F,"&lt;&gt;Manual only")-COUNTIFS('Channel Lifecycle'!$A:$A,"TC-CHN-*",'Channel Lifecycle'!$G:$G,"Automated")</f>
        <v/>
      </c>
      <c r="F4" s="5">
        <f>COUNTIFS('Channel Lifecycle'!$A:$A,"TC-CHN-*",'Channel Lifecycle'!$F:$F,"Manual only")</f>
        <v/>
      </c>
      <c r="G4" s="5">
        <f>COUNTIFS('Channel Lifecycle'!$A:$A,"TC-CHN-*",'Channel Lifecycle'!$E:$E,"1 - Web (Playwright)")</f>
        <v/>
      </c>
      <c r="H4" s="5">
        <f>COUNTIFS('Channel Lifecycle'!$A:$A,"TC-CHN-*",'Channel Lifecycle'!$E:$E,"2 - Hybrid (Web+Mobile)")</f>
        <v/>
      </c>
      <c r="I4" s="5">
        <f>COUNTIFS('Channel Lifecycle'!$A:$A,"TC-CHN-*",'Channel Lifecycle'!$E:$E,"3 - Mobile (Maestro)")</f>
        <v/>
      </c>
    </row>
    <row r="5">
      <c r="A5" s="5" t="inlineStr">
        <is>
          <t>Broadcasts</t>
        </is>
      </c>
      <c r="B5" s="5">
        <f>COUNTIF('Broadcasts'!$A:$A,"TC-BRD-*")</f>
        <v/>
      </c>
      <c r="C5" s="5">
        <f>COUNTIFS('Broadcasts'!$A:$A,"TC-BRD-*",'Broadcasts'!$F:$F,"&lt;&gt;Manual only")</f>
        <v/>
      </c>
      <c r="D5" s="5">
        <f>COUNTIFS('Broadcasts'!$A:$A,"TC-BRD-*",'Broadcasts'!$G:$G,"Automated")</f>
        <v/>
      </c>
      <c r="E5" s="5">
        <f>COUNTIFS('Broadcasts'!$A:$A,"TC-BRD-*",'Broadcasts'!$F:$F,"&lt;&gt;Manual only")-COUNTIFS('Broadcasts'!$A:$A,"TC-BRD-*",'Broadcasts'!$G:$G,"Automated")</f>
        <v/>
      </c>
      <c r="F5" s="5">
        <f>COUNTIFS('Broadcasts'!$A:$A,"TC-BRD-*",'Broadcasts'!$F:$F,"Manual only")</f>
        <v/>
      </c>
      <c r="G5" s="5">
        <f>COUNTIFS('Broadcasts'!$A:$A,"TC-BRD-*",'Broadcasts'!$E:$E,"1 - Web (Playwright)")</f>
        <v/>
      </c>
      <c r="H5" s="5">
        <f>COUNTIFS('Broadcasts'!$A:$A,"TC-BRD-*",'Broadcasts'!$E:$E,"2 - Hybrid (Web+Mobile)")</f>
        <v/>
      </c>
      <c r="I5" s="5">
        <f>COUNTIFS('Broadcasts'!$A:$A,"TC-BRD-*",'Broadcasts'!$E:$E,"3 - Mobile (Maestro)")</f>
        <v/>
      </c>
    </row>
    <row r="6">
      <c r="A6" s="5" t="inlineStr">
        <is>
          <t>Conditional Alerts</t>
        </is>
      </c>
      <c r="B6" s="5">
        <f>COUNTIF('Conditional Alerts'!$A:$A,"TC-CAL-*")</f>
        <v/>
      </c>
      <c r="C6" s="5">
        <f>COUNTIFS('Conditional Alerts'!$A:$A,"TC-CAL-*",'Conditional Alerts'!$F:$F,"&lt;&gt;Manual only")</f>
        <v/>
      </c>
      <c r="D6" s="5">
        <f>COUNTIFS('Conditional Alerts'!$A:$A,"TC-CAL-*",'Conditional Alerts'!$G:$G,"Automated")</f>
        <v/>
      </c>
      <c r="E6" s="5">
        <f>COUNTIFS('Conditional Alerts'!$A:$A,"TC-CAL-*",'Conditional Alerts'!$F:$F,"&lt;&gt;Manual only")-COUNTIFS('Conditional Alerts'!$A:$A,"TC-CAL-*",'Conditional Alerts'!$G:$G,"Automated")</f>
        <v/>
      </c>
      <c r="F6" s="5">
        <f>COUNTIFS('Conditional Alerts'!$A:$A,"TC-CAL-*",'Conditional Alerts'!$F:$F,"Manual only")</f>
        <v/>
      </c>
      <c r="G6" s="5">
        <f>COUNTIFS('Conditional Alerts'!$A:$A,"TC-CAL-*",'Conditional Alerts'!$E:$E,"1 - Web (Playwright)")</f>
        <v/>
      </c>
      <c r="H6" s="5">
        <f>COUNTIFS('Conditional Alerts'!$A:$A,"TC-CAL-*",'Conditional Alerts'!$E:$E,"2 - Hybrid (Web+Mobile)")</f>
        <v/>
      </c>
      <c r="I6" s="5">
        <f>COUNTIFS('Conditional Alerts'!$A:$A,"TC-CAL-*",'Conditional Alerts'!$E:$E,"3 - Mobile (Maestro)")</f>
        <v/>
      </c>
    </row>
    <row r="7">
      <c r="A7" s="5" t="inlineStr">
        <is>
          <t>Keywords</t>
        </is>
      </c>
      <c r="B7" s="5">
        <f>COUNTIF('Keywords'!$A:$A,"TC-KWD-*")</f>
        <v/>
      </c>
      <c r="C7" s="5">
        <f>COUNTIFS('Keywords'!$A:$A,"TC-KWD-*",'Keywords'!$F:$F,"&lt;&gt;Manual only")</f>
        <v/>
      </c>
      <c r="D7" s="5">
        <f>COUNTIFS('Keywords'!$A:$A,"TC-KWD-*",'Keywords'!$G:$G,"Automated")</f>
        <v/>
      </c>
      <c r="E7" s="5">
        <f>COUNTIFS('Keywords'!$A:$A,"TC-KWD-*",'Keywords'!$F:$F,"&lt;&gt;Manual only")-COUNTIFS('Keywords'!$A:$A,"TC-KWD-*",'Keywords'!$G:$G,"Automated")</f>
        <v/>
      </c>
      <c r="F7" s="5">
        <f>COUNTIFS('Keywords'!$A:$A,"TC-KWD-*",'Keywords'!$F:$F,"Manual only")</f>
        <v/>
      </c>
      <c r="G7" s="5">
        <f>COUNTIFS('Keywords'!$A:$A,"TC-KWD-*",'Keywords'!$E:$E,"1 - Web (Playwright)")</f>
        <v/>
      </c>
      <c r="H7" s="5">
        <f>COUNTIFS('Keywords'!$A:$A,"TC-KWD-*",'Keywords'!$E:$E,"2 - Hybrid (Web+Mobile)")</f>
        <v/>
      </c>
      <c r="I7" s="5">
        <f>COUNTIFS('Keywords'!$A:$A,"TC-KWD-*",'Keywords'!$E:$E,"3 - Mobile (Maestro)")</f>
        <v/>
      </c>
    </row>
    <row r="8">
      <c r="A8" s="5" t="inlineStr">
        <is>
          <t>Subscription</t>
        </is>
      </c>
      <c r="B8" s="5">
        <f>COUNTIF('Subscription'!$A:$A,"TC-SUB-*")</f>
        <v/>
      </c>
      <c r="C8" s="5">
        <f>COUNTIFS('Subscription'!$A:$A,"TC-SUB-*",'Subscription'!$F:$F,"&lt;&gt;Manual only")</f>
        <v/>
      </c>
      <c r="D8" s="5">
        <f>COUNTIFS('Subscription'!$A:$A,"TC-SUB-*",'Subscription'!$G:$G,"Automated")</f>
        <v/>
      </c>
      <c r="E8" s="5">
        <f>COUNTIFS('Subscription'!$A:$A,"TC-SUB-*",'Subscription'!$F:$F,"&lt;&gt;Manual only")-COUNTIFS('Subscription'!$A:$A,"TC-SUB-*",'Subscription'!$G:$G,"Automated")</f>
        <v/>
      </c>
      <c r="F8" s="5">
        <f>COUNTIFS('Subscription'!$A:$A,"TC-SUB-*",'Subscription'!$F:$F,"Manual only")</f>
        <v/>
      </c>
      <c r="G8" s="5">
        <f>COUNTIFS('Subscription'!$A:$A,"TC-SUB-*",'Subscription'!$E:$E,"1 - Web (Playwright)")</f>
        <v/>
      </c>
      <c r="H8" s="5">
        <f>COUNTIFS('Subscription'!$A:$A,"TC-SUB-*",'Subscription'!$E:$E,"2 - Hybrid (Web+Mobile)")</f>
        <v/>
      </c>
      <c r="I8" s="5">
        <f>COUNTIFS('Subscription'!$A:$A,"TC-SUB-*",'Subscription'!$E:$E,"3 - Mobile (Maestro)")</f>
        <v/>
      </c>
    </row>
    <row r="9">
      <c r="A9" s="5" t="inlineStr">
        <is>
          <t>Message Delivery</t>
        </is>
      </c>
      <c r="B9" s="5">
        <f>COUNTIF('Message Delivery'!$A:$A,"TC-MSG-*")</f>
        <v/>
      </c>
      <c r="C9" s="5">
        <f>COUNTIFS('Message Delivery'!$A:$A,"TC-MSG-*",'Message Delivery'!$F:$F,"&lt;&gt;Manual only")</f>
        <v/>
      </c>
      <c r="D9" s="5">
        <f>COUNTIFS('Message Delivery'!$A:$A,"TC-MSG-*",'Message Delivery'!$G:$G,"Automated")</f>
        <v/>
      </c>
      <c r="E9" s="5">
        <f>COUNTIFS('Message Delivery'!$A:$A,"TC-MSG-*",'Message Delivery'!$F:$F,"&lt;&gt;Manual only")-COUNTIFS('Message Delivery'!$A:$A,"TC-MSG-*",'Message Delivery'!$G:$G,"Automated")</f>
        <v/>
      </c>
      <c r="F9" s="5">
        <f>COUNTIFS('Message Delivery'!$A:$A,"TC-MSG-*",'Message Delivery'!$F:$F,"Manual only")</f>
        <v/>
      </c>
      <c r="G9" s="5">
        <f>COUNTIFS('Message Delivery'!$A:$A,"TC-MSG-*",'Message Delivery'!$E:$E,"1 - Web (Playwright)")</f>
        <v/>
      </c>
      <c r="H9" s="5">
        <f>COUNTIFS('Message Delivery'!$A:$A,"TC-MSG-*",'Message Delivery'!$E:$E,"2 - Hybrid (Web+Mobile)")</f>
        <v/>
      </c>
      <c r="I9" s="5">
        <f>COUNTIFS('Message Delivery'!$A:$A,"TC-MSG-*",'Message Delivery'!$E:$E,"3 - Mobile (Maestro)")</f>
        <v/>
      </c>
    </row>
    <row r="10">
      <c r="A10" s="5" t="inlineStr">
        <is>
          <t>Regression &amp; Impact</t>
        </is>
      </c>
      <c r="B10" s="5">
        <f>COUNTIF('Regression &amp; Impact'!$A:$A,"TC-IMP-*")</f>
        <v/>
      </c>
      <c r="C10" s="5">
        <f>COUNTIFS('Regression &amp; Impact'!$A:$A,"TC-IMP-*",'Regression &amp; Impact'!$F:$F,"&lt;&gt;Manual only")</f>
        <v/>
      </c>
      <c r="D10" s="5">
        <f>COUNTIFS('Regression &amp; Impact'!$A:$A,"TC-IMP-*",'Regression &amp; Impact'!$G:$G,"Automated")</f>
        <v/>
      </c>
      <c r="E10" s="5">
        <f>COUNTIFS('Regression &amp; Impact'!$A:$A,"TC-IMP-*",'Regression &amp; Impact'!$F:$F,"&lt;&gt;Manual only")-COUNTIFS('Regression &amp; Impact'!$A:$A,"TC-IMP-*",'Regression &amp; Impact'!$G:$G,"Automated")</f>
        <v/>
      </c>
      <c r="F10" s="5">
        <f>COUNTIFS('Regression &amp; Impact'!$A:$A,"TC-IMP-*",'Regression &amp; Impact'!$F:$F,"Manual only")</f>
        <v/>
      </c>
      <c r="G10" s="5">
        <f>COUNTIFS('Regression &amp; Impact'!$A:$A,"TC-IMP-*",'Regression &amp; Impact'!$E:$E,"1 - Web (Playwright)")</f>
        <v/>
      </c>
      <c r="H10" s="5">
        <f>COUNTIFS('Regression &amp; Impact'!$A:$A,"TC-IMP-*",'Regression &amp; Impact'!$E:$E,"2 - Hybrid (Web+Mobile)")</f>
        <v/>
      </c>
      <c r="I10" s="5">
        <f>COUNTIFS('Regression &amp; Impact'!$A:$A,"TC-IMP-*",'Regression &amp; Impact'!$E:$E,"3 - Mobile (Maestro)")</f>
        <v/>
      </c>
    </row>
    <row r="11">
      <c r="A11" s="6" t="inlineStr">
        <is>
          <t>TOTAL</t>
        </is>
      </c>
      <c r="B11" s="6">
        <f>SUM(B4:B10)</f>
        <v/>
      </c>
      <c r="C11" s="6">
        <f>SUM(C4:C10)</f>
        <v/>
      </c>
      <c r="D11" s="6">
        <f>SUM(D4:D10)</f>
        <v/>
      </c>
      <c r="E11" s="6">
        <f>SUM(E4:E10)</f>
        <v/>
      </c>
      <c r="F11" s="6">
        <f>SUM(F4:F10)</f>
        <v/>
      </c>
      <c r="G11" s="6">
        <f>SUM(G4:G10)</f>
        <v/>
      </c>
      <c r="H11" s="6">
        <f>SUM(H4:H10)</f>
        <v/>
      </c>
      <c r="I11" s="6">
        <f>SUM(I4:I10)</f>
        <v/>
      </c>
    </row>
    <row r="13">
      <c r="A13" s="7" t="inlineStr">
        <is>
          <t>Counts are formulas over the area sheets - they update as cases are added or retargeted.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80" customWidth="1" min="3" max="3"/>
    <col width="14" customWidth="1" min="4" max="4"/>
    <col width="18" customWidth="1" min="5" max="5"/>
  </cols>
  <sheetData>
    <row r="1">
      <c r="A1" s="8" t="inlineStr">
        <is>
          <t>#</t>
        </is>
      </c>
      <c r="B1" s="8" t="inlineStr">
        <is>
          <t>Prerequisite</t>
        </is>
      </c>
      <c r="C1" s="8" t="inlineStr">
        <is>
          <t>Details</t>
        </is>
      </c>
      <c r="D1" s="8" t="inlineStr">
        <is>
          <t>Owner</t>
        </is>
      </c>
      <c r="E1" s="8" t="inlineStr">
        <is>
          <t>Status</t>
        </is>
      </c>
    </row>
    <row r="2">
      <c r="A2" s="9" t="n">
        <v>1</v>
      </c>
      <c r="B2" s="9" t="inlineStr">
        <is>
          <t>Messaging worker, one PersonalID number per environment</t>
        </is>
      </c>
      <c r="C2" s="9" t="inlineStr">
        <is>
          <t>mobile_workers.yaml MAESTRO_MESSAGING_HYBRID. Prod: CCC- Automationuser1 (+74267426121), the account legacy test_tc_09 already used - proven by every green device build. Staging: Message Automation User (+74264678161), created 2026-08-12. Different numbers per environment on purpose: a PersonalID number cannot hold a session on two at once.</t>
        </is>
      </c>
      <c r="D2" s="9" t="inlineStr">
        <is>
          <t>Nitin</t>
        </is>
      </c>
      <c r="E2" s="9" t="inlineStr">
        <is>
          <t>Prod DONE / staging account exists</t>
        </is>
      </c>
    </row>
    <row r="3">
      <c r="A3" s="9" t="n">
        <v>2</v>
      </c>
      <c r="B3" s="9" t="inlineStr">
        <is>
          <t>That worker enrolled on an opportunity with a Registration Form</t>
        </is>
      </c>
      <c r="C3" s="9" t="inlineStr">
        <is>
          <t>Needed ONLY by the conditional-alert cases (TC-CAL-003/005), which fire on a form submission. Broadcasts, keywords, consent and channel cases need nothing but a PersonalID user with a channel - which is why they were built first. Learn/assessment progress lives on OpportunityAccess, so it cannot be inherited from another opportunity.</t>
        </is>
      </c>
      <c r="D3" s="9" t="inlineStr">
        <is>
          <t>Nitin</t>
        </is>
      </c>
      <c r="E3" s="9" t="inlineStr">
        <is>
          <t>OPEN for staging</t>
        </is>
      </c>
    </row>
    <row r="4">
      <c r="A4" s="9" t="n">
        <v>3</v>
      </c>
      <c r="B4" s="9" t="inlineStr">
        <is>
          <t>A worker subscribed to no channels</t>
        </is>
      </c>
      <c r="C4" s="9" t="inlineStr">
        <is>
          <t>For the empty-state case (TC-CHN-003). MAESTRO_MESSAGING_EMPTY_STATE currently points at the login account on the assumption it has never been added to a channel. Unverified - the first device run settles it, and if the assumption holds no new account is needed.</t>
        </is>
      </c>
      <c r="D4" s="9" t="inlineStr">
        <is>
          <t>Automation</t>
        </is>
      </c>
      <c r="E4" s="9" t="inlineStr">
        <is>
          <t>To verify on first run</t>
        </is>
      </c>
    </row>
    <row r="5">
      <c r="A5" s="9" t="n">
        <v>4</v>
      </c>
      <c r="B5" s="9" t="inlineStr">
        <is>
          <t>HQ automation account with Messaging permissions</t>
        </is>
      </c>
      <c r="C5" s="9" t="inlineStr">
        <is>
          <t>Reaches Broadcasts, Conditional Alerts, Keywords and CONNECT MESSSAGING &gt; User Consent. The existing [creds] in settings.cfg work - confirmed by every green web test on connectqa-automation-prod.</t>
        </is>
      </c>
      <c r="D5" s="9" t="inlineStr">
        <is>
          <t>-</t>
        </is>
      </c>
      <c r="E5" s="9" t="inlineStr">
        <is>
          <t>DONE (prod)</t>
        </is>
      </c>
    </row>
    <row r="6">
      <c r="A6" s="9" t="n">
        <v>5</v>
      </c>
      <c r="B6" s="9" t="inlineStr">
        <is>
          <t>A survey form registered for Connect Survey content</t>
        </is>
      </c>
      <c r="C6" s="9" t="inlineStr">
        <is>
          <t>Prod: 'Delivery App - ETE &gt; Surveys &gt; Survey'. Staging: 'SMS Tests [DO NOT DELETE] &gt; Surveys &gt; Survey'. Both carried over from the legacy page object, which hardcoded them per environment; now MESSAGING.survey_form / survey_form_staging. Confirmed present in the keyword form dropdown too, so alerts, broadcasts and keywords share one value.</t>
        </is>
      </c>
      <c r="D6" s="9" t="inlineStr">
        <is>
          <t>-</t>
        </is>
      </c>
      <c r="E6" s="9" t="inlineStr">
        <is>
          <t>DONE</t>
        </is>
      </c>
    </row>
    <row r="7">
      <c r="A7" s="9" t="n">
        <v>6</v>
      </c>
      <c r="B7" s="9" t="inlineStr">
        <is>
          <t>Keywords offer the Connect content types</t>
        </is>
      </c>
      <c r="C7" s="9" t="inlineStr">
        <is>
          <t>Verified on prod: both id_sender_content_type and id_other_recipient_content_type offer ['SMS', 'No Response', 'SMS Survey', 'Connect Survey', 'Connect Message']. Keywords are served from /reminders/keywords/, not /messaging/, and are reachable only from the left sidebar.</t>
        </is>
      </c>
      <c r="D7" s="9" t="inlineStr">
        <is>
          <t>-</t>
        </is>
      </c>
      <c r="E7" s="9" t="inlineStr">
        <is>
          <t>DONE</t>
        </is>
      </c>
    </row>
    <row r="8">
      <c r="A8" s="9" t="n">
        <v>7</v>
      </c>
      <c r="B8" s="9" t="inlineStr">
        <is>
          <t>mobile_workers.yaml entries and WORKER_BY_FLOW mapping</t>
        </is>
      </c>
      <c r="C8" s="9" t="inlineStr">
        <is>
          <t>MAESTRO_MESSAGING_HYBRID and MAESTRO_MESSAGING_EMPTY_STATE added with the _staging suffix convention; every messaging flow registered in run_on_browserstack.WORKER_BY_FLOW so each resolves its own per-environment identity.</t>
        </is>
      </c>
      <c r="D8" s="9" t="inlineStr">
        <is>
          <t>Automation</t>
        </is>
      </c>
      <c r="E8" s="9" t="inlineStr">
        <is>
          <t>DONE</t>
        </is>
      </c>
    </row>
    <row r="9">
      <c r="A9" s="9" t="n">
        <v>8</v>
      </c>
      <c r="B9" s="9" t="inlineStr">
        <is>
          <t>BrowserStack credentials and APKs</t>
        </is>
      </c>
      <c r="C9" s="9" t="inlineStr">
        <is>
          <t>BROWSERSTACK_* env vars / settings.cfg, and APK_BY_ENV maps stage -&gt; app-cccStaging-release.apk, prod -&gt; app-commcare-release.apk (both 2.63.4, both package org.commcare.dalvik, so they cannot coexist on a device). NOTE: a fresh worktree needs settings.cfg copied in by hand - it is gitignored.</t>
        </is>
      </c>
      <c r="D9" s="9" t="inlineStr">
        <is>
          <t>-</t>
        </is>
      </c>
      <c r="E9" s="9" t="inlineStr">
        <is>
          <t>DONE</t>
        </is>
      </c>
    </row>
    <row r="10">
      <c r="A10" s="9" t="n">
        <v>9</v>
      </c>
      <c r="B10" s="9" t="inlineStr">
        <is>
          <t>The tasking hybrid machinery</t>
        </is>
      </c>
      <c r="C10" s="9" t="inlineStr">
        <is>
          <t>run_flows(app_env=...), flows/mobile_runner.py, env_by_flow and per-env APK selection. Merged to main in PR #23 on 2026-08-12; this branch is rebased onto it.</t>
        </is>
      </c>
      <c r="D10" s="9" t="inlineStr">
        <is>
          <t>-</t>
        </is>
      </c>
      <c r="E10" s="9" t="inlineStr">
        <is>
          <t>DONE</t>
        </is>
      </c>
    </row>
    <row r="11">
      <c r="A11" s="9" t="n">
        <v>10</v>
      </c>
      <c r="B11" s="9" t="inlineStr">
        <is>
          <t>Channel encryption key present on the device</t>
        </is>
      </c>
      <c r="C11" s="9" t="inlineStr">
        <is>
          <t>The silent-failure trap: without the per-channel key, sends no-op and inbound messages are dropped with nothing shown. Proven working rather than asserted separately - every green build decrypts and renders real message bodies, and the survey does it repeatedly across a multi-turn conversation.</t>
        </is>
      </c>
      <c r="D11" s="9" t="inlineStr">
        <is>
          <t>-</t>
        </is>
      </c>
      <c r="E11" s="9" t="inlineStr">
        <is>
          <t>DONE (proven by passing builds)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52" customWidth="1" min="3" max="3"/>
    <col width="52" customWidth="1" min="4" max="4"/>
    <col width="24" customWidth="1" min="5" max="5"/>
    <col width="30" customWidth="1" min="6" max="6"/>
    <col width="12" customWidth="1" min="7" max="7"/>
    <col width="54" customWidth="1" min="8" max="8"/>
  </cols>
  <sheetData>
    <row r="1" ht="26" customHeight="1">
      <c r="A1" s="8" t="inlineStr">
        <is>
          <t>Test Case No</t>
        </is>
      </c>
      <c r="B1" s="8" t="inlineStr">
        <is>
          <t>Description</t>
        </is>
      </c>
      <c r="C1" s="8" t="inlineStr">
        <is>
          <t>Steps to Test</t>
        </is>
      </c>
      <c r="D1" s="8" t="inlineStr">
        <is>
          <t>Expected Outcome</t>
        </is>
      </c>
      <c r="E1" s="8" t="inlineStr">
        <is>
          <t>Phase</t>
        </is>
      </c>
      <c r="F1" s="8" t="inlineStr">
        <is>
          <t>Automation Target</t>
        </is>
      </c>
      <c r="G1" s="8" t="inlineStr">
        <is>
          <t>Status</t>
        </is>
      </c>
      <c r="H1" s="8" t="inlineStr">
        <is>
          <t>Comments / Notes</t>
        </is>
      </c>
    </row>
    <row r="2">
      <c r="A2" s="10" t="inlineStr">
        <is>
          <t>Channel creation and list rendering</t>
        </is>
      </c>
      <c r="B2" s="10" t="inlineStr"/>
      <c r="C2" s="10" t="inlineStr"/>
      <c r="D2" s="10" t="inlineStr"/>
      <c r="E2" s="10" t="inlineStr"/>
      <c r="F2" s="10" t="inlineStr"/>
      <c r="G2" s="10" t="inlineStr"/>
      <c r="H2" s="10" t="inlineStr"/>
    </row>
    <row r="3">
      <c r="A3" s="9" t="inlineStr">
        <is>
          <t>TC-CHN-001a</t>
        </is>
      </c>
      <c r="B3" s="9" t="inlineStr">
        <is>
          <t>First-time consent request creates a channel</t>
        </is>
      </c>
      <c r="C3" s="9" t="inlineStr">
        <is>
          <t>1. Log in to CC HQ
2. Messaging &gt; View All (sidebar: CONNECT MESSSAGING &gt; User Consent)
3. Select the user
4. Click 'Request messaging consent'</t>
        </is>
      </c>
      <c r="D3" s="9" t="inlineStr">
        <is>
          <t>HTTP 201 from ConnectID, a 'New Channel' push fires, and the channel appears on both HQ and the device.</t>
        </is>
      </c>
      <c r="E3" s="9" t="inlineStr">
        <is>
          <t>Manual / one-off</t>
        </is>
      </c>
      <c r="F3" s="9" t="inlineStr">
        <is>
          <t>Manual only</t>
        </is>
      </c>
      <c r="G3" s="9" t="inlineStr"/>
      <c r="H3" s="9" t="inlineStr">
        <is>
          <t>Manual case 'Connect channel 1'. One-shot per (worker, HQ domain) and therefore not repeatable: ConnectID's CreateChannelView is get_or_create on (server, connect_user, channel_source), and channel_source is the HQ domain, which we do not vary. Run when onboarding a new worker.</t>
        </is>
      </c>
    </row>
    <row r="4">
      <c r="A4" s="9" t="inlineStr">
        <is>
          <t>TC-CHN-001b</t>
        </is>
      </c>
      <c r="B4" s="9" t="inlineStr">
        <is>
          <t>Repeating the consent request does not duplicate the channel</t>
        </is>
      </c>
      <c r="C4" s="9" t="inlineStr">
        <is>
          <t>1. With a channel already present, request consent again for the same user</t>
        </is>
      </c>
      <c r="D4" s="9" t="inlineStr">
        <is>
          <t>HTTP 200 rather than 201, the same channel_id is returned, no second channel appears and no push is sent.</t>
        </is>
      </c>
      <c r="E4" s="9" t="inlineStr">
        <is>
          <t>1 - Web (Playwright)</t>
        </is>
      </c>
      <c r="F4" s="9" t="inlineStr">
        <is>
          <t>W3 test_messaging_channel_creation</t>
        </is>
      </c>
      <c r="G4" s="9" t="inlineStr"/>
      <c r="H4" s="9" t="inlineStr">
        <is>
          <t>The repeatable half of 'Connect channel 1', and the more valuable regression guard: it is what stops a duplicate channel appearing every time consent is re-requested.</t>
        </is>
      </c>
    </row>
    <row r="5">
      <c r="A5" s="9" t="inlineStr">
        <is>
          <t>TC-CHN-002</t>
        </is>
      </c>
      <c r="B5" s="9" t="inlineStr">
        <is>
          <t>The consented channel appears in the mobile channel list</t>
        </is>
      </c>
      <c r="C5" s="9" t="inlineStr">
        <is>
          <t>1. WEB: request consent as in TC-CHN-001
2. MOBILE: sign in with PersonalID
3. Open the nav drawer &gt; Messaging</t>
        </is>
      </c>
      <c r="D5" s="9" t="inlineStr">
        <is>
          <t>The new channel is listed in 'Channels' with its name (the HQ domain, e.g. connectqa-automation).</t>
        </is>
      </c>
      <c r="E5" s="9" t="inlineStr">
        <is>
          <t>2 - Hybrid (Web+Mobile)</t>
        </is>
      </c>
      <c r="F5" s="9" t="inlineStr">
        <is>
          <t>messaging_broadcast.yaml (asserted before opening the channel)</t>
        </is>
      </c>
      <c r="G5" s="9" t="inlineStr">
        <is>
          <t>Automated</t>
        </is>
      </c>
      <c r="H5" s="9" t="inlineStr">
        <is>
          <t>Channel name comes from the channel_source JSON key (META_CHANNEL_NAME), which is the HQ domain - hence connectqa-automation on stage vs connectqa-automation-prod on prod.</t>
        </is>
      </c>
    </row>
    <row r="6">
      <c r="A6" s="9" t="inlineStr">
        <is>
          <t>TC-CHN-003</t>
        </is>
      </c>
      <c r="B6" s="9" t="inlineStr">
        <is>
          <t>Channel list empty state</t>
        </is>
      </c>
      <c r="C6" s="9" t="inlineStr">
        <is>
          <t>1. Sign in as a worker subscribed to no channels
2. Nav drawer &gt; Messaging</t>
        </is>
      </c>
      <c r="D6" s="9" t="inlineStr">
        <is>
          <t>tv_no_channel_msg reads "You're not subscribed to any messaging channels. Once you have been added to a channel, it will appear in this list"; no channel rows; no unread badge on the drawer entry.</t>
        </is>
      </c>
      <c r="E6" s="9" t="inlineStr">
        <is>
          <t>3 - Mobile (Maestro)</t>
        </is>
      </c>
      <c r="F6" s="9" t="inlineStr">
        <is>
          <t>M3 messaging_empty_state.yaml</t>
        </is>
      </c>
      <c r="G6" s="9" t="inlineStr"/>
      <c r="H6" s="9" t="inlineStr">
        <is>
          <t>Needs the dedicated no-channel worker (prerequisite #3). Legacy verify_channel_list() accepts empty OR populated, so it never actually pins this state.</t>
        </is>
      </c>
    </row>
    <row r="7">
      <c r="A7" s="9" t="inlineStr">
        <is>
          <t>TC-CHN-004</t>
        </is>
      </c>
      <c r="B7" s="9" t="inlineStr">
        <is>
          <t>Channel row renders its metadata</t>
        </is>
      </c>
      <c r="C7" s="9" t="inlineStr">
        <is>
          <t>1. Open Messaging with at least one channel present</t>
        </is>
      </c>
      <c r="D7" s="9" t="inlineStr">
        <is>
          <t>The row shows tvChannelName, tvChannelDescription (last-message preview) and tvLastChatTime.</t>
        </is>
      </c>
      <c r="E7" s="9" t="inlineStr">
        <is>
          <t>3 - Mobile (Maestro)</t>
        </is>
      </c>
      <c r="F7" s="9" t="inlineStr">
        <is>
          <t>M1 messaging_channel_list.yaml</t>
        </is>
      </c>
      <c r="G7" s="9" t="inlineStr"/>
      <c r="H7" s="9" t="inlineStr">
        <is>
          <t>item_channel.xml. The tappable target is itemRootLayout, not tvChannelName - tapping the name alone does nothing.</t>
        </is>
      </c>
    </row>
    <row r="8">
      <c r="A8" s="9" t="inlineStr">
        <is>
          <t>TC-CHN-005</t>
        </is>
      </c>
      <c r="B8" s="9" t="inlineStr">
        <is>
          <t>Channel encryption key is present before any assertion</t>
        </is>
      </c>
      <c r="C8" s="9" t="inlineStr">
        <is>
          <t>1. Open the channel
2. Type into etMessage
3. Assert imgSendMessage becomes visible</t>
        </is>
      </c>
      <c r="D8" s="9" t="inlineStr">
        <is>
          <t>The send control appears, proving the channel key synced (the button is gated on consent AND non-empty input; MessageManager.sendMessage no-ops without a key).</t>
        </is>
      </c>
      <c r="E8" s="9" t="inlineStr">
        <is>
          <t>3 - Mobile (Maestro)</t>
        </is>
      </c>
      <c r="F8" s="9" t="inlineStr">
        <is>
          <t>Shared precondition step (all flows)</t>
        </is>
      </c>
      <c r="G8" s="9" t="inlineStr"/>
      <c r="H8" s="9" t="inlineStr">
        <is>
          <t>Not a user-facing case - a guard. Without it, a key-sync failure and a genuine delivery failure look identical, and we would chase a phantom product bug. MessagingChannelsKeySyncWorker backfills keys for consented keyless channels.</t>
        </is>
      </c>
    </row>
    <row r="9">
      <c r="A9" s="9" t="inlineStr">
        <is>
          <t>TC-CHN-006</t>
        </is>
      </c>
      <c r="B9" s="9" t="inlineStr">
        <is>
          <t>Subscribed channels sort before unsubscribed ones</t>
        </is>
      </c>
      <c r="C9" s="9" t="inlineStr">
        <is>
          <t>1. Have one subscribed and one unsubscribed channel
2. Open Messaging</t>
        </is>
      </c>
      <c r="D9" s="9" t="inlineStr">
        <is>
          <t>Subscribed channels listed first, unsubscribed appended below.</t>
        </is>
      </c>
      <c r="E9" s="9" t="inlineStr">
        <is>
          <t>3 - Mobile (Maestro)</t>
        </is>
      </c>
      <c r="F9" s="9" t="inlineStr">
        <is>
          <t>M2 messaging_subscription.yaml</t>
        </is>
      </c>
      <c r="G9" s="9" t="inlineStr"/>
      <c r="H9" s="9" t="inlineStr">
        <is>
          <t>ChannelAdapter.setChannels. Cheap to assert once TC-SUB-001 has produced an unsubscribed channel in the same session.</t>
        </is>
      </c>
    </row>
    <row r="10">
      <c r="A10" s="9" t="inlineStr">
        <is>
          <t>TC-CHN-007</t>
        </is>
      </c>
      <c r="B10" s="9" t="inlineStr">
        <is>
          <t>Opening a channel sets the screen title to the channel name</t>
        </is>
      </c>
      <c r="C10" s="9" t="inlineStr">
        <is>
          <t>1. Tap a channel row</t>
        </is>
      </c>
      <c r="D10" s="9" t="inlineStr">
        <is>
          <t>The chat screen opens with the channel name as the activity title, and etMessage present.</t>
        </is>
      </c>
      <c r="E10" s="9" t="inlineStr">
        <is>
          <t>3 - Mobile (Maestro)</t>
        </is>
      </c>
      <c r="F10" s="9" t="inlineStr">
        <is>
          <t>M1 messaging_channel_list.yaml</t>
        </is>
      </c>
      <c r="G10" s="9" t="inlineStr"/>
      <c r="H10" s="9" t="inlineStr">
        <is>
          <t>Legacy open_channel_on_message() asserts only that MESSAGE_INPUT is displayed.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52" customWidth="1" min="3" max="3"/>
    <col width="52" customWidth="1" min="4" max="4"/>
    <col width="24" customWidth="1" min="5" max="5"/>
    <col width="30" customWidth="1" min="6" max="6"/>
    <col width="12" customWidth="1" min="7" max="7"/>
    <col width="54" customWidth="1" min="8" max="8"/>
  </cols>
  <sheetData>
    <row r="1" ht="26" customHeight="1">
      <c r="A1" s="8" t="inlineStr">
        <is>
          <t>Test Case No</t>
        </is>
      </c>
      <c r="B1" s="8" t="inlineStr">
        <is>
          <t>Description</t>
        </is>
      </c>
      <c r="C1" s="8" t="inlineStr">
        <is>
          <t>Steps to Test</t>
        </is>
      </c>
      <c r="D1" s="8" t="inlineStr">
        <is>
          <t>Expected Outcome</t>
        </is>
      </c>
      <c r="E1" s="8" t="inlineStr">
        <is>
          <t>Phase</t>
        </is>
      </c>
      <c r="F1" s="8" t="inlineStr">
        <is>
          <t>Automation Target</t>
        </is>
      </c>
      <c r="G1" s="8" t="inlineStr">
        <is>
          <t>Status</t>
        </is>
      </c>
      <c r="H1" s="8" t="inlineStr">
        <is>
          <t>Comments / Notes</t>
        </is>
      </c>
    </row>
    <row r="2">
      <c r="A2" s="10" t="inlineStr">
        <is>
          <t>Broadcasts (Messaging &gt; Broadcasts)</t>
        </is>
      </c>
      <c r="B2" s="10" t="inlineStr"/>
      <c r="C2" s="10" t="inlineStr"/>
      <c r="D2" s="10" t="inlineStr"/>
      <c r="E2" s="10" t="inlineStr"/>
      <c r="F2" s="10" t="inlineStr"/>
      <c r="G2" s="10" t="inlineStr"/>
      <c r="H2" s="10" t="inlineStr"/>
    </row>
    <row r="3">
      <c r="A3" s="9" t="inlineStr">
        <is>
          <t>TC-BRD-001</t>
        </is>
      </c>
      <c r="B3" s="9" t="inlineStr">
        <is>
          <t>'What to Send' offers the two Connect options</t>
        </is>
      </c>
      <c r="C3" s="9" t="inlineStr">
        <is>
          <t>1. Messaging &gt; Broadcasts
2. Click '+ Add Broadcast'
3. Open the 'What to Send' dropdown</t>
        </is>
      </c>
      <c r="D3" s="9" t="inlineStr">
        <is>
          <t>Both 'Connect Message' and 'Connect Survey' are offered.</t>
        </is>
      </c>
      <c r="E3" s="9" t="inlineStr">
        <is>
          <t>1 - Web (Playwright)</t>
        </is>
      </c>
      <c r="F3" s="9" t="inlineStr">
        <is>
          <t>test_messaging_web::test_broadcast_offers_connect_content_types</t>
        </is>
      </c>
      <c r="G3" s="9" t="inlineStr">
        <is>
          <t>Automated</t>
        </is>
      </c>
      <c r="H3" s="9" t="inlineStr">
        <is>
          <t>Legacy Messaging_4 in test_tc_10. Pure web - migrates unchanged.</t>
        </is>
      </c>
    </row>
    <row r="4">
      <c r="A4" s="9" t="inlineStr">
        <is>
          <t>TC-BRD-002</t>
        </is>
      </c>
      <c r="B4" s="9" t="inlineStr">
        <is>
          <t>Broadcast with Connect Message is received in the channel</t>
        </is>
      </c>
      <c r="C4" s="9" t="inlineStr">
        <is>
          <t>1. WEB: create a broadcast, content type 'Connect Message', recipient = the test worker
2. MOBILE: open Messaging &gt; the channel
3. Assert the broadcast body appears as an incoming message</t>
        </is>
      </c>
      <c r="D4" s="9" t="inlineStr">
        <is>
          <t>The exact broadcast text renders in an incoming bubble (tvChatMessage) with a timestamp (tvChatDate).</t>
        </is>
      </c>
      <c r="E4" s="9" t="inlineStr">
        <is>
          <t>2 - Hybrid (Web+Mobile)</t>
        </is>
      </c>
      <c r="F4" s="9" t="inlineStr">
        <is>
          <t>test_messaging_hybrid::test_broadcast_connect_message_reaches_the_channel + messaging_broadcast.yaml</t>
        </is>
      </c>
      <c r="G4" s="9" t="inlineStr">
        <is>
          <t>Automated</t>
        </is>
      </c>
      <c r="H4" s="9" t="inlineStr">
        <is>
          <t>Manual 'Connect message1'; legacy Messaging_5. Migrates as-is. Legacy asserts the message text it generated, which is the stronger form and should be kept.</t>
        </is>
      </c>
    </row>
    <row r="5">
      <c r="A5" s="9" t="inlineStr">
        <is>
          <t>TC-BRD-003</t>
        </is>
      </c>
      <c r="B5" s="9" t="inlineStr">
        <is>
          <t>Broadcast with Connect Survey is received and answerable</t>
        </is>
      </c>
      <c r="C5" s="9" t="inlineStr">
        <is>
          <t>1. WEB: create a broadcast, content type 'Connect Survey'
2. MOBILE: the first question arrives as a message
3. Answer it in etMessage and send
4. Repeat until the form completes</t>
        </is>
      </c>
      <c r="D5" s="9" t="inlineStr">
        <is>
          <t>Each answer produces the next question; the conversation terminates when the form is complete.</t>
        </is>
      </c>
      <c r="E5" s="9" t="inlineStr">
        <is>
          <t>2 - Hybrid (Web+Mobile)</t>
        </is>
      </c>
      <c r="F5" s="9" t="inlineStr">
        <is>
          <t>test_messaging_hybrid::test_broadcast_connect_survey_is_answerable + messaging_survey.yaml</t>
        </is>
      </c>
      <c r="G5" s="9" t="inlineStr">
        <is>
          <t>Automated</t>
        </is>
      </c>
      <c r="H5" s="9" t="inlineStr">
        <is>
          <t>Manual 'Connect message2'; legacy Messaging_6, but legacy hardcodes exactly two questions ('Name' -&gt; 'test user', 'ID' -&gt; '101') and stops there. Replace with a question loop driven by the form definition.</t>
        </is>
      </c>
    </row>
    <row r="6">
      <c r="A6" s="9" t="inlineStr">
        <is>
          <t>TC-BRD-004</t>
        </is>
      </c>
      <c r="B6" s="9" t="inlineStr">
        <is>
          <t>The completed survey submission is visible on HQ</t>
        </is>
      </c>
      <c r="C6" s="9" t="inlineStr">
        <is>
          <t>1. After TC-BRD-003 completes
2. WEB: open the form's submission history on HQ</t>
        </is>
      </c>
      <c r="D6" s="9" t="inlineStr">
        <is>
          <t>A submission exists for the test worker, carrying the answers just given.</t>
        </is>
      </c>
      <c r="E6" s="9" t="inlineStr">
        <is>
          <t>1 - Web (Playwright)</t>
        </is>
      </c>
      <c r="F6" s="9" t="inlineStr">
        <is>
          <t>W2 test_messaging_broadcasts</t>
        </is>
      </c>
      <c r="G6" s="9" t="inlineStr"/>
      <c r="H6" s="9" t="inlineStr">
        <is>
          <t>GAP vs legacy. The manual outcome requires 'Form should get submit and able to verify it on the submit history'; legacy never checks HQ received anything, so a survey that renders but never submits would pass today.</t>
        </is>
      </c>
    </row>
  </sheetData>
  <autoFilter ref="A1:H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52" customWidth="1" min="3" max="3"/>
    <col width="52" customWidth="1" min="4" max="4"/>
    <col width="24" customWidth="1" min="5" max="5"/>
    <col width="30" customWidth="1" min="6" max="6"/>
    <col width="12" customWidth="1" min="7" max="7"/>
    <col width="54" customWidth="1" min="8" max="8"/>
  </cols>
  <sheetData>
    <row r="1" ht="26" customHeight="1">
      <c r="A1" s="8" t="inlineStr">
        <is>
          <t>Test Case No</t>
        </is>
      </c>
      <c r="B1" s="8" t="inlineStr">
        <is>
          <t>Description</t>
        </is>
      </c>
      <c r="C1" s="8" t="inlineStr">
        <is>
          <t>Steps to Test</t>
        </is>
      </c>
      <c r="D1" s="8" t="inlineStr">
        <is>
          <t>Expected Outcome</t>
        </is>
      </c>
      <c r="E1" s="8" t="inlineStr">
        <is>
          <t>Phase</t>
        </is>
      </c>
      <c r="F1" s="8" t="inlineStr">
        <is>
          <t>Automation Target</t>
        </is>
      </c>
      <c r="G1" s="8" t="inlineStr">
        <is>
          <t>Status</t>
        </is>
      </c>
      <c r="H1" s="8" t="inlineStr">
        <is>
          <t>Comments / Notes</t>
        </is>
      </c>
    </row>
    <row r="2">
      <c r="A2" s="10" t="inlineStr">
        <is>
          <t>Conditional Alerts (Messaging &gt; Conditional Alerts)</t>
        </is>
      </c>
      <c r="B2" s="10" t="inlineStr"/>
      <c r="C2" s="10" t="inlineStr"/>
      <c r="D2" s="10" t="inlineStr"/>
      <c r="E2" s="10" t="inlineStr"/>
      <c r="F2" s="10" t="inlineStr"/>
      <c r="G2" s="10" t="inlineStr"/>
      <c r="H2" s="10" t="inlineStr"/>
    </row>
    <row r="3">
      <c r="A3" s="9" t="inlineStr">
        <is>
          <t>TC-CAL-001</t>
        </is>
      </c>
      <c r="B3" s="9" t="inlineStr">
        <is>
          <t>'What to Send' offers the two Connect options</t>
        </is>
      </c>
      <c r="C3" s="9" t="inlineStr">
        <is>
          <t>1. Messaging &gt; Conditional Alerts
2. Open the 'What to Send' dropdown</t>
        </is>
      </c>
      <c r="D3" s="9" t="inlineStr">
        <is>
          <t>Both 'Connect Message' and 'Connect Survey' are offered.</t>
        </is>
      </c>
      <c r="E3" s="9" t="inlineStr">
        <is>
          <t>1 - Web (Playwright)</t>
        </is>
      </c>
      <c r="F3" s="9" t="inlineStr">
        <is>
          <t>test_messaging_web::test_conditional_alert_offers_connect_content_types</t>
        </is>
      </c>
      <c r="G3" s="9" t="inlineStr">
        <is>
          <t>Automated</t>
        </is>
      </c>
      <c r="H3" s="9" t="inlineStr">
        <is>
          <t>Legacy Messaging_1 in test_tc_09. Pure web - migrates unchanged.</t>
        </is>
      </c>
    </row>
    <row r="4">
      <c r="A4" s="9" t="inlineStr">
        <is>
          <t>TC-CAL-002</t>
        </is>
      </c>
      <c r="B4" s="9" t="inlineStr">
        <is>
          <t>Create a conditional alert with Connect Message</t>
        </is>
      </c>
      <c r="C4" s="9" t="inlineStr">
        <is>
          <t>1. Create an alert, content type 'Connect Message'
2. Recipient = the test worker
3. Condition keyed on a unique entity id for this run</t>
        </is>
      </c>
      <c r="D4" s="9" t="inlineStr">
        <is>
          <t>Alert saves and is listed.</t>
        </is>
      </c>
      <c r="E4" s="9" t="inlineStr">
        <is>
          <t>1 - Web (Playwright)</t>
        </is>
      </c>
      <c r="F4" s="9" t="inlineStr">
        <is>
          <t>test_messaging_web::test_create_connect_message_conditional_alert</t>
        </is>
      </c>
      <c r="G4" s="9" t="inlineStr">
        <is>
          <t>Automated</t>
        </is>
      </c>
      <c r="H4" s="9" t="inlineStr">
        <is>
          <t>Legacy Messaging_2. Legacy deletes any same-named alert first ('Automation Message Alert') - keep that, alerts accumulate.</t>
        </is>
      </c>
    </row>
    <row r="5">
      <c r="A5" s="9" t="inlineStr">
        <is>
          <t>TC-CAL-003</t>
        </is>
      </c>
      <c r="B5" s="9" t="inlineStr">
        <is>
          <t>The alert fires on a matching form submission</t>
        </is>
      </c>
      <c r="C5" s="9" t="inlineStr">
        <is>
          <t>1. MOBILE: open the deliver app for the opportunity
2. Submit the Registration Form with the run's unique entity id
3. Open Messaging &gt; the channel</t>
        </is>
      </c>
      <c r="D5" s="9" t="inlineStr">
        <is>
          <t>The alert's message arrives in the channel.</t>
        </is>
      </c>
      <c r="E5" s="9" t="inlineStr">
        <is>
          <t>2 - Hybrid (Web+Mobile)</t>
        </is>
      </c>
      <c r="F5" s="9" t="inlineStr">
        <is>
          <t>W1 test_messaging_conditional_alerts</t>
        </is>
      </c>
      <c r="G5" s="9" t="inlineStr"/>
      <c r="H5" s="9" t="inlineStr">
        <is>
          <t>Manual 'Connect message3'; legacy Messaging_2's mobile half. The entity id is the join between the HQ condition and the mobile submission - it must be unique per run.</t>
        </is>
      </c>
    </row>
    <row r="6">
      <c r="A6" s="9" t="inlineStr">
        <is>
          <t>TC-CAL-004</t>
        </is>
      </c>
      <c r="B6" s="9" t="inlineStr">
        <is>
          <t>Create a conditional alert with Connect Survey</t>
        </is>
      </c>
      <c r="C6" s="9" t="inlineStr">
        <is>
          <t>1. Create a second alert, content type 'Connect Survey', same condition</t>
        </is>
      </c>
      <c r="D6" s="9" t="inlineStr">
        <is>
          <t>Alert saves and is listed.</t>
        </is>
      </c>
      <c r="E6" s="9" t="inlineStr">
        <is>
          <t>1 - Web (Playwright)</t>
        </is>
      </c>
      <c r="F6" s="9" t="inlineStr">
        <is>
          <t>test_messaging_web::test_create_connect_survey_conditional_alert</t>
        </is>
      </c>
      <c r="G6" s="9" t="inlineStr">
        <is>
          <t>Automated</t>
        </is>
      </c>
      <c r="H6" s="9" t="inlineStr">
        <is>
          <t>Legacy Messaging_3 ('Automation Survey Alert').</t>
        </is>
      </c>
    </row>
    <row r="7">
      <c r="A7" s="9" t="inlineStr">
        <is>
          <t>TC-CAL-005</t>
        </is>
      </c>
      <c r="B7" s="9" t="inlineStr">
        <is>
          <t>The survey is delivered on trigger and is answerable</t>
        </is>
      </c>
      <c r="C7" s="9" t="inlineStr">
        <is>
          <t>1. After the same form submission
2. Answer each question in the channel until the form completes</t>
        </is>
      </c>
      <c r="D7" s="9" t="inlineStr">
        <is>
          <t>Questions arrive in sequence and each answer advances the form.</t>
        </is>
      </c>
      <c r="E7" s="9" t="inlineStr">
        <is>
          <t>2 - Hybrid (Web+Mobile)</t>
        </is>
      </c>
      <c r="F7" s="9" t="inlineStr">
        <is>
          <t>W1 test_messaging_conditional_alerts</t>
        </is>
      </c>
      <c r="G7" s="9" t="inlineStr"/>
      <c r="H7" s="9" t="inlineStr">
        <is>
          <t>Manual 'Connect message4'; legacy Messaging_3. Same hardcoded-questions gap as TC-BRD-003.</t>
        </is>
      </c>
    </row>
    <row r="8">
      <c r="A8" s="9" t="inlineStr">
        <is>
          <t>TC-CAL-006</t>
        </is>
      </c>
      <c r="B8" s="9" t="inlineStr">
        <is>
          <t>The completed survey submission is visible on HQ</t>
        </is>
      </c>
      <c r="C8" s="9" t="inlineStr">
        <is>
          <t>1. WEB: open the form's submission history after TC-CAL-005</t>
        </is>
      </c>
      <c r="D8" s="9" t="inlineStr">
        <is>
          <t>A submission exists for the test worker with the given answers.</t>
        </is>
      </c>
      <c r="E8" s="9" t="inlineStr">
        <is>
          <t>1 - Web (Playwright)</t>
        </is>
      </c>
      <c r="F8" s="9" t="inlineStr">
        <is>
          <t>W1 test_messaging_conditional_alerts</t>
        </is>
      </c>
      <c r="G8" s="9" t="inlineStr"/>
      <c r="H8" s="9" t="inlineStr">
        <is>
          <t>GAP vs legacy - same as TC-BRD-004.</t>
        </is>
      </c>
    </row>
    <row r="9">
      <c r="A9" s="9" t="inlineStr">
        <is>
          <t>TC-CAL-007</t>
        </is>
      </c>
      <c r="B9" s="9" t="inlineStr">
        <is>
          <t>An alert does not fire when the condition is not met</t>
        </is>
      </c>
      <c r="C9" s="9" t="inlineStr">
        <is>
          <t>1. Submit the form with an entity id that does not match the alert condition
2. Watch the channel</t>
        </is>
      </c>
      <c r="D9" s="9" t="inlineStr">
        <is>
          <t>No new message arrives for that alert.</t>
        </is>
      </c>
      <c r="E9" s="9" t="inlineStr">
        <is>
          <t>Manual / one-off</t>
        </is>
      </c>
      <c r="F9" s="9" t="inlineStr">
        <is>
          <t>Manual only</t>
        </is>
      </c>
      <c r="G9" s="9" t="inlineStr"/>
      <c r="H9" s="9" t="inlineStr">
        <is>
          <t>Negative case over an async pipeline - proving absence needs an arbitrary wait, and a slow staging round trip would read as a pass. Better left manual than automated unreliably.</t>
        </is>
      </c>
    </row>
  </sheetData>
  <autoFilter ref="A1:H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52" customWidth="1" min="3" max="3"/>
    <col width="52" customWidth="1" min="4" max="4"/>
    <col width="24" customWidth="1" min="5" max="5"/>
    <col width="30" customWidth="1" min="6" max="6"/>
    <col width="12" customWidth="1" min="7" max="7"/>
    <col width="54" customWidth="1" min="8" max="8"/>
  </cols>
  <sheetData>
    <row r="1" ht="26" customHeight="1">
      <c r="A1" s="8" t="inlineStr">
        <is>
          <t>Test Case No</t>
        </is>
      </c>
      <c r="B1" s="8" t="inlineStr">
        <is>
          <t>Description</t>
        </is>
      </c>
      <c r="C1" s="8" t="inlineStr">
        <is>
          <t>Steps to Test</t>
        </is>
      </c>
      <c r="D1" s="8" t="inlineStr">
        <is>
          <t>Expected Outcome</t>
        </is>
      </c>
      <c r="E1" s="8" t="inlineStr">
        <is>
          <t>Phase</t>
        </is>
      </c>
      <c r="F1" s="8" t="inlineStr">
        <is>
          <t>Automation Target</t>
        </is>
      </c>
      <c r="G1" s="8" t="inlineStr">
        <is>
          <t>Status</t>
        </is>
      </c>
      <c r="H1" s="8" t="inlineStr">
        <is>
          <t>Comments / Notes</t>
        </is>
      </c>
    </row>
    <row r="2">
      <c r="A2" s="10" t="inlineStr">
        <is>
          <t>Keywords (Messaging &gt; Keywords)</t>
        </is>
      </c>
      <c r="B2" s="10" t="inlineStr"/>
      <c r="C2" s="10" t="inlineStr"/>
      <c r="D2" s="10" t="inlineStr"/>
      <c r="E2" s="10" t="inlineStr"/>
      <c r="F2" s="10" t="inlineStr"/>
      <c r="G2" s="10" t="inlineStr"/>
      <c r="H2" s="10" t="inlineStr"/>
    </row>
    <row r="3">
      <c r="A3" s="9" t="inlineStr">
        <is>
          <t>TC-KWD-001</t>
        </is>
      </c>
      <c r="B3" s="9" t="inlineStr">
        <is>
          <t>Create a keyword with Connect Message content</t>
        </is>
      </c>
      <c r="C3" s="9" t="inlineStr">
        <is>
          <t>1. Messaging &gt; Keywords
2. Create a keyword, content type 'Connect Message'</t>
        </is>
      </c>
      <c r="D3" s="9" t="inlineStr">
        <is>
          <t>Keyword saves and is listed.</t>
        </is>
      </c>
      <c r="E3" s="9" t="inlineStr">
        <is>
          <t>1 - Web (Playwright)</t>
        </is>
      </c>
      <c r="F3" s="9" t="inlineStr">
        <is>
          <t>test_messaging_web::test_create_keyword_with_connect_message</t>
        </is>
      </c>
      <c r="G3" s="9" t="inlineStr">
        <is>
          <t>Automated</t>
        </is>
      </c>
      <c r="H3" s="9" t="inlineStr">
        <is>
          <t>No legacy automation at all. Confirm the content type is offered (prerequisite #6) before committing to this wave.</t>
        </is>
      </c>
    </row>
    <row r="4">
      <c r="A4" s="9" t="inlineStr">
        <is>
          <t>TC-KWD-002</t>
        </is>
      </c>
      <c r="B4" s="9" t="inlineStr">
        <is>
          <t>Triggering the keyword from the channel returns a message</t>
        </is>
      </c>
      <c r="C4" s="9" t="inlineStr">
        <is>
          <t>1. MOBILE: open the channel
2. Type the keyword into etMessage and send
3. Wait for the reply</t>
        </is>
      </c>
      <c r="D4" s="9" t="inlineStr">
        <is>
          <t>The keyword's configured Connect Message arrives as an incoming message.</t>
        </is>
      </c>
      <c r="E4" s="9" t="inlineStr">
        <is>
          <t>2 - Hybrid (Web+Mobile)</t>
        </is>
      </c>
      <c r="F4" s="9" t="inlineStr">
        <is>
          <t>test_messaging_hybrid::test_keyword_triggered_from_channel_returns_a_message + messaging_keyword.yaml</t>
        </is>
      </c>
      <c r="G4" s="9" t="inlineStr">
        <is>
          <t>Automated</t>
        </is>
      </c>
      <c r="H4" s="9" t="inlineStr">
        <is>
          <t>Manual 'Connect message5'. This is the only case that exercises the worker-initiated send path with a product consequence to assert - it subsumes a standalone 'send free text' test.</t>
        </is>
      </c>
    </row>
    <row r="5">
      <c r="A5" s="9" t="inlineStr">
        <is>
          <t>TC-KWD-003</t>
        </is>
      </c>
      <c r="B5" s="9" t="inlineStr">
        <is>
          <t>Create a keyword with Connect Survey content</t>
        </is>
      </c>
      <c r="C5" s="9" t="inlineStr">
        <is>
          <t>1. Messaging &gt; Keywords
2. Create a keyword, content type 'Connect Survey'</t>
        </is>
      </c>
      <c r="D5" s="9" t="inlineStr">
        <is>
          <t>Keyword saves and is listed.</t>
        </is>
      </c>
      <c r="E5" s="9" t="inlineStr">
        <is>
          <t>1 - Web (Playwright)</t>
        </is>
      </c>
      <c r="F5" s="9" t="inlineStr">
        <is>
          <t>test_messaging_web::test_create_keyword_with_connect_survey</t>
        </is>
      </c>
      <c r="G5" s="9" t="inlineStr">
        <is>
          <t>Automated</t>
        </is>
      </c>
      <c r="H5" s="9" t="inlineStr"/>
    </row>
    <row r="6">
      <c r="A6" s="9" t="inlineStr">
        <is>
          <t>TC-KWD-004</t>
        </is>
      </c>
      <c r="B6" s="9" t="inlineStr">
        <is>
          <t>Triggering the keyword returns a survey that can be completed</t>
        </is>
      </c>
      <c r="C6" s="9" t="inlineStr">
        <is>
          <t>1. MOBILE: send the keyword in the channel
2. Answer each question until the form completes</t>
        </is>
      </c>
      <c r="D6" s="9" t="inlineStr">
        <is>
          <t>The first question arrives; each answer advances the form to completion.</t>
        </is>
      </c>
      <c r="E6" s="9" t="inlineStr">
        <is>
          <t>2 - Hybrid (Web+Mobile)</t>
        </is>
      </c>
      <c r="F6" s="9" t="inlineStr">
        <is>
          <t>W4 test_messaging_keywords</t>
        </is>
      </c>
      <c r="G6" s="9" t="inlineStr"/>
      <c r="H6" s="9" t="inlineStr">
        <is>
          <t>Manual 'Connect message6'.</t>
        </is>
      </c>
    </row>
    <row r="7">
      <c r="A7" s="9" t="inlineStr">
        <is>
          <t>TC-KWD-005</t>
        </is>
      </c>
      <c r="B7" s="9" t="inlineStr">
        <is>
          <t>The keyword-triggered survey submission is visible on HQ</t>
        </is>
      </c>
      <c r="C7" s="9" t="inlineStr">
        <is>
          <t>1. WEB: open the form's submission history</t>
        </is>
      </c>
      <c r="D7" s="9" t="inlineStr">
        <is>
          <t>A submission exists for the test worker.</t>
        </is>
      </c>
      <c r="E7" s="9" t="inlineStr">
        <is>
          <t>1 - Web (Playwright)</t>
        </is>
      </c>
      <c r="F7" s="9" t="inlineStr">
        <is>
          <t>W4 test_messaging_keywords</t>
        </is>
      </c>
      <c r="G7" s="9" t="inlineStr"/>
      <c r="H7" s="9" t="inlineStr">
        <is>
          <t>Explicit in the manual outcome for 'Connect message6'.</t>
        </is>
      </c>
    </row>
    <row r="8">
      <c r="A8" s="9" t="inlineStr">
        <is>
          <t>TC-KWD-006</t>
        </is>
      </c>
      <c r="B8" s="9" t="inlineStr">
        <is>
          <t>An unrecognised keyword produces no response</t>
        </is>
      </c>
      <c r="C8" s="9" t="inlineStr">
        <is>
          <t>1. Send arbitrary text that matches no keyword
2. Watch the channel</t>
        </is>
      </c>
      <c r="D8" s="9" t="inlineStr">
        <is>
          <t>No automated reply arrives; the sent message still renders as an outgoing bubble.</t>
        </is>
      </c>
      <c r="E8" s="9" t="inlineStr">
        <is>
          <t>Manual / one-off</t>
        </is>
      </c>
      <c r="F8" s="9" t="inlineStr">
        <is>
          <t>Manual only</t>
        </is>
      </c>
      <c r="G8" s="9" t="inlineStr"/>
      <c r="H8" s="9" t="inlineStr">
        <is>
          <t>Same absence-proving problem as TC-CAL-007.</t>
        </is>
      </c>
    </row>
  </sheetData>
  <autoFilter ref="A1:H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52" customWidth="1" min="3" max="3"/>
    <col width="52" customWidth="1" min="4" max="4"/>
    <col width="24" customWidth="1" min="5" max="5"/>
    <col width="30" customWidth="1" min="6" max="6"/>
    <col width="12" customWidth="1" min="7" max="7"/>
    <col width="54" customWidth="1" min="8" max="8"/>
  </cols>
  <sheetData>
    <row r="1" ht="26" customHeight="1">
      <c r="A1" s="8" t="inlineStr">
        <is>
          <t>Test Case No</t>
        </is>
      </c>
      <c r="B1" s="8" t="inlineStr">
        <is>
          <t>Description</t>
        </is>
      </c>
      <c r="C1" s="8" t="inlineStr">
        <is>
          <t>Steps to Test</t>
        </is>
      </c>
      <c r="D1" s="8" t="inlineStr">
        <is>
          <t>Expected Outcome</t>
        </is>
      </c>
      <c r="E1" s="8" t="inlineStr">
        <is>
          <t>Phase</t>
        </is>
      </c>
      <c r="F1" s="8" t="inlineStr">
        <is>
          <t>Automation Target</t>
        </is>
      </c>
      <c r="G1" s="8" t="inlineStr">
        <is>
          <t>Status</t>
        </is>
      </c>
      <c r="H1" s="8" t="inlineStr">
        <is>
          <t>Comments / Notes</t>
        </is>
      </c>
    </row>
    <row r="2">
      <c r="A2" s="10" t="inlineStr">
        <is>
          <t>Subscription / consent (mobile overflow menu)</t>
        </is>
      </c>
      <c r="B2" s="10" t="inlineStr"/>
      <c r="C2" s="10" t="inlineStr"/>
      <c r="D2" s="10" t="inlineStr"/>
      <c r="E2" s="10" t="inlineStr"/>
      <c r="F2" s="10" t="inlineStr"/>
      <c r="G2" s="10" t="inlineStr"/>
      <c r="H2" s="10" t="inlineStr"/>
    </row>
    <row r="3">
      <c r="A3" s="9" t="inlineStr">
        <is>
          <t>TC-SUB-001</t>
        </is>
      </c>
      <c r="B3" s="9" t="inlineStr">
        <is>
          <t>Unsubscribe from a channel</t>
        </is>
      </c>
      <c r="C3" s="9" t="inlineStr">
        <is>
          <t>1. Open the channel
2. Overflow ('More options') menu &gt; Unsubscribe
3. Confirm in the dialog</t>
        </is>
      </c>
      <c r="D3" s="9" t="inlineStr">
        <is>
          <t>The dialog closes and the channel is unsubscribed.</t>
        </is>
      </c>
      <c r="E3" s="9" t="inlineStr">
        <is>
          <t>3 - Mobile (Maestro)</t>
        </is>
      </c>
      <c r="F3" s="9" t="inlineStr">
        <is>
          <t>test_messaging_hybrid::test_channel_unsubscribe_and_resubscribe + messaging_consent.yaml</t>
        </is>
      </c>
      <c r="G3" s="9" t="inlineStr">
        <is>
          <t>Automated</t>
        </is>
      </c>
      <c r="H3" s="9" t="inlineStr">
        <is>
          <t>Manual 'Connect message7'. No dedicated consent screen exists - consent is an overflow action backed by POST /messaging/update_consent/.</t>
        </is>
      </c>
    </row>
    <row r="4">
      <c r="A4" s="9" t="inlineStr">
        <is>
          <t>TC-SUB-002</t>
        </is>
      </c>
      <c r="B4" s="9" t="inlineStr">
        <is>
          <t>An unsubscribed channel disables sending</t>
        </is>
      </c>
      <c r="C4" s="9" t="inlineStr">
        <is>
          <t>1. Remain on the unsubscribed channel</t>
        </is>
      </c>
      <c r="D4" s="9" t="inlineStr">
        <is>
          <t>etMessage is disabled and shows 'You are not subscribed to this messaging channel'; imgSendMessage stays hidden.</t>
        </is>
      </c>
      <c r="E4" s="9" t="inlineStr">
        <is>
          <t>3 - Mobile (Maestro)</t>
        </is>
      </c>
      <c r="F4" s="9" t="inlineStr">
        <is>
          <t>test_messaging_hybrid::test_channel_unsubscribe_and_resubscribe + messaging_consent.yaml</t>
        </is>
      </c>
      <c r="G4" s="9" t="inlineStr">
        <is>
          <t>Automated</t>
        </is>
      </c>
      <c r="H4" s="9" t="inlineStr">
        <is>
          <t>etMessage doubles as the not-subscribed banner, so the same view is both the input and the message.</t>
        </is>
      </c>
    </row>
    <row r="5">
      <c r="A5" s="9" t="inlineStr">
        <is>
          <t>TC-SUB-003</t>
        </is>
      </c>
      <c r="B5" s="9" t="inlineStr">
        <is>
          <t>The channel row shows the unsubscribed pill</t>
        </is>
      </c>
      <c r="C5" s="9" t="inlineStr">
        <is>
          <t>1. Go back to the channel list</t>
        </is>
      </c>
      <c r="D5" s="9" t="inlineStr">
        <is>
          <t>tvUnsubscribedPill is visible on that channel's row.</t>
        </is>
      </c>
      <c r="E5" s="9" t="inlineStr">
        <is>
          <t>3 - Mobile (Maestro)</t>
        </is>
      </c>
      <c r="F5" s="9" t="inlineStr">
        <is>
          <t>test_messaging_hybrid::test_channel_unsubscribe_and_resubscribe + messaging_consent.yaml</t>
        </is>
      </c>
      <c r="G5" s="9" t="inlineStr">
        <is>
          <t>Automated</t>
        </is>
      </c>
      <c r="H5" s="9" t="inlineStr"/>
    </row>
    <row r="6">
      <c r="A6" s="9" t="inlineStr">
        <is>
          <t>TC-SUB-004</t>
        </is>
      </c>
      <c r="B6" s="9" t="inlineStr">
        <is>
          <t>No messages are received while unsubscribed</t>
        </is>
      </c>
      <c r="C6" s="9" t="inlineStr">
        <is>
          <t>1. MOBILE: unsubscribe (own device session)
2. WEB: send a broadcast to the worker
3. Assert the send is refused</t>
        </is>
      </c>
      <c r="D6" s="9" t="inlineStr">
        <is>
          <t>ConnectID rejects the send with HTTP 400 NO_USER_CONSENT; nothing reaches the channel.</t>
        </is>
      </c>
      <c r="E6" s="9" t="inlineStr">
        <is>
          <t>2 - Hybrid (Web+Mobile)</t>
        </is>
      </c>
      <c r="F6" s="9" t="inlineStr">
        <is>
          <t>W3 test_messaging_channel_creation</t>
        </is>
      </c>
      <c r="G6" s="9" t="inlineStr"/>
      <c r="H6" s="9" t="inlineStr">
        <is>
          <t>Asserted on the WEB side, not by proving absence on a device: SendServerConnectMessage returns 400 NO_USER_CONSENT for an unconsented channel, so there is a definite signal instead of an arbitrary wait. Needs two run_flows() calls with the send between them - one build cannot be paused midway.</t>
        </is>
      </c>
    </row>
    <row r="7">
      <c r="A7" s="9" t="inlineStr">
        <is>
          <t>TC-SUB-007</t>
        </is>
      </c>
      <c r="B7" s="9" t="inlineStr">
        <is>
          <t>Message history survives unsubscribe and resubscribe</t>
        </is>
      </c>
      <c r="C7" s="9" t="inlineStr">
        <is>
          <t>1. Open a channel with existing messages
2. Unsubscribe
3. Resubscribe
4. Leave and re-enter the thread</t>
        </is>
      </c>
      <c r="D7" s="9" t="inlineStr">
        <is>
          <t>The existing messages remain visible throughout.</t>
        </is>
      </c>
      <c r="E7" s="9" t="inlineStr">
        <is>
          <t>3 - Mobile (Maestro)</t>
        </is>
      </c>
      <c r="F7" s="9" t="inlineStr">
        <is>
          <t>messaging_consent_history.yaml</t>
        </is>
      </c>
      <c r="G7" s="9" t="inlineStr">
        <is>
          <t>Automated</t>
        </is>
      </c>
      <c r="H7" s="9" t="inlineStr">
        <is>
          <t>Not in the manual plan. Added after the thread rendered completely empty immediately following a resubscribe, on a channel that had messages minutes earlier. ConnectID's UpdateConsentView only flips a boolean and never touches messages, so history loss would be device-side and unintended. The flow's checkpoints are placed so that where it stops identifies the cause.</t>
        </is>
      </c>
    </row>
    <row r="8">
      <c r="A8" s="9" t="inlineStr">
        <is>
          <t>TC-SUB-005</t>
        </is>
      </c>
      <c r="B8" s="9" t="inlineStr">
        <is>
          <t>Resubscribe to the channel</t>
        </is>
      </c>
      <c r="C8" s="9" t="inlineStr">
        <is>
          <t>1. Open the channel
2. Overflow menu &gt; Resubscribe
3. Confirm in the dialog</t>
        </is>
      </c>
      <c r="D8" s="9" t="inlineStr">
        <is>
          <t>The channel is resubscribed; etMessage is editable again and the unsubscribed pill is gone.</t>
        </is>
      </c>
      <c r="E8" s="9" t="inlineStr">
        <is>
          <t>3 - Mobile (Maestro)</t>
        </is>
      </c>
      <c r="F8" s="9" t="inlineStr">
        <is>
          <t>test_messaging_hybrid::test_channel_unsubscribe_and_resubscribe + messaging_consent.yaml</t>
        </is>
      </c>
      <c r="G8" s="9" t="inlineStr">
        <is>
          <t>Automated</t>
        </is>
      </c>
      <c r="H8" s="9" t="inlineStr">
        <is>
          <t>Manual 'Connect message8'. Confirmed reversible with no server-side cleanup, so this is re-runnable.</t>
        </is>
      </c>
    </row>
    <row r="9">
      <c r="A9" s="9" t="inlineStr">
        <is>
          <t>TC-SUB-006</t>
        </is>
      </c>
      <c r="B9" s="9" t="inlineStr">
        <is>
          <t>Message delivery resumes after resubscribing</t>
        </is>
      </c>
      <c r="C9" s="9" t="inlineStr">
        <is>
          <t>1. WEB: send a broadcast after resubscription
2. MOBILE: open the channel</t>
        </is>
      </c>
      <c r="D9" s="9" t="inlineStr">
        <is>
          <t>The new broadcast arrives.</t>
        </is>
      </c>
      <c r="E9" s="9" t="inlineStr">
        <is>
          <t>2 - Hybrid (Web+Mobile)</t>
        </is>
      </c>
      <c r="F9" s="9" t="inlineStr">
        <is>
          <t>W3 test_messaging_channel_creation</t>
        </is>
      </c>
      <c r="G9" s="9" t="inlineStr"/>
      <c r="H9" s="9" t="inlineStr">
        <is>
          <t>Pairs with TC-SUB-004: on its own, TC-SUB-004 would still pass if delivery were broken permanently. Same reasoning the tasking plan used for its blocked/unblocked visit pair.</t>
        </is>
      </c>
    </row>
  </sheetData>
  <autoFilter ref="A1:H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52" customWidth="1" min="3" max="3"/>
    <col width="52" customWidth="1" min="4" max="4"/>
    <col width="24" customWidth="1" min="5" max="5"/>
    <col width="30" customWidth="1" min="6" max="6"/>
    <col width="12" customWidth="1" min="7" max="7"/>
    <col width="54" customWidth="1" min="8" max="8"/>
  </cols>
  <sheetData>
    <row r="1" ht="26" customHeight="1">
      <c r="A1" s="8" t="inlineStr">
        <is>
          <t>Test Case No</t>
        </is>
      </c>
      <c r="B1" s="8" t="inlineStr">
        <is>
          <t>Description</t>
        </is>
      </c>
      <c r="C1" s="8" t="inlineStr">
        <is>
          <t>Steps to Test</t>
        </is>
      </c>
      <c r="D1" s="8" t="inlineStr">
        <is>
          <t>Expected Outcome</t>
        </is>
      </c>
      <c r="E1" s="8" t="inlineStr">
        <is>
          <t>Phase</t>
        </is>
      </c>
      <c r="F1" s="8" t="inlineStr">
        <is>
          <t>Automation Target</t>
        </is>
      </c>
      <c r="G1" s="8" t="inlineStr">
        <is>
          <t>Status</t>
        </is>
      </c>
      <c r="H1" s="8" t="inlineStr">
        <is>
          <t>Comments / Notes</t>
        </is>
      </c>
    </row>
    <row r="2">
      <c r="A2" s="10" t="inlineStr">
        <is>
          <t>Message delivery, unread state and notifications</t>
        </is>
      </c>
      <c r="B2" s="10" t="inlineStr"/>
      <c r="C2" s="10" t="inlineStr"/>
      <c r="D2" s="10" t="inlineStr"/>
      <c r="E2" s="10" t="inlineStr"/>
      <c r="F2" s="10" t="inlineStr"/>
      <c r="G2" s="10" t="inlineStr"/>
      <c r="H2" s="10" t="inlineStr"/>
    </row>
    <row r="3">
      <c r="A3" s="9" t="inlineStr">
        <is>
          <t>TC-MSG-001</t>
        </is>
      </c>
      <c r="B3" s="9" t="inlineStr">
        <is>
          <t>Send control appears only for non-empty input</t>
        </is>
      </c>
      <c r="C3" s="9" t="inlineStr">
        <is>
          <t>1. Open a subscribed channel
2. Assert imgSendMessage is not visible
3. Type into etMessage</t>
        </is>
      </c>
      <c r="D3" s="9" t="inlineStr">
        <is>
          <t>imgSendMessage is GONE while the input is empty and appears once it is not.</t>
        </is>
      </c>
      <c r="E3" s="9" t="inlineStr">
        <is>
          <t>3 - Mobile (Maestro)</t>
        </is>
      </c>
      <c r="F3" s="9" t="inlineStr">
        <is>
          <t>messaging_consent_history.yaml (seeds its history by sending)</t>
        </is>
      </c>
      <c r="G3" s="9" t="inlineStr">
        <is>
          <t>Automated</t>
        </is>
      </c>
      <c r="H3" s="9" t="inlineStr">
        <is>
          <t>ConnectMessageFragment.createTextWatcher gates on non-empty AND consented. Maestro must type before tapping - a blind tap on the send button fails.</t>
        </is>
      </c>
    </row>
    <row r="4">
      <c r="A4" s="9" t="inlineStr">
        <is>
          <t>TC-MSG-002</t>
        </is>
      </c>
      <c r="B4" s="9" t="inlineStr">
        <is>
          <t>A sent message renders and is confirmed</t>
        </is>
      </c>
      <c r="C4" s="9" t="inlineStr">
        <is>
          <t>1. Send a message</t>
        </is>
      </c>
      <c r="D4" s="9" t="inlineStr">
        <is>
          <t>An outgoing bubble appears immediately, and imgMessageReadStatus advances from sent to confirmed.</t>
        </is>
      </c>
      <c r="E4" s="9" t="inlineStr">
        <is>
          <t>3 - Mobile (Maestro)</t>
        </is>
      </c>
      <c r="F4" s="9" t="inlineStr">
        <is>
          <t>messaging_consent_history.yaml (seeds its history by sending)</t>
        </is>
      </c>
      <c r="G4" s="9" t="inlineStr">
        <is>
          <t>Automated</t>
        </is>
      </c>
      <c r="H4" s="9" t="inlineStr">
        <is>
          <t>Sends are optimistic: stored locally with confirmed=false and shown BEFORE the network call, so asserting the bubble alone proves nothing about delivery - the tick is the real assertion.</t>
        </is>
      </c>
    </row>
    <row r="5">
      <c r="A5" s="9" t="inlineStr">
        <is>
          <t>TC-MSG-003</t>
        </is>
      </c>
      <c r="B5" s="9" t="inlineStr">
        <is>
          <t>Per-channel unread count</t>
        </is>
      </c>
      <c r="C5" s="9" t="inlineStr">
        <is>
          <t>1. Receive a message without opening the thread
2. View the channel list</t>
        </is>
      </c>
      <c r="D5" s="9" t="inlineStr">
        <is>
          <t>tvUnreadCount on that channel's row shows the number of unread messages.</t>
        </is>
      </c>
      <c r="E5" s="9" t="inlineStr">
        <is>
          <t>2 - Hybrid (Web+Mobile)</t>
        </is>
      </c>
      <c r="F5" s="9" t="inlineStr">
        <is>
          <t>messaging_broadcast.yaml</t>
        </is>
      </c>
      <c r="G5" s="9" t="inlineStr">
        <is>
          <t>Automated</t>
        </is>
      </c>
      <c r="H5" s="9" t="inlineStr">
        <is>
          <t>Folded into the alert test: it already has a message arriving unviewed. A mobile-only flow would have to fake that moment.</t>
        </is>
      </c>
    </row>
    <row r="6">
      <c r="A6" s="9" t="inlineStr">
        <is>
          <t>TC-MSG-004</t>
        </is>
      </c>
      <c r="B6" s="9" t="inlineStr">
        <is>
          <t>Global nav-drawer unread badge</t>
        </is>
      </c>
      <c r="C6" s="9" t="inlineStr">
        <is>
          <t>1. With unread messages outstanding, open the nav drawer</t>
        </is>
      </c>
      <c r="D6" s="9" t="inlineStr">
        <is>
          <t>The Messaging entry carries an unread badge.</t>
        </is>
      </c>
      <c r="E6" s="9" t="inlineStr">
        <is>
          <t>2 - Hybrid (Web+Mobile)</t>
        </is>
      </c>
      <c r="F6" s="9" t="inlineStr">
        <is>
          <t>W1 test_messaging_conditional_alerts</t>
        </is>
      </c>
      <c r="G6" s="9" t="inlineStr"/>
      <c r="H6" s="9" t="inlineStr">
        <is>
          <t>BaseDrawerController, fed by ConnectMessagingDatabaseHelper.getUnviewedMessages().</t>
        </is>
      </c>
    </row>
    <row r="7">
      <c r="A7" s="9" t="inlineStr">
        <is>
          <t>TC-MSG-005</t>
        </is>
      </c>
      <c r="B7" s="9" t="inlineStr">
        <is>
          <t>Opening a thread clears unread state</t>
        </is>
      </c>
      <c r="C7" s="9" t="inlineStr">
        <is>
          <t>1. Open the channel with unread messages
2. Go back to the channel list and the drawer</t>
        </is>
      </c>
      <c r="D7" s="9" t="inlineStr">
        <is>
          <t>tvUnreadCount is gone from the row and the drawer badge is cleared.</t>
        </is>
      </c>
      <c r="E7" s="9" t="inlineStr">
        <is>
          <t>2 - Hybrid (Web+Mobile)</t>
        </is>
      </c>
      <c r="F7" s="9" t="inlineStr">
        <is>
          <t>messaging_broadcast.yaml</t>
        </is>
      </c>
      <c r="G7" s="9" t="inlineStr">
        <is>
          <t>Automated</t>
        </is>
      </c>
      <c r="H7" s="9" t="inlineStr">
        <is>
          <t>Opening a thread marks all its messages userViewed=true.</t>
        </is>
      </c>
    </row>
    <row r="8">
      <c r="A8" s="9" t="inlineStr">
        <is>
          <t>TC-MSG-006</t>
        </is>
      </c>
      <c r="B8" s="9" t="inlineStr">
        <is>
          <t>A messaging push deep-links into the thread</t>
        </is>
      </c>
      <c r="C8" s="9" t="inlineStr">
        <is>
          <t>1. Background the app
2. WEB: send a broadcast
3. Wait for the push in the notification shade
4. Tap it</t>
        </is>
      </c>
      <c r="D8" s="9" t="inlineStr">
        <is>
          <t>ConnectMessagingActivity opens the correct channel thread (via the PersonalID unlock path if locked).</t>
        </is>
      </c>
      <c r="E8" s="9" t="inlineStr">
        <is>
          <t>Manual / one-off</t>
        </is>
      </c>
      <c r="F8" s="9" t="inlineStr">
        <is>
          <t>Manual only</t>
        </is>
      </c>
      <c r="G8" s="9" t="inlineStr"/>
      <c r="H8" s="9" t="inlineStr">
        <is>
          <t>MANUAL by decision (2026-08-12), not by omission. The case needs a message to arrive while the app is backgrounded, but every BrowserStack build starts from a fresh install and cannot be paused, so the web half must send before the device boots - by sign-in the message is already queued and arrives on first sync, never as a push. The ordering would need two builds with a send between, and the second reinstalls and wipes the session. Automatable on a local emulator, where the session persists, if it is ever judged worth the CI cost.</t>
        </is>
      </c>
    </row>
    <row r="9">
      <c r="A9" s="9" t="inlineStr">
        <is>
          <t>TC-MSG-007</t>
        </is>
      </c>
      <c r="B9" s="9" t="inlineStr">
        <is>
          <t>Push is suppressed while the channel is in the foreground</t>
        </is>
      </c>
      <c r="C9" s="9" t="inlineStr">
        <is>
          <t>1. Stay on the channel list or in the thread
2. WEB: send a broadcast</t>
        </is>
      </c>
      <c r="D9" s="9" t="inlineStr">
        <is>
          <t>No notification is posted; the message appears in the UI directly.</t>
        </is>
      </c>
      <c r="E9" s="9" t="inlineStr">
        <is>
          <t>Manual / one-off</t>
        </is>
      </c>
      <c r="F9" s="9" t="inlineStr">
        <is>
          <t>Manual only</t>
        </is>
      </c>
      <c r="G9" s="9" t="inlineStr"/>
      <c r="H9" s="9" t="inlineStr">
        <is>
          <t>Deliberate behaviour (isActive / getActiveChannel), but asserting a notification's absence over an async pipeline has the same unreliability as TC-CAL-007.</t>
        </is>
      </c>
    </row>
    <row r="10">
      <c r="A10" s="9" t="inlineStr">
        <is>
          <t>TC-MSG-008</t>
        </is>
      </c>
      <c r="B10" s="9" t="inlineStr">
        <is>
          <t>An open thread refreshes without a push</t>
        </is>
      </c>
      <c r="C10" s="9" t="inlineStr">
        <is>
          <t>1. Sit in the thread with notifications off
2. WEB: send a message
3. Wait</t>
        </is>
      </c>
      <c r="D10" s="9" t="inlineStr">
        <is>
          <t>The message appears within the 30-second poll interval.</t>
        </is>
      </c>
      <c r="E10" s="9" t="inlineStr">
        <is>
          <t>Manual / one-off</t>
        </is>
      </c>
      <c r="F10" s="9" t="inlineStr">
        <is>
          <t>Manual only</t>
        </is>
      </c>
      <c r="G10" s="9" t="inlineStr"/>
      <c r="H10" s="9" t="inlineStr">
        <is>
          <t>ConnectMessageFragment polls on a 30s INTERVAL. Automatable in principle but costs a device session to assert a timer - low value against ~8 minutes of BrowserStack per run.</t>
        </is>
      </c>
    </row>
    <row r="11">
      <c r="A11" s="9" t="inlineStr">
        <is>
          <t>TC-MSG-009</t>
        </is>
      </c>
      <c r="B11" s="9" t="inlineStr">
        <is>
          <t>An unsent message is retried on returning to the channel list</t>
        </is>
      </c>
      <c r="C11" s="9" t="inlineStr">
        <is>
          <t>1. Send with the network off
2. Restore the network
3. Return to the channel list</t>
        </is>
      </c>
      <c r="D11" s="9" t="inlineStr">
        <is>
          <t>The queued message is sent and confirmed.</t>
        </is>
      </c>
      <c r="E11" s="9" t="inlineStr">
        <is>
          <t>Manual / one-off</t>
        </is>
      </c>
      <c r="F11" s="9" t="inlineStr">
        <is>
          <t>Manual only</t>
        </is>
      </c>
      <c r="G11" s="9" t="inlineStr"/>
      <c r="H11" s="9" t="inlineStr">
        <is>
          <t>See TC-IMP-003 - MessageManager.sendUnsentMessages breaks after the first message, so with two queued only one is retried per visit. Verify the behaviour manually before writing a test that encodes it.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52" customWidth="1" min="3" max="3"/>
    <col width="52" customWidth="1" min="4" max="4"/>
    <col width="24" customWidth="1" min="5" max="5"/>
    <col width="30" customWidth="1" min="6" max="6"/>
    <col width="12" customWidth="1" min="7" max="7"/>
    <col width="54" customWidth="1" min="8" max="8"/>
  </cols>
  <sheetData>
    <row r="1" ht="26" customHeight="1">
      <c r="A1" s="8" t="inlineStr">
        <is>
          <t>Test Case No</t>
        </is>
      </c>
      <c r="B1" s="8" t="inlineStr">
        <is>
          <t>Description</t>
        </is>
      </c>
      <c r="C1" s="8" t="inlineStr">
        <is>
          <t>Steps to Test</t>
        </is>
      </c>
      <c r="D1" s="8" t="inlineStr">
        <is>
          <t>Expected Outcome</t>
        </is>
      </c>
      <c r="E1" s="8" t="inlineStr">
        <is>
          <t>Phase</t>
        </is>
      </c>
      <c r="F1" s="8" t="inlineStr">
        <is>
          <t>Automation Target</t>
        </is>
      </c>
      <c r="G1" s="8" t="inlineStr">
        <is>
          <t>Status</t>
        </is>
      </c>
      <c r="H1" s="8" t="inlineStr">
        <is>
          <t>Comments / Notes</t>
        </is>
      </c>
    </row>
    <row r="2">
      <c r="A2" s="10" t="inlineStr">
        <is>
          <t>Impact areas found by reading commcare-android / commcare-connect</t>
        </is>
      </c>
      <c r="B2" s="10" t="inlineStr"/>
      <c r="C2" s="10" t="inlineStr"/>
      <c r="D2" s="10" t="inlineStr"/>
      <c r="E2" s="10" t="inlineStr"/>
      <c r="F2" s="10" t="inlineStr"/>
      <c r="G2" s="10" t="inlineStr"/>
      <c r="H2" s="10" t="inlineStr"/>
    </row>
    <row r="3">
      <c r="A3" s="9" t="inlineStr">
        <is>
          <t>TC-IMP-001</t>
        </is>
      </c>
      <c r="B3" s="9" t="inlineStr">
        <is>
          <t>Sending with no channel key fails silently</t>
        </is>
      </c>
      <c r="C3" s="9" t="inlineStr">
        <is>
          <t>1. Reach a channel whose encryption key has not synced
2. Send a message</t>
        </is>
      </c>
      <c r="D3" s="9" t="inlineStr">
        <is>
          <t>Expected: the user is told. Actual: MessageManager.sendMessage logs and returns - no toast, no error, the bubble stays unconfirmed.</t>
        </is>
      </c>
      <c r="E3" s="9" t="inlineStr">
        <is>
          <t>Manual / one-off</t>
        </is>
      </c>
      <c r="F3" s="9" t="inlineStr">
        <is>
          <t>Manual only</t>
        </is>
      </c>
      <c r="G3" s="9" t="inlineStr"/>
      <c r="H3" s="9" t="inlineStr">
        <is>
          <t>Product risk, not a test gap. Raise separately if confirmed. TC-CHN-005 guards our suite against mistaking this for a delivery failure.</t>
        </is>
      </c>
    </row>
    <row r="4">
      <c r="A4" s="9" t="inlineStr">
        <is>
          <t>TC-IMP-002</t>
        </is>
      </c>
      <c r="B4" s="9" t="inlineStr">
        <is>
          <t>Inbound message dropped when decryption fails</t>
        </is>
      </c>
      <c r="C4" s="9" t="inlineStr">
        <is>
          <t>1. Deliver a message the device cannot decrypt</t>
        </is>
      </c>
      <c r="D4" s="9" t="inlineStr">
        <is>
          <t>ConnectMessagingMessageRecord.fromJson returns null and the message is silently discarded - it never appears and nothing is logged to the user.</t>
        </is>
      </c>
      <c r="E4" s="9" t="inlineStr">
        <is>
          <t>Manual / one-off</t>
        </is>
      </c>
      <c r="F4" s="9" t="inlineStr">
        <is>
          <t>Manual only</t>
        </is>
      </c>
      <c r="G4" s="9" t="inlineStr"/>
      <c r="H4" s="9" t="inlineStr">
        <is>
          <t>Also the reason no test can assert message CONTENT server-side: bodies are AEAD-encrypted per channel and only the device holds the key.</t>
        </is>
      </c>
    </row>
    <row r="5">
      <c r="A5" s="9" t="inlineStr">
        <is>
          <t>TC-IMP-003</t>
        </is>
      </c>
      <c r="B5" s="9" t="inlineStr">
        <is>
          <t>Only one queued message is retried per channel-list visit</t>
        </is>
      </c>
      <c r="C5" s="9" t="inlineStr">
        <is>
          <t>1. Queue two unsent messages offline
2. Restore the network
3. Return to the channel list</t>
        </is>
      </c>
      <c r="D5" s="9" t="inlineStr">
        <is>
          <t>Suspected: only the first is sent, because sendUnsentMessages breaks out of the loop after one.</t>
        </is>
      </c>
      <c r="E5" s="9" t="inlineStr">
        <is>
          <t>Manual / one-off</t>
        </is>
      </c>
      <c r="F5" s="9" t="inlineStr">
        <is>
          <t>Manual only</t>
        </is>
      </c>
      <c r="G5" s="9" t="inlineStr"/>
      <c r="H5" s="9" t="inlineStr">
        <is>
          <t>Code-review finding, unverified against a running app. Confirm before filing - and before TC-MSG-009 encodes any behaviour.</t>
        </is>
      </c>
    </row>
    <row r="6">
      <c r="A6" s="9" t="inlineStr">
        <is>
          <t>TC-IMP-004</t>
        </is>
      </c>
      <c r="B6" s="9" t="inlineStr">
        <is>
          <t>Legacy Maestro login flows are broken on APK 2.63.4</t>
        </is>
      </c>
      <c r="C6" s="9" t="inlineStr">
        <is>
          <t>1. Run login_signup_success.yaml / login_account_locked.yaml against 2.63.4</t>
        </is>
      </c>
      <c r="D6" s="9" t="inlineStr">
        <is>
          <t>They reference the removed connect_backup_code_input and assert drawer items that no longer render.</t>
        </is>
      </c>
      <c r="E6" s="9" t="inlineStr">
        <is>
          <t>Manual / one-off</t>
        </is>
      </c>
      <c r="F6" s="9" t="inlineStr">
        <is>
          <t>Manual only</t>
        </is>
      </c>
      <c r="G6" s="9" t="inlineStr"/>
      <c r="H6" s="9" t="inlineStr">
        <is>
          <t>Tracked in PR #23. Not messaging work, but every messaging flow signs in first. The six-box NumericCodeView pattern is already solved in worker_relearn_task.yaml - reuse it rather than the old shared flow.</t>
        </is>
      </c>
    </row>
  </sheetData>
  <autoFilter ref="A1:H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46" customWidth="1" min="2" max="2"/>
    <col width="22" customWidth="1" min="3" max="3"/>
    <col width="18" customWidth="1" min="4" max="4"/>
    <col width="26" customWidth="1" min="5" max="5"/>
    <col width="62" customWidth="1" min="6" max="6"/>
  </cols>
  <sheetData>
    <row r="1">
      <c r="A1" s="1" t="inlineStr">
        <is>
          <t>What the legacy Selenium/Appium suite already covers</t>
        </is>
      </c>
    </row>
    <row r="3">
      <c r="A3" s="8" t="inlineStr">
        <is>
          <t>Manual MTP Case</t>
        </is>
      </c>
      <c r="B3" s="8" t="inlineStr">
        <is>
          <t>Description</t>
        </is>
      </c>
      <c r="C3" s="8" t="inlineStr">
        <is>
          <t>Legacy Test</t>
        </is>
      </c>
      <c r="D3" s="8" t="inlineStr">
        <is>
          <t>Legacy Coverage</t>
        </is>
      </c>
      <c r="E3" s="8" t="inlineStr">
        <is>
          <t>New Plan Case(s)</t>
        </is>
      </c>
      <c r="F3" s="8" t="inlineStr">
        <is>
          <t>Migration Action</t>
        </is>
      </c>
    </row>
    <row r="4">
      <c r="A4" s="9" t="inlineStr">
        <is>
          <t>Connect channel 1</t>
        </is>
      </c>
      <c r="B4" s="9" t="inlineStr">
        <is>
          <t>Create a connect channel via HQ consent request</t>
        </is>
      </c>
      <c r="C4" s="9" t="inlineStr">
        <is>
          <t>-</t>
        </is>
      </c>
      <c r="D4" s="9" t="inlineStr">
        <is>
          <t>None</t>
        </is>
      </c>
      <c r="E4" s="9" t="inlineStr">
        <is>
          <t>TC-CHN-001, TC-CHN-002</t>
        </is>
      </c>
      <c r="F4" s="9" t="inlineStr">
        <is>
          <t>NEW. Also removes the manual channel-seeding prerequisite for every other case.</t>
        </is>
      </c>
    </row>
    <row r="5">
      <c r="A5" s="9" t="inlineStr">
        <is>
          <t>Connect message1</t>
        </is>
      </c>
      <c r="B5" s="9" t="inlineStr">
        <is>
          <t>Broadcast with Connect Message option</t>
        </is>
      </c>
      <c r="C5" s="9" t="inlineStr">
        <is>
          <t>test_tc_10 (Messaging_5)</t>
        </is>
      </c>
      <c r="D5" s="9" t="inlineStr">
        <is>
          <t>Full</t>
        </is>
      </c>
      <c r="E5" s="9" t="inlineStr">
        <is>
          <t>TC-BRD-002</t>
        </is>
      </c>
      <c r="F5" s="9" t="inlineStr">
        <is>
          <t>MIGRATE as-is. Keep legacy's assertion on the exact generated text.</t>
        </is>
      </c>
    </row>
    <row r="6">
      <c r="A6" s="9" t="inlineStr">
        <is>
          <t>Connect message2</t>
        </is>
      </c>
      <c r="B6" s="9" t="inlineStr">
        <is>
          <t>Broadcast with Connect Survey option</t>
        </is>
      </c>
      <c r="C6" s="9" t="inlineStr">
        <is>
          <t>test_tc_10 (Messaging_6)</t>
        </is>
      </c>
      <c r="D6" s="9" t="inlineStr">
        <is>
          <t>Partial</t>
        </is>
      </c>
      <c r="E6" s="9" t="inlineStr">
        <is>
          <t>TC-BRD-003, TC-BRD-004</t>
        </is>
      </c>
      <c r="F6" s="9" t="inlineStr">
        <is>
          <t>MIGRATE + EXTEND. fill_survey_form() hardcodes two questions and never checks HQ received the submission.</t>
        </is>
      </c>
    </row>
    <row r="7">
      <c r="A7" s="9" t="inlineStr">
        <is>
          <t>Connect message3</t>
        </is>
      </c>
      <c r="B7" s="9" t="inlineStr">
        <is>
          <t>Conditional alert with Connect Message option</t>
        </is>
      </c>
      <c r="C7" s="9" t="inlineStr">
        <is>
          <t>test_tc_09 (Messaging_2)</t>
        </is>
      </c>
      <c r="D7" s="9" t="inlineStr">
        <is>
          <t>Full</t>
        </is>
      </c>
      <c r="E7" s="9" t="inlineStr">
        <is>
          <t>TC-CAL-002, TC-CAL-003</t>
        </is>
      </c>
      <c r="F7" s="9" t="inlineStr">
        <is>
          <t>MIGRATE as-is.</t>
        </is>
      </c>
    </row>
    <row r="8">
      <c r="A8" s="9" t="inlineStr">
        <is>
          <t>Connect message4</t>
        </is>
      </c>
      <c r="B8" s="9" t="inlineStr">
        <is>
          <t>Conditional alert with Connect Survey option</t>
        </is>
      </c>
      <c r="C8" s="9" t="inlineStr">
        <is>
          <t>test_tc_09 (Messaging_3)</t>
        </is>
      </c>
      <c r="D8" s="9" t="inlineStr">
        <is>
          <t>Partial</t>
        </is>
      </c>
      <c r="E8" s="9" t="inlineStr">
        <is>
          <t>TC-CAL-004, TC-CAL-005, TC-CAL-006</t>
        </is>
      </c>
      <c r="F8" s="9" t="inlineStr">
        <is>
          <t>MIGRATE + EXTEND. Same survey gap as Connect message2.</t>
        </is>
      </c>
    </row>
    <row r="9">
      <c r="A9" s="9" t="inlineStr">
        <is>
          <t>Connect message5</t>
        </is>
      </c>
      <c r="B9" s="9" t="inlineStr">
        <is>
          <t>Keyword for Connect Message</t>
        </is>
      </c>
      <c r="C9" s="9" t="inlineStr">
        <is>
          <t>-</t>
        </is>
      </c>
      <c r="D9" s="9" t="inlineStr">
        <is>
          <t>None</t>
        </is>
      </c>
      <c r="E9" s="9" t="inlineStr">
        <is>
          <t>TC-KWD-001, TC-KWD-002</t>
        </is>
      </c>
      <c r="F9" s="9" t="inlineStr">
        <is>
          <t>NEW.</t>
        </is>
      </c>
    </row>
    <row r="10">
      <c r="A10" s="9" t="inlineStr">
        <is>
          <t>Connect message6</t>
        </is>
      </c>
      <c r="B10" s="9" t="inlineStr">
        <is>
          <t>Keyword for Connect Survey</t>
        </is>
      </c>
      <c r="C10" s="9" t="inlineStr">
        <is>
          <t>-</t>
        </is>
      </c>
      <c r="D10" s="9" t="inlineStr">
        <is>
          <t>None</t>
        </is>
      </c>
      <c r="E10" s="9" t="inlineStr">
        <is>
          <t>TC-KWD-003, TC-KWD-004, TC-KWD-005</t>
        </is>
      </c>
      <c r="F10" s="9" t="inlineStr">
        <is>
          <t>NEW.</t>
        </is>
      </c>
    </row>
    <row r="11">
      <c r="A11" s="9" t="inlineStr">
        <is>
          <t>Connect message7</t>
        </is>
      </c>
      <c r="B11" s="9" t="inlineStr">
        <is>
          <t>Unsubscribe from a channel</t>
        </is>
      </c>
      <c r="C11" s="9" t="inlineStr">
        <is>
          <t>-</t>
        </is>
      </c>
      <c r="D11" s="9" t="inlineStr">
        <is>
          <t>None</t>
        </is>
      </c>
      <c r="E11" s="9" t="inlineStr">
        <is>
          <t>TC-SUB-001..004</t>
        </is>
      </c>
      <c r="F11" s="9" t="inlineStr">
        <is>
          <t>NEW.</t>
        </is>
      </c>
    </row>
    <row r="12">
      <c r="A12" s="9" t="inlineStr">
        <is>
          <t>Connect message8</t>
        </is>
      </c>
      <c r="B12" s="9" t="inlineStr">
        <is>
          <t>Resubscribe to a channel</t>
        </is>
      </c>
      <c r="C12" s="9" t="inlineStr">
        <is>
          <t>-</t>
        </is>
      </c>
      <c r="D12" s="9" t="inlineStr">
        <is>
          <t>None</t>
        </is>
      </c>
      <c r="E12" s="9" t="inlineStr">
        <is>
          <t>TC-SUB-005, TC-SUB-006</t>
        </is>
      </c>
      <c r="F12" s="9" t="inlineStr">
        <is>
          <t>NEW.</t>
        </is>
      </c>
    </row>
    <row r="13">
      <c r="A13" s="9" t="inlineStr">
        <is>
          <t>(no manual id)</t>
        </is>
      </c>
      <c r="B13" s="9" t="inlineStr">
        <is>
          <t>'What to Send' offers Connect Message + Connect Survey (alerts)</t>
        </is>
      </c>
      <c r="C13" s="9" t="inlineStr">
        <is>
          <t>test_tc_09 (Messaging_1)</t>
        </is>
      </c>
      <c r="D13" s="9" t="inlineStr">
        <is>
          <t>Full</t>
        </is>
      </c>
      <c r="E13" s="9" t="inlineStr">
        <is>
          <t>TC-CAL-001</t>
        </is>
      </c>
      <c r="F13" s="9" t="inlineStr">
        <is>
          <t>MIGRATE. Automated in legacy with no manual case behind it - worth keeping.</t>
        </is>
      </c>
    </row>
    <row r="14">
      <c r="A14" s="9" t="inlineStr">
        <is>
          <t>(no manual id)</t>
        </is>
      </c>
      <c r="B14" s="9" t="inlineStr">
        <is>
          <t>'What to Send' offers Connect Message + Connect Survey (broadcasts)</t>
        </is>
      </c>
      <c r="C14" s="9" t="inlineStr">
        <is>
          <t>test_tc_10 (Messaging_4)</t>
        </is>
      </c>
      <c r="D14" s="9" t="inlineStr">
        <is>
          <t>Full</t>
        </is>
      </c>
      <c r="E14" s="9" t="inlineStr">
        <is>
          <t>TC-BRD-001</t>
        </is>
      </c>
      <c r="F14" s="9" t="inlineStr">
        <is>
          <t>MIGRATE. As above.</t>
        </is>
      </c>
    </row>
    <row r="15">
      <c r="A15" s="9" t="inlineStr">
        <is>
          <t>(no manual id)</t>
        </is>
      </c>
      <c r="B15" s="9" t="inlineStr">
        <is>
          <t>Channel list screen renders</t>
        </is>
      </c>
      <c r="C15" s="9" t="inlineStr">
        <is>
          <t>test_tc_07 (verify_channel_list)</t>
        </is>
      </c>
      <c r="D15" s="9" t="inlineStr">
        <is>
          <t>Incidental</t>
        </is>
      </c>
      <c r="E15" s="9" t="inlineStr">
        <is>
          <t>TC-CHN-003, TC-CHN-004</t>
        </is>
      </c>
      <c r="F15" s="9" t="inlineStr">
        <is>
          <t>REPLACE. Legacy accepts empty OR populated, so it pins neither state.</t>
        </is>
      </c>
    </row>
    <row r="16">
      <c r="A16" s="9" t="inlineStr">
        <is>
          <t>(not in MTP)</t>
        </is>
      </c>
      <c r="B16" s="9" t="inlineStr">
        <is>
          <t>Unread counts, drawer badge, push deep-link, send-button gating, delivery ticks</t>
        </is>
      </c>
      <c r="C16" s="9" t="inlineStr">
        <is>
          <t>-</t>
        </is>
      </c>
      <c r="D16" s="9" t="inlineStr">
        <is>
          <t>None</t>
        </is>
      </c>
      <c r="E16" s="9" t="inlineStr">
        <is>
          <t>TC-MSG-001..006</t>
        </is>
      </c>
      <c r="F16" s="9" t="inlineStr">
        <is>
          <t>NEW. Found by reading commcare-android; absent from the manual plan.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46" customWidth="1" min="2" max="2"/>
    <col width="44" customWidth="1" min="3" max="3"/>
    <col width="22" customWidth="1" min="4" max="4"/>
    <col width="88" customWidth="1" min="5" max="5"/>
  </cols>
  <sheetData>
    <row r="1">
      <c r="A1" s="1" t="inlineStr">
        <is>
          <t>Delivery order and current status</t>
        </is>
      </c>
    </row>
    <row r="3">
      <c r="A3" s="8" t="inlineStr">
        <is>
          <t>Stage</t>
        </is>
      </c>
      <c r="B3" s="8" t="inlineStr">
        <is>
          <t>Scope</t>
        </is>
      </c>
      <c r="C3" s="8" t="inlineStr">
        <is>
          <t>Cases</t>
        </is>
      </c>
      <c r="D3" s="8" t="inlineStr">
        <is>
          <t>Status</t>
        </is>
      </c>
      <c r="E3" s="8" t="inlineStr">
        <is>
          <t>Notes</t>
        </is>
      </c>
    </row>
    <row r="4">
      <c r="A4" s="9" t="inlineStr">
        <is>
          <t>1. HQ configuration</t>
        </is>
      </c>
      <c r="B4" s="9" t="inlineStr">
        <is>
          <t>Creating alerts, broadcasts and keywords, and the content-type options</t>
        </is>
      </c>
      <c r="C4" s="9" t="inlineStr">
        <is>
          <t>TC-CAL-001/002/004, TC-BRD-001, TC-KWD-001/003</t>
        </is>
      </c>
      <c r="D4" s="9" t="inlineStr">
        <is>
          <t>DONE - green on prod</t>
        </is>
      </c>
      <c r="E4" s="9" t="inlineStr">
        <is>
          <t>No device needed. Two HQ behaviours cost a day between them: fields bind with valueUpdate:'afterkeydown' so Playwright's fill() leaves the model empty, and select2 token fields silently drop a value if the option list has not resolved.</t>
        </is>
      </c>
    </row>
    <row r="5">
      <c r="A5" s="9" t="inlineStr">
        <is>
          <t>2. Broadcast delivery</t>
        </is>
      </c>
      <c r="B5" s="9" t="inlineStr">
        <is>
          <t>A broadcast reaching the worker's channel, and unread state</t>
        </is>
      </c>
      <c r="C5" s="9" t="inlineStr">
        <is>
          <t>TC-BRD-002/003, TC-CHN-002, TC-MSG-003/005</t>
        </is>
      </c>
      <c r="D5" s="9" t="inlineStr">
        <is>
          <t>DONE - green on prod</t>
        </is>
      </c>
      <c r="E5" s="9" t="inlineStr">
        <is>
          <t>Chosen as the first hybrid stage because a broadcast needs only a PersonalID user with a channel - no opportunity, learning, assessment or delivery - so the whole device path was exercised without waiting on an enrolled worker.</t>
        </is>
      </c>
    </row>
    <row r="6">
      <c r="A6" s="9" t="inlineStr">
        <is>
          <t>3. Worker-initiated</t>
        </is>
      </c>
      <c r="B6" s="9" t="inlineStr">
        <is>
          <t>Sending from the device: keyword trigger and free text</t>
        </is>
      </c>
      <c r="C6" s="9" t="inlineStr">
        <is>
          <t>TC-KWD-002, TC-MSG-001/002</t>
        </is>
      </c>
      <c r="D6" s="9" t="inlineStr">
        <is>
          <t>DONE - green on prod</t>
        </is>
      </c>
      <c r="E6" s="9" t="inlineStr">
        <is>
          <t>The keyword is the only send with a product consequence to assert. An outgoing bubble alone proves nothing: the app stores and renders it optimistically before the network call.</t>
        </is>
      </c>
    </row>
    <row r="7">
      <c r="A7" s="9" t="inlineStr">
        <is>
          <t>4. Consent</t>
        </is>
      </c>
      <c r="B7" s="9" t="inlineStr">
        <is>
          <t>Unsubscribe, resubscribe, and whether history survives them</t>
        </is>
      </c>
      <c r="C7" s="9" t="inlineStr">
        <is>
          <t>TC-SUB-001/002/003/005/007</t>
        </is>
      </c>
      <c r="D7" s="9" t="inlineStr">
        <is>
          <t>DONE - green on prod</t>
        </is>
      </c>
      <c r="E7" s="9" t="inlineStr">
        <is>
          <t>TC-SUB-007 was added mid-stage after a thread looked empty post-resubscribe; it turned out history is device-local and does not survive a reinstall, so the flow now seeds its own.</t>
        </is>
      </c>
    </row>
    <row r="8">
      <c r="A8" s="9" t="inlineStr">
        <is>
          <t>5. Conditional alerts</t>
        </is>
      </c>
      <c r="B8" s="9" t="inlineStr">
        <is>
          <t>An alert firing on a form submission and reaching the channel</t>
        </is>
      </c>
      <c r="C8" s="9" t="inlineStr">
        <is>
          <t>TC-CAL-003/005</t>
        </is>
      </c>
      <c r="D8" s="9" t="inlineStr">
        <is>
          <t>NEXT</t>
        </is>
      </c>
      <c r="E8" s="9" t="inlineStr">
        <is>
          <t>The last legacy port (test_tc_09). Test first whether the triggering form must come from the worker's own device: the alert matches a case property while its recipient is a user, so they may not need to be the same person - if not, this needs no enrolled worker at all.</t>
        </is>
      </c>
    </row>
    <row r="9">
      <c r="A9" s="9" t="inlineStr">
        <is>
          <t>6. Channel creation</t>
        </is>
      </c>
      <c r="B9" s="9" t="inlineStr">
        <is>
          <t>Re-requesting consent does not duplicate the channel</t>
        </is>
      </c>
      <c r="C9" s="9" t="inlineStr">
        <is>
          <t>TC-CHN-001b</t>
        </is>
      </c>
      <c r="D9" s="9" t="inlineStr">
        <is>
          <t>TO DO</t>
        </is>
      </c>
      <c r="E9" s="9" t="inlineStr">
        <is>
          <t>Needs the CONNECT MESSSAGING &gt; User Consent page mapped. TC-CHN-001a (first-time creation) is manual by nature - get_or_create makes it one-shot per worker and domain.</t>
        </is>
      </c>
    </row>
    <row r="10">
      <c r="A10" s="9" t="inlineStr">
        <is>
          <t>7. Submission proof</t>
        </is>
      </c>
      <c r="B10" s="9" t="inlineStr">
        <is>
          <t>The completed survey reached HQ</t>
        </is>
      </c>
      <c r="C10" s="9" t="inlineStr">
        <is>
          <t>TC-BRD-004, TC-CAL-006, TC-KWD-005</t>
        </is>
      </c>
      <c r="D10" s="9" t="inlineStr">
        <is>
          <t>TO DO</t>
        </is>
      </c>
      <c r="E10" s="9" t="inlineStr">
        <is>
          <t>The gap legacy left: it answers surveys but never checks HQ received anything, so a survey that renders and never submits would pass. Needs the Submit History report mapped. Answers are already unique per run so the submission is findable.</t>
        </is>
      </c>
    </row>
    <row r="11">
      <c r="A11" s="9" t="inlineStr">
        <is>
          <t>8. Consent-blocked delivery</t>
        </is>
      </c>
      <c r="B11" s="9" t="inlineStr">
        <is>
          <t>Nothing arrives while unsubscribed; delivery resumes after</t>
        </is>
      </c>
      <c r="C11" s="9" t="inlineStr">
        <is>
          <t>TC-SUB-004/006</t>
        </is>
      </c>
      <c r="D11" s="9" t="inlineStr">
        <is>
          <t>TO DO</t>
        </is>
      </c>
      <c r="E11" s="9" t="inlineStr">
        <is>
          <t>Needs two run_flows() calls with a web send between them - one build cannot be paused. ConnectID returns 400 NO_USER_CONSENT, so the first half is assertable from the web side rather than by proving absence on a device.</t>
        </is>
      </c>
    </row>
    <row r="12">
      <c r="A12" s="9" t="inlineStr">
        <is>
          <t>9. Empty state</t>
        </is>
      </c>
      <c r="B12" s="9" t="inlineStr">
        <is>
          <t>A worker in no channels sees the empty-state message</t>
        </is>
      </c>
      <c r="C12" s="9" t="inlineStr">
        <is>
          <t>TC-CHN-003</t>
        </is>
      </c>
      <c r="D12" s="9" t="inlineStr">
        <is>
          <t>BLOCKED</t>
        </is>
      </c>
      <c r="E12" s="9" t="inlineStr">
        <is>
          <t>Needs a worker subscribed to no channels. MAESTRO_MESSAGING_EMPTY_STATE currently points at the login account on the assumption it has never been added to one - unverified, and the first device run settles it.</t>
        </is>
      </c>
    </row>
    <row r="13">
      <c r="A13" s="9" t="inlineStr">
        <is>
          <t>10. Staging</t>
        </is>
      </c>
      <c r="B13" s="9" t="inlineStr">
        <is>
          <t>Everything above, on staging</t>
        </is>
      </c>
      <c r="C13" s="9" t="inlineStr">
        <is>
          <t>all</t>
        </is>
      </c>
      <c r="D13" s="9" t="inlineStr">
        <is>
          <t>BLOCKED</t>
        </is>
      </c>
      <c r="E13" s="9" t="inlineStr">
        <is>
          <t>Only the conditional-alert cases actually need it: 'Message Automation User' must be enrolled on an opportunity with a Registration Form and taken past learn and assessment. Broadcasts, keywords and consent need nothing but the account, which exists. The staging worker_user_id can be read off HQ once enrolled.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2026-08-13T11:46:40Z</dcterms:created>
  <dcterms:modified xmlns:dcterms="http://purl.org/dc/terms/" xmlns:xsi="http://www.w3.org/2001/XMLSchema-instance" xsi:type="dcterms:W3CDTF">2026-08-13T11:46:40Z</dcterms:modified>
</cp:coreProperties>
</file>